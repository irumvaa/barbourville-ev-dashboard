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<sst xmlns="http://schemas.openxmlformats.org/spreadsheetml/2006/main" count="2211" uniqueCount="361">
  <si>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</si>
  <si>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</si>
  <si>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</si>
  <si>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</si>
  <si>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</si>
  <si>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</si>
  <si>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</si>
  <si>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</si>
  <si>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</si>
  <si>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</si>
  <si>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</si>
  <si>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</si>
  <si>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</si>
  <si>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</si>
  <si>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</si>
  <si>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</si>
  <si>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</si>
  <si>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</si>
  <si>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</si>
  <si>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</si>
  <si>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</si>
  <si>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</si>
  <si>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</si>
  <si>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</si>
  <si>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</si>
  <si>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</si>
  <si>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</si>
  <si>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</si>
  <si>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</si>
  <si>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</si>
  <si>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</si>
  <si>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</si>
  <si>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</si>
  <si>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</si>
  <si>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</si>
  <si>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</si>
  <si>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</si>
  <si>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</si>
  <si>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</si>
  <si>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</si>
  <si>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</si>
  <si>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</si>
  <si>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</si>
  <si>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</si>
  <si>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</si>
  <si>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</si>
  <si>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</si>
  <si>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</si>
  <si>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</si>
  <si>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</si>
  <si>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</si>
  <si>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</si>
  <si>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</si>
  <si>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</si>
  <si>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</si>
  <si>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</si>
  <si>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</si>
  <si>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</si>
  <si>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</si>
  <si>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</si>
  <si>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</si>
  <si>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</si>
  <si>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</si>
  <si>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</si>
  <si>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</si>
  <si>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</si>
  <si>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</si>
  <si>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</si>
  <si>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</si>
  <si>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</si>
  <si>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</si>
  <si>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</si>
  <si>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</si>
  <si>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</si>
  <si>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</si>
  <si>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</si>
  <si>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</si>
  <si>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</si>
  <si>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</si>
  <si>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</si>
  <si>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</si>
  <si>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</si>
  <si>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</si>
  <si>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</si>
  <si>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</si>
  <si>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</si>
  <si>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</si>
  <si>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</si>
  <si>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</si>
  <si>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</si>
  <si>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</si>
  <si>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</si>
  <si>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</si>
  <si>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</si>
  <si>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</si>
  <si>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</si>
  <si>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</si>
  <si>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</si>
  <si>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</si>
  <si>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</si>
  <si>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</si>
  <si>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</si>
  <si>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</si>
  <si>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</si>
  <si>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</si>
  <si>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</si>
  <si>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</si>
  <si>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</si>
  <si>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</si>
  <si>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</si>
  <si>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</si>
  <si>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</si>
  <si>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</si>
  <si>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</si>
  <si>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</si>
  <si>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</si>
  <si>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</si>
  <si>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</si>
  <si>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</si>
  <si>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</si>
  <si>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Barbourville-specific signal: of the 164 sessions with a known driver location, 96 originated in Kentucky and 68 came from other states (see Visitor Origin tab) - consistent with the station drawing highway/through traffic near US-25E, not only local drivers.</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</si>
  <si>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</si>
  <si>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</si>
  <si>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</si>
  <si>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</si>
  <si>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</si>
  <si>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</si>
  <si>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</si>
  <si>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</si>
  <si>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</si>
  <si>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</si>
  <si>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</si>
  <si>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</si>
  <si>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</si>
  <si>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</si>
  <si>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</si>
  <si>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</si>
  <si>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</si>
  <si>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</si>
  <si>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</si>
  <si>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</si>
  <si>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</si>
  <si>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These totals are computed directly from the source Organization Statement export (not live formulas, since the underlying components were consolidated during cleaning); see Read Me.</t>
  </si>
  <si>
    <t xml:space="preserve">Full Reconciliation Check — Every Billed Session</t>
  </si>
  <si>
    <t xml:space="preserve">• The station bills a posted per-kWh rate (from the Pricing Rule Name: $0.50/kWh or $0.40/kWh at City Hall, $0.25/kWh at Tourism).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regression against duration).</t>
  </si>
  <si>
    <t xml:space="preserve">• CHECK 1 — Gross Amount = Net Session Fee + Sales Tax + Service Fee (+ Excise/Other/Service Fee Tax, all $0 here): this reconciles EXACTLY for all 235 billed sessions once the ChargePoint service fee is added back into what the driver is charged (it is billed to the driver, then subtracted back out below for the owner’s payout). 0 session(s) fail this check by more than $0.02.</t>
  </si>
  <si>
    <t xml:space="preserve">• CHECK 2 — Payout Amount = Gross Amount − Service Fee − Flex Billing Service Fee − Sales Tax: this reconciles for 234 of 235 billed sessions. 1 session(s) do NOT reconcile and are flagged in red below.</t>
  </si>
  <si>
    <t xml:space="preserve">⚠ 1 session(s) do not reconcile — total discrepancy found: $0.99. See the highlighted row(s) in the full table below.</t>
  </si>
  <si>
    <t xml:space="preserve">Billed Sessions Checked</t>
  </si>
  <si>
    <t xml:space="preserve">Gross Amount Mismatches</t>
  </si>
  <si>
    <t xml:space="preserve">Payout Amount Mismatches</t>
  </si>
  <si>
    <t xml:space="preserve">Total $ Discrepancy Found</t>
  </si>
  <si>
    <t xml:space="preserve">Full Reconciliation Table — All 235 Billed Sessions</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</si>
  <si>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</si>
  <si>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</si>
  <si>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</si>
  <si>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</si>
  <si>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</si>
  <si>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</si>
  <si>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</si>
  <si>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</si>
  <si>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</si>
  <si>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Payout Amount</t>
  </si>
  <si>
    <t xml:space="preserve">Calc. Payout</t>
  </si>
  <si>
    <t xml:space="preserve">Payout Diff</t>
  </si>
  <si>
    <t xml:space="preserve">Flag</t>
  </si>
  <si>
    <t xml:space="preserve">BARBOURVILLE / CITY HALL</t>
  </si>
  <si>
    <t xml:space="preserve">FLAGGED</t>
  </si>
  <si>
    <t xml:space="preserve">BARBOURVILLE / TOURISM</t>
  </si>
  <si>
    <t xml:space="preserve">Flagged rows (if any) are sorted to the top and shown in red. "Calc. Gross" = Net Session Fee + Sales Tax + Service Fee (+ Excise/Other/Service Fee Tax, all $0 in this dataset). "Calc. Payout" = Gross Amount - Service Fee - Flex Billing Fee - Sales Tax.</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</si>
  <si>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</si>
  <si>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</si>
  <si>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</si>
  <si>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</si>
  <si>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</si>
  <si>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</si>
  <si>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</si>
  <si>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</si>
  <si>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</si>
  <si>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</si>
  <si>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</si>
  <si>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Usage: 288 sessions over the reporting period, averaging 44 minutes per session (median 31 min) and about 2.0 sessions on an active day.</t>
  </si>
  <si>
    <t xml:space="preserve">• Load intensity: 64% of sessions reached a peak power draw above 10 kW, and on average 81% of a session's plugged-in time was spent actively drawing more than 10 kW (the rest is likely finishing/trickle charging or idle plug-in time).</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</si>
  <si>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</si>
  <si>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</si>
  <si>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 while you visit downtown" charger than a fast-charging stop. See the Tourism (Level 2) and City Hall (Level 3) tabs for each charger on its own.</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</si>
  <si>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</si>
  <si>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</si>
  <si>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</si>
  <si>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</si>
  <si>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</si>
  <si>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</si>
  <si>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</si>
  <si>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</si>
  <si>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</si>
  <si>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</si>
  <si>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</si>
  <si>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</si>
  <si>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</si>
  <si>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The Barbourville City Hall / Tourism chargers delivered about 6,217 kWh and generated about $4,036 in gross session revenue over the past 12 months, across 288 charging sessions.</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</si>
  <si>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</si>
  <si>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</si>
  <si>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</si>
  <si>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</si>
  <si>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</si>
  <si>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</si>
  <si>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</si>
  <si>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</si>
  <si>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</si>
  <si>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</si>
  <si>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</si>
  <si>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</si>
  <si>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</si>
  <si>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</si>
  <si>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</si>
  <si>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</si>
  <si>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</si>
  <si>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</si>
  <si>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</si>
  <si>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</si>
  <si>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</si>
  <si>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</si>
  <si>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membership</t>
  </si>
  <si>
    <t xml:space="preserve">40701</t>
  </si>
  <si>
    <t xml:space="preserve">KY</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</si>
  <si>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</si>
  <si>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</si>
  <si>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</si>
  <si>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</si>
  <si>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</si>
  <si>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</si>
  <si>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</si>
  <si>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</si>
  <si>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</si>
  <si>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</si>
  <si>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</si>
  <si>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</si>
  <si>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</si>
  <si>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</si>
  <si>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</si>
  <si>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</si>
  <si>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</si>
  <si>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</si>
  <si>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</si>
  <si>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</si>
  <si>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</si>
  <si>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</si>
  <si>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</si>
  <si>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</si>
  <si>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</si>
  <si>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</si>
  <si>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</si>
  <si>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</si>
  <si>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</si>
  <si>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</si>
  <si>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</si>
  <si>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</si>
  <si>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</si>
  <si>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</si>
  <si>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</si>
  <si>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</si>
  <si>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</si>
  <si>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</si>
  <si>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</si>
  <si>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</si>
  <si>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</si>
  <si>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</si>
  <si>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</si>
  <si>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</si>
  <si>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</si>
  <si>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</si>
  <si>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</si>
  <si>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</si>
  <si>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</si>
  <si>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</si>
  <si>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</si>
  <si>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</si>
  <si>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</si>
  <si>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</si>
  <si>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</si>
  <si>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</si>
  <si>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</si>
  <si>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</si>
  <si>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</si>
  <si>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</si>
  <si>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</si>
  <si>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</si>
  <si>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</si>
  <si>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</si>
  <si>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</si>
  <si>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</si>
  <si>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</si>
  <si>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</si>
  <si>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</si>
  <si>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</si>
  <si>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</si>
  <si>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</si>
  <si>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</si>
  <si>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</si>
  <si>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</si>
  <si>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</si>
  <si>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</si>
  <si>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</si>
  <si>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</si>
  <si>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</si>
  <si>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</si>
  <si>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</si>
  <si>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</si>
  <si>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</si>
  <si>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</si>
  <si>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</si>
  <si>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</si>
  <si>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</si>
  <si>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</si>
  <si>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</si>
  <si>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</si>
  <si>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</si>
  <si>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</si>
  <si>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</si>
  <si>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</si>
  <si>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</si>
  <si>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</si>
  <si>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</si>
  <si>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</si>
  <si>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</si>
  <si>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</si>
  <si>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</si>
  <si>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</si>
  <si>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</si>
  <si>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</si>
  <si>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</si>
  <si>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</si>
  <si>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</si>
  <si>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</si>
  <si>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</si>
  <si>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</si>
  <si>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</si>
  <si>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</si>
  <si>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</si>
  <si>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</si>
  <si>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</si>
  <si>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</si>
  <si>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</si>
  <si>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</si>
  <si>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</si>
  <si>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</si>
  <si>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</si>
  <si>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</si>
  <si>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</si>
  <si>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</si>
  <si>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</si>
  <si>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</si>
  <si>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</si>
  <si>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</si>
  <si>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</si>
  <si>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</si>
  <si>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</si>
  <si>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</si>
  <si>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</si>
  <si>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</si>
  <si>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Aggregated from the 165 sessions (of 288) with a driver ZIP code on file. 124 sessions have no ZIP (guest/anonymous checkout) and are excluded from this breakdown.</t>
  </si>
</sst>
</file>

<file path=xl/styles.xml><?xml version="1.0" encoding="utf-8"?>
<styleSheet xmlns="http://schemas.openxmlformats.org/spreadsheetml/2006/main">
  <numFmts count="13">
    <numFmt numFmtId="164" formatCode="General"/>
    <numFmt numFmtId="165" formatCode="0"/>
    <numFmt numFmtId="166" formatCode="#,##0"/>
    <numFmt numFmtId="167" formatCode="\$#,##0"/>
    <numFmt numFmtId="168" formatCode="0.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6">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
      <patternFill patternType="solid">
        <fgColor rgb="FFFBE2E0"/>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7"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7"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general" vertical="bottom" textRotation="0" wrapText="true" indent="0" shrinkToFit="false"/>
      <protection locked="true" hidden="false"/>
    </xf>
    <xf numFmtId="165" fontId="18" fillId="5" borderId="0" xfId="0" applyFont="true" applyBorder="true" applyAlignment="false" applyProtection="false">
      <alignment horizontal="general" vertical="bottom" textRotation="0" wrapText="false" indent="0" shrinkToFit="false"/>
      <protection locked="true" hidden="false"/>
    </xf>
    <xf numFmtId="172" fontId="18" fillId="5" borderId="0"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5" fontId="7"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4447781"/>
        <c:axId val="98713005"/>
      </c:barChart>
      <c:catAx>
        <c:axId val="744477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13005"/>
        <c:crosses val="autoZero"/>
        <c:auto val="1"/>
        <c:lblAlgn val="ctr"/>
        <c:lblOffset val="100"/>
        <c:noMultiLvlLbl val="0"/>
      </c:catAx>
      <c:valAx>
        <c:axId val="987130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477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64591316"/>
        <c:axId val="79822019"/>
      </c:barChart>
      <c:catAx>
        <c:axId val="6459131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822019"/>
        <c:crosses val="autoZero"/>
        <c:auto val="1"/>
        <c:lblAlgn val="ctr"/>
        <c:lblOffset val="100"/>
        <c:noMultiLvlLbl val="0"/>
      </c:catAx>
      <c:valAx>
        <c:axId val="798220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913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27591221"/>
        <c:axId val="91144380"/>
      </c:lineChart>
      <c:catAx>
        <c:axId val="27591221"/>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144380"/>
        <c:crosses val="autoZero"/>
        <c:auto val="1"/>
        <c:lblAlgn val="ctr"/>
        <c:lblOffset val="100"/>
        <c:noMultiLvlLbl val="0"/>
      </c:catAx>
      <c:valAx>
        <c:axId val="9114438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9122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86255926"/>
        <c:axId val="83864939"/>
      </c:barChart>
      <c:catAx>
        <c:axId val="862559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864939"/>
        <c:crosses val="autoZero"/>
        <c:auto val="1"/>
        <c:lblAlgn val="ctr"/>
        <c:lblOffset val="100"/>
        <c:noMultiLvlLbl val="0"/>
      </c:catAx>
      <c:valAx>
        <c:axId val="838649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2559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55233044"/>
        <c:axId val="76683964"/>
      </c:barChart>
      <c:catAx>
        <c:axId val="552330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683964"/>
        <c:crosses val="autoZero"/>
        <c:auto val="1"/>
        <c:lblAlgn val="ctr"/>
        <c:lblOffset val="100"/>
        <c:noMultiLvlLbl val="0"/>
      </c:catAx>
      <c:valAx>
        <c:axId val="766839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3304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36552803"/>
        <c:axId val="98532082"/>
      </c:barChart>
      <c:catAx>
        <c:axId val="365528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32082"/>
        <c:crosses val="autoZero"/>
        <c:auto val="1"/>
        <c:lblAlgn val="ctr"/>
        <c:lblOffset val="100"/>
        <c:noMultiLvlLbl val="0"/>
      </c:catAx>
      <c:valAx>
        <c:axId val="985320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528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15136659"/>
        <c:axId val="9195601"/>
      </c:barChart>
      <c:catAx>
        <c:axId val="151366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5601"/>
        <c:crosses val="autoZero"/>
        <c:auto val="1"/>
        <c:lblAlgn val="ctr"/>
        <c:lblOffset val="100"/>
        <c:noMultiLvlLbl val="0"/>
      </c:catAx>
      <c:valAx>
        <c:axId val="91956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1366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10422392"/>
        <c:axId val="33256063"/>
      </c:barChart>
      <c:catAx>
        <c:axId val="104223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56063"/>
        <c:crosses val="autoZero"/>
        <c:auto val="1"/>
        <c:lblAlgn val="ctr"/>
        <c:lblOffset val="100"/>
        <c:noMultiLvlLbl val="0"/>
      </c:catAx>
      <c:valAx>
        <c:axId val="3325606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4223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3932302"/>
        <c:axId val="56391207"/>
      </c:lineChart>
      <c:catAx>
        <c:axId val="3932302"/>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91207"/>
        <c:crosses val="autoZero"/>
        <c:auto val="1"/>
        <c:lblAlgn val="ctr"/>
        <c:lblOffset val="100"/>
        <c:noMultiLvlLbl val="0"/>
      </c:catAx>
      <c:valAx>
        <c:axId val="563912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323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6819159"/>
        <c:axId val="4958890"/>
      </c:barChart>
      <c:catAx>
        <c:axId val="68191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58890"/>
        <c:crosses val="autoZero"/>
        <c:auto val="1"/>
        <c:lblAlgn val="ctr"/>
        <c:lblOffset val="100"/>
        <c:noMultiLvlLbl val="0"/>
      </c:catAx>
      <c:valAx>
        <c:axId val="495889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91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7.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0</xdr:rowOff>
    </xdr:from>
    <xdr:to>
      <xdr:col>4</xdr:col>
      <xdr:colOff>654480</xdr:colOff>
      <xdr:row>33</xdr:row>
      <xdr:rowOff>22320</xdr:rowOff>
    </xdr:to>
    <xdr:graphicFrame>
      <xdr:nvGraphicFramePr>
        <xdr:cNvPr id="0" name="Chart 1"/>
        <xdr:cNvGraphicFramePr/>
      </xdr:nvGraphicFramePr>
      <xdr:xfrm>
        <a:off x="0" y="41338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18</xdr:row>
      <xdr:rowOff>0</xdr:rowOff>
    </xdr:from>
    <xdr:to>
      <xdr:col>8</xdr:col>
      <xdr:colOff>654480</xdr:colOff>
      <xdr:row>33</xdr:row>
      <xdr:rowOff>22320</xdr:rowOff>
    </xdr:to>
    <xdr:graphicFrame>
      <xdr:nvGraphicFramePr>
        <xdr:cNvPr id="1" name="Chart 2"/>
        <xdr:cNvGraphicFramePr/>
      </xdr:nvGraphicFramePr>
      <xdr:xfrm>
        <a:off x="3665160" y="4133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18</xdr:row>
      <xdr:rowOff>0</xdr:rowOff>
    </xdr:from>
    <xdr:to>
      <xdr:col>12</xdr:col>
      <xdr:colOff>654120</xdr:colOff>
      <xdr:row>33</xdr:row>
      <xdr:rowOff>22320</xdr:rowOff>
    </xdr:to>
    <xdr:graphicFrame>
      <xdr:nvGraphicFramePr>
        <xdr:cNvPr id="2" name="Chart 3"/>
        <xdr:cNvGraphicFramePr/>
      </xdr:nvGraphicFramePr>
      <xdr:xfrm>
        <a:off x="7330320" y="413388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18</xdr:row>
      <xdr:rowOff>0</xdr:rowOff>
    </xdr:from>
    <xdr:to>
      <xdr:col>17</xdr:col>
      <xdr:colOff>43200</xdr:colOff>
      <xdr:row>33</xdr:row>
      <xdr:rowOff>22320</xdr:rowOff>
    </xdr:to>
    <xdr:graphicFrame>
      <xdr:nvGraphicFramePr>
        <xdr:cNvPr id="3" name="Chart 4"/>
        <xdr:cNvGraphicFramePr/>
      </xdr:nvGraphicFramePr>
      <xdr:xfrm>
        <a:off x="10995840" y="413388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row>
    <row r="5" customFormat="false" ht="15" hidden="false" customHeight="false" outlineLevel="0" collapsed="false">
      <c r="A5" s="9" t="n">
        <f aca="false">COUNTA('Raw - Sessions'!A5:A292)</f>
        <v>288</v>
      </c>
      <c r="B5" s="9"/>
      <c r="C5" s="10" t="n">
        <f aca="false">SUM('Raw - Sessions'!E5:E292)</f>
        <v>6216.705528</v>
      </c>
      <c r="D5" s="10"/>
      <c r="E5" s="11" t="n">
        <f aca="false">SUM('Raw - Sessions'!P5:P292)</f>
        <v>4036.12</v>
      </c>
      <c r="F5" s="11"/>
      <c r="G5" s="11" t="n">
        <f aca="false">SUM('Raw - Sessions'!Q5:Q292)</f>
        <v>3415.92</v>
      </c>
      <c r="H5" s="11"/>
      <c r="I5" s="9" t="n">
        <f aca="false">COUNTIFS('Raw - Sessions'!$O$5:$O$292,"&lt;&gt;",'Raw - Sessions'!$O$5:$O$292,"&lt;&gt;KY")</f>
        <v>68</v>
      </c>
      <c r="J5" s="9"/>
      <c r="K5" s="9" t="n">
        <f aca="false">AVERAGE('Raw - Sessions'!D5:D292)*60</f>
        <v>44.3798032407407</v>
      </c>
      <c r="L5" s="9"/>
    </row>
    <row r="6" customFormat="false" ht="15" hidden="false" customHeight="false" outlineLevel="0" collapsed="false">
      <c r="A6" s="9"/>
      <c r="B6" s="9"/>
      <c r="C6" s="10"/>
      <c r="D6" s="10"/>
      <c r="E6" s="11"/>
      <c r="F6" s="11"/>
      <c r="G6" s="11"/>
      <c r="H6" s="11"/>
      <c r="I6" s="9"/>
      <c r="J6" s="9"/>
      <c r="K6" s="9"/>
      <c r="L6" s="9"/>
    </row>
    <row r="9" customFormat="false" ht="15" hidden="false" customHeight="false" outlineLevel="0" collapsed="false">
      <c r="A9" s="4" t="s">
        <v>43</v>
      </c>
    </row>
    <row r="10" customFormat="false" ht="15" hidden="false" customHeight="false" outlineLevel="0" collapsed="false">
      <c r="A10" s="12" t="s">
        <v>44</v>
      </c>
      <c r="B10" s="12" t="s">
        <v>45</v>
      </c>
      <c r="C10" s="12" t="s">
        <v>46</v>
      </c>
    </row>
    <row r="11" customFormat="false" ht="15" hidden="false" customHeight="false" outlineLevel="0" collapsed="false">
      <c r="A11" s="13" t="s">
        <v>47</v>
      </c>
      <c r="B11" s="14" t="n">
        <f aca="false">COUNTIF('Raw - Sessions'!$K$5:$K$292,"BARBOURVILLE / TOURISM")</f>
        <v>49</v>
      </c>
      <c r="C11" s="14" t="n">
        <f aca="false">COUNTIF('Raw - Sessions'!$K$5:$K$292,"BARBOURVILLE / CITY HALL")</f>
        <v>239</v>
      </c>
    </row>
    <row r="12" customFormat="false" ht="15" hidden="false" customHeight="false" outlineLevel="0" collapsed="false">
      <c r="A12" s="15" t="s">
        <v>48</v>
      </c>
      <c r="B12" s="16" t="n">
        <f aca="false">SUMIF('Raw - Sessions'!$K$5:$K$292,"BARBOURVILLE / TOURISM",'Raw - Sessions'!$E$5:$E$292)</f>
        <v>392.20674</v>
      </c>
      <c r="C12" s="16" t="n">
        <f aca="false">SUMIF('Raw - Sessions'!$K$5:$K$292,"BARBOURVILLE / CITY HALL",'Raw - Sessions'!$E$5:$E$292)</f>
        <v>5824.498788</v>
      </c>
    </row>
    <row r="13" customFormat="false" ht="15" hidden="false" customHeight="false" outlineLevel="0" collapsed="false">
      <c r="A13" s="13" t="s">
        <v>49</v>
      </c>
      <c r="B13" s="17" t="n">
        <f aca="false">SUMIF('Raw - Sessions'!$K$5:$K$292,"BARBOURVILLE / TOURISM",'Raw - Sessions'!$P$5:$P$292)</f>
        <v>458.21</v>
      </c>
      <c r="C13" s="17" t="n">
        <f aca="false">SUMIF('Raw - Sessions'!$K$5:$K$292,"BARBOURVILLE / CITY HALL",'Raw - Sessions'!$P$5:$P$292)</f>
        <v>3577.91</v>
      </c>
    </row>
    <row r="14" customFormat="false" ht="15" hidden="false" customHeight="false" outlineLevel="0" collapsed="false">
      <c r="A14" s="15" t="s">
        <v>42</v>
      </c>
      <c r="B14" s="18" t="n">
        <f aca="false">AVERAGEIFS('Raw - Sessions'!$D$5:$D$292,'Raw - Sessions'!$K$5:$K$292,"BARBOURVILLE / TOURISM")*60</f>
        <v>77.5391156462585</v>
      </c>
      <c r="C14" s="18" t="n">
        <f aca="false">AVERAGEIFS('Raw - Sessions'!$D$5:$D$292,'Raw - Sessions'!$K$5:$K$292,"BARBOURVILLE / CITY HALL")*60</f>
        <v>37.5814504881451</v>
      </c>
    </row>
    <row r="15" customFormat="false" ht="15" hidden="false" customHeight="false" outlineLevel="0" collapsed="false">
      <c r="A15" s="13" t="s">
        <v>50</v>
      </c>
      <c r="B15" s="19" t="n">
        <f aca="false">SUMPRODUCT(MAX(('Raw - Sessions'!$K$5:$K$292="BARBOURVILLE / TOURISM")*'Raw - Sessions'!F5:F292))</f>
        <v>7.4007</v>
      </c>
      <c r="C15" s="19" t="n">
        <f aca="false">SUMPRODUCT(MAX(('Raw - Sessions'!$K$5:$K$292="BARBOURVILLE / CITY HALL")*'Raw - Sessions'!F5:F292))</f>
        <v>62.882</v>
      </c>
    </row>
    <row r="17" customFormat="false" ht="43.5" hidden="false" customHeight="true" outlineLevel="0" collapsed="false">
      <c r="A17" s="20" t="s">
        <v>51</v>
      </c>
      <c r="B17" s="20"/>
      <c r="C17" s="20"/>
      <c r="D17" s="20"/>
      <c r="E17" s="20"/>
      <c r="F17" s="20"/>
      <c r="G17" s="20"/>
      <c r="H17" s="20"/>
    </row>
  </sheetData>
  <mergeCells count="15">
    <mergeCell ref="A1:P1"/>
    <mergeCell ref="A2:P2"/>
    <mergeCell ref="A4:B4"/>
    <mergeCell ref="C4:D4"/>
    <mergeCell ref="E4:F4"/>
    <mergeCell ref="G4:H4"/>
    <mergeCell ref="I4:J4"/>
    <mergeCell ref="K4:L4"/>
    <mergeCell ref="A5:B6"/>
    <mergeCell ref="C5:D6"/>
    <mergeCell ref="E5:F6"/>
    <mergeCell ref="G5:H6"/>
    <mergeCell ref="I5:J6"/>
    <mergeCell ref="K5:L6"/>
    <mergeCell ref="A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1" t="s">
        <v>52</v>
      </c>
      <c r="B1" s="21"/>
      <c r="C1" s="21"/>
      <c r="D1" s="21"/>
      <c r="E1" s="21"/>
      <c r="F1" s="21"/>
      <c r="G1" s="21"/>
      <c r="H1" s="21"/>
    </row>
    <row r="2" customFormat="false" ht="15" hidden="false" customHeight="false" outlineLevel="0" collapsed="false">
      <c r="A2" s="22" t="s">
        <v>53</v>
      </c>
    </row>
    <row r="3" customFormat="false" ht="30" hidden="false" customHeight="true" outlineLevel="0" collapsed="false">
      <c r="A3" s="23" t="s">
        <v>54</v>
      </c>
      <c r="B3" s="23"/>
      <c r="C3" s="23"/>
      <c r="D3" s="23"/>
      <c r="E3" s="23"/>
      <c r="F3" s="23"/>
      <c r="G3" s="23"/>
      <c r="H3" s="23"/>
    </row>
    <row r="5" customFormat="false" ht="27.75" hidden="false" customHeight="true" outlineLevel="0" collapsed="false">
      <c r="A5" s="24" t="s">
        <v>47</v>
      </c>
      <c r="B5" s="24"/>
      <c r="C5" s="24" t="s">
        <v>38</v>
      </c>
      <c r="D5" s="24"/>
      <c r="E5" s="24" t="s">
        <v>55</v>
      </c>
      <c r="F5" s="24"/>
      <c r="G5" s="24" t="s">
        <v>56</v>
      </c>
      <c r="H5" s="24"/>
      <c r="I5" s="24" t="s">
        <v>57</v>
      </c>
      <c r="J5" s="24"/>
    </row>
    <row r="6" customFormat="false" ht="15" hidden="false" customHeight="false" outlineLevel="0" collapsed="false">
      <c r="A6" s="25" t="n">
        <f aca="false">COUNTIF('Raw - Sessions'!$K$5:$K$292,"BARBOURVILLE / TOURISM")</f>
        <v>49</v>
      </c>
      <c r="B6" s="25"/>
      <c r="C6" s="26" t="n">
        <f aca="false">SUMIF('Raw - Sessions'!$K$5:$K$292,"BARBOURVILLE / TOURISM",'Raw - Sessions'!$E$5:$E$292)</f>
        <v>392.20674</v>
      </c>
      <c r="D6" s="26"/>
      <c r="E6" s="27" t="n">
        <f aca="false">SUMIF('Raw - Sessions'!$K$5:$K$292,"BARBOURVILLE / TOURISM",'Raw - Sessions'!$P$5:$P$292)</f>
        <v>458.21</v>
      </c>
      <c r="F6" s="27"/>
      <c r="G6" s="25" t="n">
        <f aca="false">AVERAGEIFS('Raw - Sessions'!$D$5:$D$292,'Raw - Sessions'!$K$5:$K$292,"BARBOURVILLE / TOURISM")*60</f>
        <v>77.5391156462585</v>
      </c>
      <c r="H6" s="25"/>
      <c r="I6" s="28" t="n">
        <f aca="false">IFERROR(COUNTIFS('Raw - Sessions'!$K$5:$K$292,"BARBOURVILLE / TOURISM",'Raw - Sessions'!$F$5:$F$292,"&gt;3")/COUNTIFS('Raw - Sessions'!$K$5:$K$292,"BARBOURVILLE / TOURISM",'Raw - Sessions'!$F$5:$F$292,"&lt;&gt;"),0)</f>
        <v>0.777777777777778</v>
      </c>
      <c r="J6" s="28"/>
    </row>
    <row r="7" customFormat="false" ht="15" hidden="false" customHeight="false" outlineLevel="0" collapsed="false">
      <c r="A7" s="25"/>
      <c r="B7" s="25"/>
      <c r="C7" s="26"/>
      <c r="D7" s="26"/>
      <c r="E7" s="27"/>
      <c r="F7" s="27"/>
      <c r="G7" s="25"/>
      <c r="H7" s="25"/>
      <c r="I7" s="28"/>
      <c r="J7" s="28"/>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TOURISM",'Raw - Sessions'!$G$5:$G$292,A12)</f>
        <v>0</v>
      </c>
      <c r="C12" s="30" t="n">
        <f aca="false">IFERROR(AVERAGEIFS('Raw - Sessions'!$D$5:$D$292,'Raw - Sessions'!$K$5:$K$292,"BARBOURVILLE / TOURISM",'Raw - Sessions'!$G$5:$G$292,A12),0)</f>
        <v>0</v>
      </c>
      <c r="D12" s="19" t="n">
        <f aca="false">SUMIFS('Raw - Sessions'!$E$5:$E$292,'Raw - Sessions'!$K$5:$K$292,"BARBOURVILLE / TOURISM",'Raw - Sessions'!$G$5:$G$292,A12)</f>
        <v>0</v>
      </c>
    </row>
    <row r="13" customFormat="false" ht="15" hidden="false" customHeight="false" outlineLevel="0" collapsed="false">
      <c r="A13" s="15" t="s">
        <v>62</v>
      </c>
      <c r="B13" s="15" t="n">
        <f aca="false">COUNTIFS('Raw - Sessions'!$K$5:$K$292,"BARBOURVILLE / TOURISM",'Raw - Sessions'!$G$5:$G$292,A13)</f>
        <v>17</v>
      </c>
      <c r="C13" s="31" t="n">
        <f aca="false">IFERROR(AVERAGEIFS('Raw - Sessions'!$D$5:$D$292,'Raw - Sessions'!$K$5:$K$292,"BARBOURVILLE / TOURISM",'Raw - Sessions'!$G$5:$G$292,A13),0)</f>
        <v>1.09633986928105</v>
      </c>
      <c r="D13" s="32" t="n">
        <f aca="false">SUMIFS('Raw - Sessions'!$E$5:$E$292,'Raw - Sessions'!$K$5:$K$292,"BARBOURVILLE / TOURISM",'Raw - Sessions'!$G$5:$G$292,A13)</f>
        <v>130.907189</v>
      </c>
    </row>
    <row r="14" customFormat="false" ht="15" hidden="false" customHeight="false" outlineLevel="0" collapsed="false">
      <c r="A14" s="13" t="s">
        <v>63</v>
      </c>
      <c r="B14" s="13" t="n">
        <f aca="false">COUNTIFS('Raw - Sessions'!$K$5:$K$292,"BARBOURVILLE / TOURISM",'Raw - Sessions'!$G$5:$G$292,A14)</f>
        <v>15</v>
      </c>
      <c r="C14" s="30" t="n">
        <f aca="false">IFERROR(AVERAGEIFS('Raw - Sessions'!$D$5:$D$292,'Raw - Sessions'!$K$5:$K$292,"BARBOURVILLE / TOURISM",'Raw - Sessions'!$G$5:$G$292,A14),0)</f>
        <v>1.62535185185185</v>
      </c>
      <c r="D14" s="19" t="n">
        <f aca="false">SUMIFS('Raw - Sessions'!$E$5:$E$292,'Raw - Sessions'!$K$5:$K$292,"BARBOURVILLE / TOURISM",'Raw - Sessions'!$G$5:$G$292,A14)</f>
        <v>142.403637</v>
      </c>
    </row>
    <row r="15" customFormat="false" ht="15" hidden="false" customHeight="false" outlineLevel="0" collapsed="false">
      <c r="A15" s="15" t="s">
        <v>64</v>
      </c>
      <c r="B15" s="15" t="n">
        <f aca="false">COUNTIFS('Raw - Sessions'!$K$5:$K$292,"BARBOURVILLE / TOURISM",'Raw - Sessions'!$G$5:$G$292,A15)</f>
        <v>17</v>
      </c>
      <c r="C15" s="31" t="n">
        <f aca="false">IFERROR(AVERAGEIFS('Raw - Sessions'!$D$5:$D$292,'Raw - Sessions'!$K$5:$K$292,"BARBOURVILLE / TOURISM",'Raw - Sessions'!$G$5:$G$292,A15),0)</f>
        <v>1.19444444444444</v>
      </c>
      <c r="D15" s="32" t="n">
        <f aca="false">SUMIFS('Raw - Sessions'!$E$5:$E$292,'Raw - Sessions'!$K$5:$K$292,"BARBOURVILLE / TOURISM",'Raw - Sessions'!$G$5:$G$292,A15)</f>
        <v>118.895914</v>
      </c>
    </row>
    <row r="17" customFormat="false" ht="15" hidden="false" customHeight="false" outlineLevel="0" collapsed="false">
      <c r="A17" s="2" t="s">
        <v>65</v>
      </c>
      <c r="C17" s="2" t="n">
        <f aca="false">COUNTIFS('Raw - Sessions'!$K$5:$K$292,"BARBOURVILLE / TOURISM",'Raw - Sessions'!$I$5:$I$292,TRUE())</f>
        <v>17</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TOURISM",'Raw - Sessions'!$B$5:$B$292,"&gt;="&amp;A22,'Raw - Sessions'!$B$5:$B$292,"&lt;"&amp;DATE(YEAR(A22),MONTH(A22)+1,1))</f>
        <v>5</v>
      </c>
      <c r="C22" s="35" t="n">
        <f aca="false">SUMIFS('Raw - Sessions'!$P$5:$P$292,'Raw - Sessions'!$K$5:$K$292,"BARBOURVILLE / TOURISM",'Raw - Sessions'!$B$5:$B$292,"&gt;="&amp;A22,'Raw - Sessions'!$B$5:$B$292,"&lt;"&amp;DATE(YEAR(A22),MONTH(A22)+1,1))</f>
        <v>5.8</v>
      </c>
      <c r="D22" s="19" t="n">
        <f aca="false">SUMIFS('Raw - Sessions'!$E$5:$E$292,'Raw - Sessions'!$K$5:$K$292,"BARBOURVILLE / TOURISM",'Raw - Sessions'!$B$5:$B$292,"&gt;="&amp;A22,'Raw - Sessions'!$B$5:$B$292,"&lt;"&amp;DATE(YEAR(A22),MONTH(A22)+1,1))</f>
        <v>21.88127</v>
      </c>
    </row>
    <row r="23" customFormat="false" ht="15" hidden="false" customHeight="false" outlineLevel="0" collapsed="false">
      <c r="A23" s="36" t="n">
        <v>45962</v>
      </c>
      <c r="B23" s="15" t="n">
        <f aca="false">COUNTIFS('Raw - Sessions'!$K$5:$K$292,"BARBOURVILLE / TOURISM",'Raw - Sessions'!$B$5:$B$292,"&gt;="&amp;A23,'Raw - Sessions'!$B$5:$B$292,"&lt;"&amp;DATE(YEAR(A23),MONTH(A23)+1,1))</f>
        <v>5</v>
      </c>
      <c r="C23" s="37" t="n">
        <f aca="false">SUMIFS('Raw - Sessions'!$P$5:$P$292,'Raw - Sessions'!$K$5:$K$292,"BARBOURVILLE / TOURISM",'Raw - Sessions'!$B$5:$B$292,"&gt;="&amp;A23,'Raw - Sessions'!$B$5:$B$292,"&lt;"&amp;DATE(YEAR(A23),MONTH(A23)+1,1))</f>
        <v>7.28</v>
      </c>
      <c r="D23" s="32" t="n">
        <f aca="false">SUMIFS('Raw - Sessions'!$E$5:$E$292,'Raw - Sessions'!$K$5:$K$292,"BARBOURVILLE / TOURISM",'Raw - Sessions'!$B$5:$B$292,"&gt;="&amp;A23,'Raw - Sessions'!$B$5:$B$292,"&lt;"&amp;DATE(YEAR(A23),MONTH(A23)+1,1))</f>
        <v>7.177646</v>
      </c>
    </row>
    <row r="24" customFormat="false" ht="15" hidden="false" customHeight="false" outlineLevel="0" collapsed="false">
      <c r="A24" s="34" t="n">
        <v>45992</v>
      </c>
      <c r="B24" s="13" t="n">
        <f aca="false">COUNTIFS('Raw - Sessions'!$K$5:$K$292,"BARBOURVILLE / TOURISM",'Raw - Sessions'!$B$5:$B$292,"&gt;="&amp;A24,'Raw - Sessions'!$B$5:$B$292,"&lt;"&amp;DATE(YEAR(A24),MONTH(A24)+1,1))</f>
        <v>7</v>
      </c>
      <c r="C24" s="35" t="n">
        <f aca="false">SUMIFS('Raw - Sessions'!$P$5:$P$292,'Raw - Sessions'!$K$5:$K$292,"BARBOURVILLE / TOURISM",'Raw - Sessions'!$B$5:$B$292,"&gt;="&amp;A24,'Raw - Sessions'!$B$5:$B$292,"&lt;"&amp;DATE(YEAR(A24),MONTH(A24)+1,1))</f>
        <v>152.82</v>
      </c>
      <c r="D24" s="19" t="n">
        <f aca="false">SUMIFS('Raw - Sessions'!$E$5:$E$292,'Raw - Sessions'!$K$5:$K$292,"BARBOURVILLE / TOURISM",'Raw - Sessions'!$B$5:$B$292,"&gt;="&amp;A24,'Raw - Sessions'!$B$5:$B$292,"&lt;"&amp;DATE(YEAR(A24),MONTH(A24)+1,1))</f>
        <v>151.488664</v>
      </c>
    </row>
    <row r="25" customFormat="false" ht="15" hidden="false" customHeight="false" outlineLevel="0" collapsed="false">
      <c r="A25" s="36" t="n">
        <v>46023</v>
      </c>
      <c r="B25" s="15" t="n">
        <f aca="false">COUNTIFS('Raw - Sessions'!$K$5:$K$292,"BARBOURVILLE / TOURISM",'Raw - Sessions'!$B$5:$B$292,"&gt;="&amp;A25,'Raw - Sessions'!$B$5:$B$292,"&lt;"&amp;DATE(YEAR(A25),MONTH(A25)+1,1))</f>
        <v>0</v>
      </c>
      <c r="C25" s="37" t="n">
        <f aca="false">SUMIFS('Raw - Sessions'!$P$5:$P$292,'Raw - Sessions'!$K$5:$K$292,"BARBOURVILLE / TOURISM",'Raw - Sessions'!$B$5:$B$292,"&gt;="&amp;A25,'Raw - Sessions'!$B$5:$B$292,"&lt;"&amp;DATE(YEAR(A25),MONTH(A25)+1,1))</f>
        <v>0</v>
      </c>
      <c r="D25" s="32" t="n">
        <f aca="false">SUMIFS('Raw - Sessions'!$E$5:$E$292,'Raw - Sessions'!$K$5:$K$292,"BARBOURVILLE / TOURISM",'Raw - Sessions'!$B$5:$B$292,"&gt;="&amp;A25,'Raw - Sessions'!$B$5:$B$292,"&lt;"&amp;DATE(YEAR(A25),MONTH(A25)+1,1))</f>
        <v>0</v>
      </c>
    </row>
    <row r="26" customFormat="false" ht="15" hidden="false" customHeight="false" outlineLevel="0" collapsed="false">
      <c r="A26" s="34" t="n">
        <v>46054</v>
      </c>
      <c r="B26" s="13" t="n">
        <f aca="false">COUNTIFS('Raw - Sessions'!$K$5:$K$292,"BARBOURVILLE / TOURISM",'Raw - Sessions'!$B$5:$B$292,"&gt;="&amp;A26,'Raw - Sessions'!$B$5:$B$292,"&lt;"&amp;DATE(YEAR(A26),MONTH(A26)+1,1))</f>
        <v>3</v>
      </c>
      <c r="C26" s="35" t="n">
        <f aca="false">SUMIFS('Raw - Sessions'!$P$5:$P$292,'Raw - Sessions'!$K$5:$K$292,"BARBOURVILLE / TOURISM",'Raw - Sessions'!$B$5:$B$292,"&gt;="&amp;A26,'Raw - Sessions'!$B$5:$B$292,"&lt;"&amp;DATE(YEAR(A26),MONTH(A26)+1,1))</f>
        <v>35.46</v>
      </c>
      <c r="D26" s="19" t="n">
        <f aca="false">SUMIFS('Raw - Sessions'!$E$5:$E$292,'Raw - Sessions'!$K$5:$K$292,"BARBOURVILLE / TOURISM",'Raw - Sessions'!$B$5:$B$292,"&gt;="&amp;A26,'Raw - Sessions'!$B$5:$B$292,"&lt;"&amp;DATE(YEAR(A26),MONTH(A26)+1,1))</f>
        <v>22.638451</v>
      </c>
    </row>
    <row r="27" customFormat="false" ht="15" hidden="false" customHeight="false" outlineLevel="0" collapsed="false">
      <c r="A27" s="36" t="n">
        <v>46082</v>
      </c>
      <c r="B27" s="15" t="n">
        <f aca="false">COUNTIFS('Raw - Sessions'!$K$5:$K$292,"BARBOURVILLE / TOURISM",'Raw - Sessions'!$B$5:$B$292,"&gt;="&amp;A27,'Raw - Sessions'!$B$5:$B$292,"&lt;"&amp;DATE(YEAR(A27),MONTH(A27)+1,1))</f>
        <v>3</v>
      </c>
      <c r="C27" s="37" t="n">
        <f aca="false">SUMIFS('Raw - Sessions'!$P$5:$P$292,'Raw - Sessions'!$K$5:$K$292,"BARBOURVILLE / TOURISM",'Raw - Sessions'!$B$5:$B$292,"&gt;="&amp;A27,'Raw - Sessions'!$B$5:$B$292,"&lt;"&amp;DATE(YEAR(A27),MONTH(A27)+1,1))</f>
        <v>52.15</v>
      </c>
      <c r="D27" s="32" t="n">
        <f aca="false">SUMIFS('Raw - Sessions'!$E$5:$E$292,'Raw - Sessions'!$K$5:$K$292,"BARBOURVILLE / TOURISM",'Raw - Sessions'!$B$5:$B$292,"&gt;="&amp;A27,'Raw - Sessions'!$B$5:$B$292,"&lt;"&amp;DATE(YEAR(A27),MONTH(A27)+1,1))</f>
        <v>41.212752</v>
      </c>
    </row>
    <row r="28" customFormat="false" ht="15" hidden="false" customHeight="false" outlineLevel="0" collapsed="false">
      <c r="A28" s="34" t="n">
        <v>46113</v>
      </c>
      <c r="B28" s="13" t="n">
        <f aca="false">COUNTIFS('Raw - Sessions'!$K$5:$K$292,"BARBOURVILLE / TOURISM",'Raw - Sessions'!$B$5:$B$292,"&gt;="&amp;A28,'Raw - Sessions'!$B$5:$B$292,"&lt;"&amp;DATE(YEAR(A28),MONTH(A28)+1,1))</f>
        <v>10</v>
      </c>
      <c r="C28" s="35" t="n">
        <f aca="false">SUMIFS('Raw - Sessions'!$P$5:$P$292,'Raw - Sessions'!$K$5:$K$292,"BARBOURVILLE / TOURISM",'Raw - Sessions'!$B$5:$B$292,"&gt;="&amp;A28,'Raw - Sessions'!$B$5:$B$292,"&lt;"&amp;DATE(YEAR(A28),MONTH(A28)+1,1))</f>
        <v>88.35</v>
      </c>
      <c r="D28" s="19" t="n">
        <f aca="false">SUMIFS('Raw - Sessions'!$E$5:$E$292,'Raw - Sessions'!$K$5:$K$292,"BARBOURVILLE / TOURISM",'Raw - Sessions'!$B$5:$B$292,"&gt;="&amp;A28,'Raw - Sessions'!$B$5:$B$292,"&lt;"&amp;DATE(YEAR(A28),MONTH(A28)+1,1))</f>
        <v>69.705949</v>
      </c>
    </row>
    <row r="29" customFormat="false" ht="15" hidden="false" customHeight="false" outlineLevel="0" collapsed="false">
      <c r="A29" s="36" t="n">
        <v>46143</v>
      </c>
      <c r="B29" s="15" t="n">
        <f aca="false">COUNTIFS('Raw - Sessions'!$K$5:$K$292,"BARBOURVILLE / TOURISM",'Raw - Sessions'!$B$5:$B$292,"&gt;="&amp;A29,'Raw - Sessions'!$B$5:$B$292,"&lt;"&amp;DATE(YEAR(A29),MONTH(A29)+1,1))</f>
        <v>9</v>
      </c>
      <c r="C29" s="37" t="n">
        <f aca="false">SUMIFS('Raw - Sessions'!$P$5:$P$292,'Raw - Sessions'!$K$5:$K$292,"BARBOURVILLE / TOURISM",'Raw - Sessions'!$B$5:$B$292,"&gt;="&amp;A29,'Raw - Sessions'!$B$5:$B$292,"&lt;"&amp;DATE(YEAR(A29),MONTH(A29)+1,1))</f>
        <v>68.98</v>
      </c>
      <c r="D29" s="32" t="n">
        <f aca="false">SUMIFS('Raw - Sessions'!$E$5:$E$292,'Raw - Sessions'!$K$5:$K$292,"BARBOURVILLE / TOURISM",'Raw - Sessions'!$B$5:$B$292,"&gt;="&amp;A29,'Raw - Sessions'!$B$5:$B$292,"&lt;"&amp;DATE(YEAR(A29),MONTH(A29)+1,1))</f>
        <v>52.069591</v>
      </c>
    </row>
    <row r="30" customFormat="false" ht="15" hidden="false" customHeight="false" outlineLevel="0" collapsed="false">
      <c r="A30" s="34" t="n">
        <v>46174</v>
      </c>
      <c r="B30" s="13" t="n">
        <f aca="false">COUNTIFS('Raw - Sessions'!$K$5:$K$292,"BARBOURVILLE / TOURISM",'Raw - Sessions'!$B$5:$B$292,"&gt;="&amp;A30,'Raw - Sessions'!$B$5:$B$292,"&lt;"&amp;DATE(YEAR(A30),MONTH(A30)+1,1))</f>
        <v>6</v>
      </c>
      <c r="C30" s="35" t="n">
        <f aca="false">SUMIFS('Raw - Sessions'!$P$5:$P$292,'Raw - Sessions'!$K$5:$K$292,"BARBOURVILLE / TOURISM",'Raw - Sessions'!$B$5:$B$292,"&gt;="&amp;A30,'Raw - Sessions'!$B$5:$B$292,"&lt;"&amp;DATE(YEAR(A30),MONTH(A30)+1,1))</f>
        <v>20.67</v>
      </c>
      <c r="D30" s="19" t="n">
        <f aca="false">SUMIFS('Raw - Sessions'!$E$5:$E$292,'Raw - Sessions'!$K$5:$K$292,"BARBOURVILLE / TOURISM",'Raw - Sessions'!$B$5:$B$292,"&gt;="&amp;A30,'Raw - Sessions'!$B$5:$B$292,"&lt;"&amp;DATE(YEAR(A30),MONTH(A30)+1,1))</f>
        <v>13.727628</v>
      </c>
    </row>
    <row r="31" customFormat="false" ht="15" hidden="false" customHeight="false" outlineLevel="0" collapsed="false">
      <c r="A31" s="36" t="n">
        <v>46204</v>
      </c>
      <c r="B31" s="15" t="n">
        <f aca="false">COUNTIFS('Raw - Sessions'!$K$5:$K$292,"BARBOURVILLE / TOURISM",'Raw - Sessions'!$B$5:$B$292,"&gt;="&amp;A31,'Raw - Sessions'!$B$5:$B$292,"&lt;"&amp;DATE(YEAR(A31),MONTH(A31)+1,1))</f>
        <v>1</v>
      </c>
      <c r="C31" s="37" t="n">
        <f aca="false">SUMIFS('Raw - Sessions'!$P$5:$P$292,'Raw - Sessions'!$K$5:$K$292,"BARBOURVILLE / TOURISM",'Raw - Sessions'!$B$5:$B$292,"&gt;="&amp;A31,'Raw - Sessions'!$B$5:$B$292,"&lt;"&amp;DATE(YEAR(A31),MONTH(A31)+1,1))</f>
        <v>26.7</v>
      </c>
      <c r="D31" s="32" t="n">
        <f aca="false">SUMIFS('Raw - Sessions'!$E$5:$E$292,'Raw - Sessions'!$K$5:$K$292,"BARBOURVILLE / TOURISM",'Raw - Sessions'!$B$5:$B$292,"&gt;="&amp;A31,'Raw - Sessions'!$B$5:$B$292,"&lt;"&amp;DATE(YEAR(A31),MONTH(A31)+1,1))</f>
        <v>12.304789</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TOURISM",'Raw - Sessions'!$O$5:$O$292,A36)</f>
        <v>7</v>
      </c>
    </row>
    <row r="37" customFormat="false" ht="15" hidden="false" customHeight="false" outlineLevel="0" collapsed="false">
      <c r="A37" s="15" t="str">
        <f aca="false">'Visitor Origin'!A6</f>
        <v>TN</v>
      </c>
      <c r="B37" s="15" t="n">
        <f aca="false">COUNTIFS('Raw - Sessions'!$K$5:$K$292,"BARBOURVILLE / TOURISM",'Raw - Sessions'!$O$5:$O$292,A37)</f>
        <v>1</v>
      </c>
    </row>
    <row r="38" customFormat="false" ht="15" hidden="false" customHeight="false" outlineLevel="0" collapsed="false">
      <c r="A38" s="13" t="str">
        <f aca="false">'Visitor Origin'!A7</f>
        <v>OH</v>
      </c>
      <c r="B38" s="13" t="n">
        <f aca="false">COUNTIFS('Raw - Sessions'!$K$5:$K$292,"BARBOURVILLE / TOURISM",'Raw - Sessions'!$O$5:$O$292,A38)</f>
        <v>1</v>
      </c>
    </row>
    <row r="39" customFormat="false" ht="15" hidden="false" customHeight="false" outlineLevel="0" collapsed="false">
      <c r="A39" s="15" t="str">
        <f aca="false">'Visitor Origin'!A8</f>
        <v>NC</v>
      </c>
      <c r="B39" s="15" t="n">
        <f aca="false">COUNTIFS('Raw - Sessions'!$K$5:$K$292,"BARBOURVILLE / TOURISM",'Raw - Sessions'!$O$5:$O$292,A39)</f>
        <v>0</v>
      </c>
    </row>
    <row r="40" customFormat="false" ht="15" hidden="false" customHeight="false" outlineLevel="0" collapsed="false">
      <c r="A40" s="13" t="str">
        <f aca="false">'Visitor Origin'!A9</f>
        <v>IL</v>
      </c>
      <c r="B40" s="13" t="n">
        <f aca="false">COUNTIFS('Raw - Sessions'!$K$5:$K$292,"BARBOURVILLE / TOURISM",'Raw - Sessions'!$O$5:$O$292,A40)</f>
        <v>4</v>
      </c>
    </row>
    <row r="41" customFormat="false" ht="15" hidden="false" customHeight="false" outlineLevel="0" collapsed="false">
      <c r="A41" s="15" t="str">
        <f aca="false">'Visitor Origin'!A10</f>
        <v>FL</v>
      </c>
      <c r="B41" s="15" t="n">
        <f aca="false">COUNTIFS('Raw - Sessions'!$K$5:$K$292,"BARBOURVILLE / TOURISM",'Raw - Sessions'!$O$5:$O$292,A41)</f>
        <v>0</v>
      </c>
    </row>
    <row r="42" customFormat="false" ht="15" hidden="false" customHeight="false" outlineLevel="0" collapsed="false">
      <c r="A42" s="13" t="str">
        <f aca="false">'Visitor Origin'!A11</f>
        <v>SC</v>
      </c>
      <c r="B42" s="13" t="n">
        <f aca="false">COUNTIFS('Raw - Sessions'!$K$5:$K$292,"BARBOURVILLE / TOURISM",'Raw - Sessions'!$O$5:$O$292,A42)</f>
        <v>0</v>
      </c>
    </row>
    <row r="43" customFormat="false" ht="15" hidden="false" customHeight="false" outlineLevel="0" collapsed="false">
      <c r="A43" s="15" t="str">
        <f aca="false">'Visitor Origin'!A12</f>
        <v>MI</v>
      </c>
      <c r="B43" s="15" t="n">
        <f aca="false">COUNTIFS('Raw - Sessions'!$K$5:$K$292,"BARBOURVILLE / TOURISM",'Raw - Sessions'!$O$5:$O$292,A43)</f>
        <v>0</v>
      </c>
    </row>
    <row r="44" customFormat="false" ht="15" hidden="false" customHeight="false" outlineLevel="0" collapsed="false">
      <c r="A44" s="13" t="str">
        <f aca="false">'Visitor Origin'!A13</f>
        <v>WI</v>
      </c>
      <c r="B44" s="13" t="n">
        <f aca="false">COUNTIFS('Raw - Sessions'!$K$5:$K$292,"BARBOURVILLE / TOURISM",'Raw - Sessions'!$O$5:$O$292,A44)</f>
        <v>0</v>
      </c>
    </row>
    <row r="45" customFormat="false" ht="15" hidden="false" customHeight="false" outlineLevel="0" collapsed="false">
      <c r="A45" s="15" t="str">
        <f aca="false">'Visitor Origin'!A14</f>
        <v>IN</v>
      </c>
      <c r="B45" s="15" t="n">
        <f aca="false">COUNTIFS('Raw - Sessions'!$K$5:$K$292,"BARBOURVILLE / TOURISM",'Raw - Sessions'!$O$5:$O$292,A45)</f>
        <v>0</v>
      </c>
    </row>
    <row r="46" customFormat="false" ht="15" hidden="false" customHeight="false" outlineLevel="0" collapsed="false">
      <c r="A46" s="13" t="str">
        <f aca="false">'Visitor Origin'!A15</f>
        <v>GA</v>
      </c>
      <c r="B46" s="13" t="n">
        <f aca="false">COUNTIFS('Raw - Sessions'!$K$5:$K$292,"BARBOURVILLE / TOURISM",'Raw - Sessions'!$O$5:$O$292,A46)</f>
        <v>0</v>
      </c>
    </row>
    <row r="47" customFormat="false" ht="15" hidden="false" customHeight="false" outlineLevel="0" collapsed="false">
      <c r="A47" s="15" t="str">
        <f aca="false">'Visitor Origin'!A16</f>
        <v>TX</v>
      </c>
      <c r="B47" s="15" t="n">
        <f aca="false">COUNTIFS('Raw - Sessions'!$K$5:$K$292,"BARBOURVILLE / TOURISM",'Raw - Sessions'!$O$5:$O$292,A47)</f>
        <v>0</v>
      </c>
    </row>
    <row r="48" customFormat="false" ht="15" hidden="false" customHeight="false" outlineLevel="0" collapsed="false">
      <c r="A48" s="13" t="str">
        <f aca="false">'Visitor Origin'!A17</f>
        <v>PA</v>
      </c>
      <c r="B48" s="13" t="n">
        <f aca="false">COUNTIFS('Raw - Sessions'!$K$5:$K$292,"BARBOURVILLE / TOURISM",'Raw - Sessions'!$O$5:$O$292,A48)</f>
        <v>2</v>
      </c>
    </row>
    <row r="49" customFormat="false" ht="15" hidden="false" customHeight="false" outlineLevel="0" collapsed="false">
      <c r="A49" s="15" t="str">
        <f aca="false">'Visitor Origin'!A18</f>
        <v>CT</v>
      </c>
      <c r="B49" s="15" t="n">
        <f aca="false">COUNTIFS('Raw - Sessions'!$K$5:$K$292,"BARBOURVILLE / TOURISM",'Raw - Sessions'!$O$5:$O$292,A49)</f>
        <v>0</v>
      </c>
    </row>
    <row r="50" customFormat="false" ht="15" hidden="false" customHeight="false" outlineLevel="0" collapsed="false">
      <c r="A50" s="13" t="str">
        <f aca="false">'Visitor Origin'!A19</f>
        <v>KS</v>
      </c>
      <c r="B50" s="13" t="n">
        <f aca="false">COUNTIFS('Raw - Sessions'!$K$5:$K$292,"BARBOURVILLE / TOURISM",'Raw - Sessions'!$O$5:$O$292,A50)</f>
        <v>0</v>
      </c>
    </row>
    <row r="51" customFormat="false" ht="15" hidden="false" customHeight="false" outlineLevel="0" collapsed="false">
      <c r="A51" s="15" t="str">
        <f aca="false">'Visitor Origin'!A20</f>
        <v>MO</v>
      </c>
      <c r="B51" s="15" t="n">
        <f aca="false">COUNTIFS('Raw - Sessions'!$K$5:$K$292,"BARBOURVILLE / TOURISM",'Raw - Sessions'!$O$5:$O$292,A51)</f>
        <v>0</v>
      </c>
    </row>
    <row r="52" customFormat="false" ht="15" hidden="false" customHeight="false" outlineLevel="0" collapsed="false">
      <c r="A52" s="13" t="str">
        <f aca="false">'Visitor Origin'!A21</f>
        <v>MN</v>
      </c>
      <c r="B52" s="13" t="n">
        <f aca="false">COUNTIFS('Raw - Sessions'!$K$5:$K$292,"BARBOURVILLE / TOURISM",'Raw - Sessions'!$O$5:$O$292,A52)</f>
        <v>0</v>
      </c>
    </row>
    <row r="53" customFormat="false" ht="15" hidden="false" customHeight="false" outlineLevel="0" collapsed="false">
      <c r="A53" s="15" t="str">
        <f aca="false">'Visitor Origin'!A22</f>
        <v>MD</v>
      </c>
      <c r="B53" s="15" t="n">
        <f aca="false">COUNTIFS('Raw - Sessions'!$K$5:$K$292,"BARBOURVILLE / TOURISM",'Raw - Sessions'!$O$5:$O$292,A53)</f>
        <v>0</v>
      </c>
    </row>
    <row r="54" customFormat="false" ht="15" hidden="false" customHeight="false" outlineLevel="0" collapsed="false">
      <c r="A54" s="13" t="str">
        <f aca="false">'Visitor Origin'!A23</f>
        <v>OK</v>
      </c>
      <c r="B54" s="13" t="n">
        <f aca="false">COUNTIFS('Raw - Sessions'!$K$5:$K$292,"BARBOURVILLE / TOURISM",'Raw - Sessions'!$O$5:$O$292,A54)</f>
        <v>0</v>
      </c>
    </row>
    <row r="56" customFormat="false" ht="15" hidden="false" customHeight="false" outlineLevel="0" collapsed="false">
      <c r="A56" s="22" t="s">
        <v>70</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38" t="s">
        <v>71</v>
      </c>
      <c r="B1" s="38"/>
      <c r="C1" s="38"/>
      <c r="D1" s="38"/>
      <c r="E1" s="38"/>
      <c r="F1" s="38"/>
      <c r="G1" s="38"/>
      <c r="H1" s="38"/>
    </row>
    <row r="2" customFormat="false" ht="15" hidden="false" customHeight="false" outlineLevel="0" collapsed="false">
      <c r="A2" s="22" t="s">
        <v>72</v>
      </c>
    </row>
    <row r="5" customFormat="false" ht="27.75" hidden="false" customHeight="true" outlineLevel="0" collapsed="false">
      <c r="A5" s="24" t="s">
        <v>47</v>
      </c>
      <c r="B5" s="24"/>
      <c r="C5" s="24" t="s">
        <v>38</v>
      </c>
      <c r="D5" s="24"/>
      <c r="E5" s="24" t="s">
        <v>55</v>
      </c>
      <c r="F5" s="24"/>
      <c r="G5" s="24" t="s">
        <v>56</v>
      </c>
      <c r="H5" s="24"/>
      <c r="I5" s="24" t="s">
        <v>73</v>
      </c>
      <c r="J5" s="24"/>
    </row>
    <row r="6" customFormat="false" ht="15" hidden="false" customHeight="false" outlineLevel="0" collapsed="false">
      <c r="A6" s="39" t="n">
        <f aca="false">COUNTIF('Raw - Sessions'!$K$5:$K$292,"BARBOURVILLE / CITY HALL")</f>
        <v>239</v>
      </c>
      <c r="B6" s="39"/>
      <c r="C6" s="40" t="n">
        <f aca="false">SUMIF('Raw - Sessions'!$K$5:$K$292,"BARBOURVILLE / CITY HALL",'Raw - Sessions'!$E$5:$E$292)</f>
        <v>5824.498788</v>
      </c>
      <c r="D6" s="40"/>
      <c r="E6" s="41" t="n">
        <f aca="false">SUMIF('Raw - Sessions'!$K$5:$K$292,"BARBOURVILLE / CITY HALL",'Raw - Sessions'!$P$5:$P$292)</f>
        <v>3577.91</v>
      </c>
      <c r="F6" s="41"/>
      <c r="G6" s="39" t="n">
        <f aca="false">AVERAGEIFS('Raw - Sessions'!$D$5:$D$292,'Raw - Sessions'!$K$5:$K$292,"BARBOURVILLE / CITY HALL")*60</f>
        <v>37.5814504881451</v>
      </c>
      <c r="H6" s="39"/>
      <c r="I6" s="42" t="n">
        <f aca="false">IFERROR(COUNTIFS('Raw - Sessions'!$K$5:$K$292,"BARBOURVILLE / CITY HALL",'Raw - Sessions'!$F$5:$F$292,"&gt;10")/COUNTIFS('Raw - Sessions'!$K$5:$K$292,"BARBOURVILLE / CITY HALL",'Raw - Sessions'!$F$5:$F$292,"&lt;&gt;"),0)</f>
        <v>0.785407725321888</v>
      </c>
      <c r="J6" s="42"/>
    </row>
    <row r="7" customFormat="false" ht="15" hidden="false" customHeight="false" outlineLevel="0" collapsed="false">
      <c r="A7" s="39"/>
      <c r="B7" s="39"/>
      <c r="C7" s="40"/>
      <c r="D7" s="40"/>
      <c r="E7" s="41"/>
      <c r="F7" s="41"/>
      <c r="G7" s="39"/>
      <c r="H7" s="39"/>
      <c r="I7" s="42"/>
      <c r="J7" s="42"/>
    </row>
    <row r="10" customFormat="false" ht="15" hidden="false" customHeight="false" outlineLevel="0" collapsed="false">
      <c r="A10" s="4" t="s">
        <v>58</v>
      </c>
    </row>
    <row r="11" customFormat="false" ht="23.85" hidden="false" customHeight="false" outlineLevel="0" collapsed="false">
      <c r="A11" s="29" t="s">
        <v>59</v>
      </c>
      <c r="B11" s="29" t="s">
        <v>47</v>
      </c>
      <c r="C11" s="29" t="s">
        <v>60</v>
      </c>
      <c r="D11" s="29" t="s">
        <v>38</v>
      </c>
    </row>
    <row r="12" customFormat="false" ht="15" hidden="false" customHeight="false" outlineLevel="0" collapsed="false">
      <c r="A12" s="13" t="s">
        <v>61</v>
      </c>
      <c r="B12" s="13" t="n">
        <f aca="false">COUNTIFS('Raw - Sessions'!$K$5:$K$292,"BARBOURVILLE / CITY HALL",'Raw - Sessions'!$G$5:$G$292,A12)</f>
        <v>4</v>
      </c>
      <c r="C12" s="30" t="n">
        <f aca="false">IFERROR(AVERAGEIFS('Raw - Sessions'!$D$5:$D$292,'Raw - Sessions'!$K$5:$K$292,"BARBOURVILLE / CITY HALL",'Raw - Sessions'!$G$5:$G$292,A12),0)</f>
        <v>0.541805555555555</v>
      </c>
      <c r="D12" s="19" t="n">
        <f aca="false">SUMIFS('Raw - Sessions'!$E$5:$E$292,'Raw - Sessions'!$K$5:$K$292,"BARBOURVILLE / CITY HALL",'Raw - Sessions'!$G$5:$G$292,A12)</f>
        <v>57.8262</v>
      </c>
    </row>
    <row r="13" customFormat="false" ht="15" hidden="false" customHeight="false" outlineLevel="0" collapsed="false">
      <c r="A13" s="15" t="s">
        <v>62</v>
      </c>
      <c r="B13" s="15" t="n">
        <f aca="false">COUNTIFS('Raw - Sessions'!$K$5:$K$292,"BARBOURVILLE / CITY HALL",'Raw - Sessions'!$G$5:$G$292,A13)</f>
        <v>79</v>
      </c>
      <c r="C13" s="31" t="n">
        <f aca="false">IFERROR(AVERAGEIFS('Raw - Sessions'!$D$5:$D$292,'Raw - Sessions'!$K$5:$K$292,"BARBOURVILLE / CITY HALL",'Raw - Sessions'!$G$5:$G$292,A13),0)</f>
        <v>0.64993670886076</v>
      </c>
      <c r="D13" s="32" t="n">
        <f aca="false">SUMIFS('Raw - Sessions'!$E$5:$E$292,'Raw - Sessions'!$K$5:$K$292,"BARBOURVILLE / CITY HALL",'Raw - Sessions'!$G$5:$G$292,A13)</f>
        <v>2101.072493</v>
      </c>
    </row>
    <row r="14" customFormat="false" ht="15" hidden="false" customHeight="false" outlineLevel="0" collapsed="false">
      <c r="A14" s="13" t="s">
        <v>63</v>
      </c>
      <c r="B14" s="13" t="n">
        <f aca="false">COUNTIFS('Raw - Sessions'!$K$5:$K$292,"BARBOURVILLE / CITY HALL",'Raw - Sessions'!$G$5:$G$292,A14)</f>
        <v>87</v>
      </c>
      <c r="C14" s="30" t="n">
        <f aca="false">IFERROR(AVERAGEIFS('Raw - Sessions'!$D$5:$D$292,'Raw - Sessions'!$K$5:$K$292,"BARBOURVILLE / CITY HALL",'Raw - Sessions'!$G$5:$G$292,A14),0)</f>
        <v>0.646740102171137</v>
      </c>
      <c r="D14" s="19" t="n">
        <f aca="false">SUMIFS('Raw - Sessions'!$E$5:$E$292,'Raw - Sessions'!$K$5:$K$292,"BARBOURVILLE / CITY HALL",'Raw - Sessions'!$G$5:$G$292,A14)</f>
        <v>2123.860091</v>
      </c>
    </row>
    <row r="15" customFormat="false" ht="15" hidden="false" customHeight="false" outlineLevel="0" collapsed="false">
      <c r="A15" s="15" t="s">
        <v>64</v>
      </c>
      <c r="B15" s="15" t="n">
        <f aca="false">COUNTIFS('Raw - Sessions'!$K$5:$K$292,"BARBOURVILLE / CITY HALL",'Raw - Sessions'!$G$5:$G$292,A15)</f>
        <v>69</v>
      </c>
      <c r="C15" s="31" t="n">
        <f aca="false">IFERROR(AVERAGEIFS('Raw - Sessions'!$D$5:$D$292,'Raw - Sessions'!$K$5:$K$292,"BARBOURVILLE / CITY HALL",'Raw - Sessions'!$G$5:$G$292,A15),0)</f>
        <v>0.578562801932367</v>
      </c>
      <c r="D15" s="32" t="n">
        <f aca="false">SUMIFS('Raw - Sessions'!$E$5:$E$292,'Raw - Sessions'!$K$5:$K$292,"BARBOURVILLE / CITY HALL",'Raw - Sessions'!$G$5:$G$292,A15)</f>
        <v>1541.740004</v>
      </c>
    </row>
    <row r="17" customFormat="false" ht="15" hidden="false" customHeight="false" outlineLevel="0" collapsed="false">
      <c r="A17" s="2" t="s">
        <v>65</v>
      </c>
      <c r="C17" s="2" t="n">
        <f aca="false">COUNTIFS('Raw - Sessions'!$K$5:$K$292,"BARBOURVILLE / CITY HALL",'Raw - Sessions'!$I$5:$I$292,TRUE())</f>
        <v>69</v>
      </c>
    </row>
    <row r="20" customFormat="false" ht="15" hidden="false" customHeight="false" outlineLevel="0" collapsed="false">
      <c r="A20" s="4" t="s">
        <v>66</v>
      </c>
    </row>
    <row r="21" customFormat="false" ht="15" hidden="false" customHeight="false" outlineLevel="0" collapsed="false">
      <c r="A21" s="33" t="s">
        <v>67</v>
      </c>
      <c r="B21" s="33" t="s">
        <v>47</v>
      </c>
      <c r="C21" s="33" t="s">
        <v>49</v>
      </c>
      <c r="D21" s="33" t="s">
        <v>48</v>
      </c>
    </row>
    <row r="22" customFormat="false" ht="15" hidden="false" customHeight="false" outlineLevel="0" collapsed="false">
      <c r="A22" s="34" t="n">
        <v>45931</v>
      </c>
      <c r="B22" s="13" t="n">
        <f aca="false">COUNTIFS('Raw - Sessions'!$K$5:$K$292,"BARBOURVILLE / CITY HALL",'Raw - Sessions'!$B$5:$B$292,"&gt;="&amp;A22,'Raw - Sessions'!$B$5:$B$292,"&lt;"&amp;DATE(YEAR(A22),MONTH(A22)+1,1))</f>
        <v>22</v>
      </c>
      <c r="C22" s="35" t="n">
        <f aca="false">SUMIFS('Raw - Sessions'!$P$5:$P$292,'Raw - Sessions'!$K$5:$K$292,"BARBOURVILLE / CITY HALL",'Raw - Sessions'!$B$5:$B$292,"&gt;="&amp;A22,'Raw - Sessions'!$B$5:$B$292,"&lt;"&amp;DATE(YEAR(A22),MONTH(A22)+1,1))</f>
        <v>182.76</v>
      </c>
      <c r="D22" s="19" t="n">
        <f aca="false">SUMIFS('Raw - Sessions'!$E$5:$E$292,'Raw - Sessions'!$K$5:$K$292,"BARBOURVILLE / CITY HALL",'Raw - Sessions'!$B$5:$B$292,"&gt;="&amp;A22,'Raw - Sessions'!$B$5:$B$292,"&lt;"&amp;DATE(YEAR(A22),MONTH(A22)+1,1))</f>
        <v>385.2387</v>
      </c>
    </row>
    <row r="23" customFormat="false" ht="15" hidden="false" customHeight="false" outlineLevel="0" collapsed="false">
      <c r="A23" s="36" t="n">
        <v>45962</v>
      </c>
      <c r="B23" s="15" t="n">
        <f aca="false">COUNTIFS('Raw - Sessions'!$K$5:$K$292,"BARBOURVILLE / CITY HALL",'Raw - Sessions'!$B$5:$B$292,"&gt;="&amp;A23,'Raw - Sessions'!$B$5:$B$292,"&lt;"&amp;DATE(YEAR(A23),MONTH(A23)+1,1))</f>
        <v>24</v>
      </c>
      <c r="C23" s="37" t="n">
        <f aca="false">SUMIFS('Raw - Sessions'!$P$5:$P$292,'Raw - Sessions'!$K$5:$K$292,"BARBOURVILLE / CITY HALL",'Raw - Sessions'!$B$5:$B$292,"&gt;="&amp;A23,'Raw - Sessions'!$B$5:$B$292,"&lt;"&amp;DATE(YEAR(A23),MONTH(A23)+1,1))</f>
        <v>394.07</v>
      </c>
      <c r="D23" s="32" t="n">
        <f aca="false">SUMIFS('Raw - Sessions'!$E$5:$E$292,'Raw - Sessions'!$K$5:$K$292,"BARBOURVILLE / CITY HALL",'Raw - Sessions'!$B$5:$B$292,"&gt;="&amp;A23,'Raw - Sessions'!$B$5:$B$292,"&lt;"&amp;DATE(YEAR(A23),MONTH(A23)+1,1))</f>
        <v>775.995002</v>
      </c>
    </row>
    <row r="24" customFormat="false" ht="15" hidden="false" customHeight="false" outlineLevel="0" collapsed="false">
      <c r="A24" s="34" t="n">
        <v>45992</v>
      </c>
      <c r="B24" s="13" t="n">
        <f aca="false">COUNTIFS('Raw - Sessions'!$K$5:$K$292,"BARBOURVILLE / CITY HALL",'Raw - Sessions'!$B$5:$B$292,"&gt;="&amp;A24,'Raw - Sessions'!$B$5:$B$292,"&lt;"&amp;DATE(YEAR(A24),MONTH(A24)+1,1))</f>
        <v>26</v>
      </c>
      <c r="C24" s="35" t="n">
        <f aca="false">SUMIFS('Raw - Sessions'!$P$5:$P$292,'Raw - Sessions'!$K$5:$K$292,"BARBOURVILLE / CITY HALL",'Raw - Sessions'!$B$5:$B$292,"&gt;="&amp;A24,'Raw - Sessions'!$B$5:$B$292,"&lt;"&amp;DATE(YEAR(A24),MONTH(A24)+1,1))</f>
        <v>326.83</v>
      </c>
      <c r="D24" s="19" t="n">
        <f aca="false">SUMIFS('Raw - Sessions'!$E$5:$E$292,'Raw - Sessions'!$K$5:$K$292,"BARBOURVILLE / CITY HALL",'Raw - Sessions'!$B$5:$B$292,"&gt;="&amp;A24,'Raw - Sessions'!$B$5:$B$292,"&lt;"&amp;DATE(YEAR(A24),MONTH(A24)+1,1))</f>
        <v>612.647298</v>
      </c>
    </row>
    <row r="25" customFormat="false" ht="15" hidden="false" customHeight="false" outlineLevel="0" collapsed="false">
      <c r="A25" s="36" t="n">
        <v>46023</v>
      </c>
      <c r="B25" s="15" t="n">
        <f aca="false">COUNTIFS('Raw - Sessions'!$K$5:$K$292,"BARBOURVILLE / CITY HALL",'Raw - Sessions'!$B$5:$B$292,"&gt;="&amp;A25,'Raw - Sessions'!$B$5:$B$292,"&lt;"&amp;DATE(YEAR(A25),MONTH(A25)+1,1))</f>
        <v>11</v>
      </c>
      <c r="C25" s="37" t="n">
        <f aca="false">SUMIFS('Raw - Sessions'!$P$5:$P$292,'Raw - Sessions'!$K$5:$K$292,"BARBOURVILLE / CITY HALL",'Raw - Sessions'!$B$5:$B$292,"&gt;="&amp;A25,'Raw - Sessions'!$B$5:$B$292,"&lt;"&amp;DATE(YEAR(A25),MONTH(A25)+1,1))</f>
        <v>50.49</v>
      </c>
      <c r="D25" s="32" t="n">
        <f aca="false">SUMIFS('Raw - Sessions'!$E$5:$E$292,'Raw - Sessions'!$K$5:$K$292,"BARBOURVILLE / CITY HALL",'Raw - Sessions'!$B$5:$B$292,"&gt;="&amp;A25,'Raw - Sessions'!$B$5:$B$292,"&lt;"&amp;DATE(YEAR(A25),MONTH(A25)+1,1))</f>
        <v>98.330102</v>
      </c>
    </row>
    <row r="26" customFormat="false" ht="15" hidden="false" customHeight="false" outlineLevel="0" collapsed="false">
      <c r="A26" s="34" t="n">
        <v>46054</v>
      </c>
      <c r="B26" s="13" t="n">
        <f aca="false">COUNTIFS('Raw - Sessions'!$K$5:$K$292,"BARBOURVILLE / CITY HALL",'Raw - Sessions'!$B$5:$B$292,"&gt;="&amp;A26,'Raw - Sessions'!$B$5:$B$292,"&lt;"&amp;DATE(YEAR(A26),MONTH(A26)+1,1))</f>
        <v>24</v>
      </c>
      <c r="C26" s="35" t="n">
        <f aca="false">SUMIFS('Raw - Sessions'!$P$5:$P$292,'Raw - Sessions'!$K$5:$K$292,"BARBOURVILLE / CITY HALL",'Raw - Sessions'!$B$5:$B$292,"&gt;="&amp;A26,'Raw - Sessions'!$B$5:$B$292,"&lt;"&amp;DATE(YEAR(A26),MONTH(A26)+1,1))</f>
        <v>467.93</v>
      </c>
      <c r="D26" s="19" t="n">
        <f aca="false">SUMIFS('Raw - Sessions'!$E$5:$E$292,'Raw - Sessions'!$K$5:$K$292,"BARBOURVILLE / CITY HALL",'Raw - Sessions'!$B$5:$B$292,"&gt;="&amp;A26,'Raw - Sessions'!$B$5:$B$292,"&lt;"&amp;DATE(YEAR(A26),MONTH(A26)+1,1))</f>
        <v>784.6669</v>
      </c>
    </row>
    <row r="27" customFormat="false" ht="15" hidden="false" customHeight="false" outlineLevel="0" collapsed="false">
      <c r="A27" s="36" t="n">
        <v>46082</v>
      </c>
      <c r="B27" s="15" t="n">
        <f aca="false">COUNTIFS('Raw - Sessions'!$K$5:$K$292,"BARBOURVILLE / CITY HALL",'Raw - Sessions'!$B$5:$B$292,"&gt;="&amp;A27,'Raw - Sessions'!$B$5:$B$292,"&lt;"&amp;DATE(YEAR(A27),MONTH(A27)+1,1))</f>
        <v>18</v>
      </c>
      <c r="C27" s="37" t="n">
        <f aca="false">SUMIFS('Raw - Sessions'!$P$5:$P$292,'Raw - Sessions'!$K$5:$K$292,"BARBOURVILLE / CITY HALL",'Raw - Sessions'!$B$5:$B$292,"&gt;="&amp;A27,'Raw - Sessions'!$B$5:$B$292,"&lt;"&amp;DATE(YEAR(A27),MONTH(A27)+1,1))</f>
        <v>410.2</v>
      </c>
      <c r="D27" s="32" t="n">
        <f aca="false">SUMIFS('Raw - Sessions'!$E$5:$E$292,'Raw - Sessions'!$K$5:$K$292,"BARBOURVILLE / CITY HALL",'Raw - Sessions'!$B$5:$B$292,"&gt;="&amp;A27,'Raw - Sessions'!$B$5:$B$292,"&lt;"&amp;DATE(YEAR(A27),MONTH(A27)+1,1))</f>
        <v>613.970595</v>
      </c>
    </row>
    <row r="28" customFormat="false" ht="15" hidden="false" customHeight="false" outlineLevel="0" collapsed="false">
      <c r="A28" s="34" t="n">
        <v>46113</v>
      </c>
      <c r="B28" s="13" t="n">
        <f aca="false">COUNTIFS('Raw - Sessions'!$K$5:$K$292,"BARBOURVILLE / CITY HALL",'Raw - Sessions'!$B$5:$B$292,"&gt;="&amp;A28,'Raw - Sessions'!$B$5:$B$292,"&lt;"&amp;DATE(YEAR(A28),MONTH(A28)+1,1))</f>
        <v>37</v>
      </c>
      <c r="C28" s="35" t="n">
        <f aca="false">SUMIFS('Raw - Sessions'!$P$5:$P$292,'Raw - Sessions'!$K$5:$K$292,"BARBOURVILLE / CITY HALL",'Raw - Sessions'!$B$5:$B$292,"&gt;="&amp;A28,'Raw - Sessions'!$B$5:$B$292,"&lt;"&amp;DATE(YEAR(A28),MONTH(A28)+1,1))</f>
        <v>736.86</v>
      </c>
      <c r="D28" s="19" t="n">
        <f aca="false">SUMIFS('Raw - Sessions'!$E$5:$E$292,'Raw - Sessions'!$K$5:$K$292,"BARBOURVILLE / CITY HALL",'Raw - Sessions'!$B$5:$B$292,"&gt;="&amp;A28,'Raw - Sessions'!$B$5:$B$292,"&lt;"&amp;DATE(YEAR(A28),MONTH(A28)+1,1))</f>
        <v>1125.882091</v>
      </c>
    </row>
    <row r="29" customFormat="false" ht="15" hidden="false" customHeight="false" outlineLevel="0" collapsed="false">
      <c r="A29" s="36" t="n">
        <v>46143</v>
      </c>
      <c r="B29" s="15" t="n">
        <f aca="false">COUNTIFS('Raw - Sessions'!$K$5:$K$292,"BARBOURVILLE / CITY HALL",'Raw - Sessions'!$B$5:$B$292,"&gt;="&amp;A29,'Raw - Sessions'!$B$5:$B$292,"&lt;"&amp;DATE(YEAR(A29),MONTH(A29)+1,1))</f>
        <v>31</v>
      </c>
      <c r="C29" s="37" t="n">
        <f aca="false">SUMIFS('Raw - Sessions'!$P$5:$P$292,'Raw - Sessions'!$K$5:$K$292,"BARBOURVILLE / CITY HALL",'Raw - Sessions'!$B$5:$B$292,"&gt;="&amp;A29,'Raw - Sessions'!$B$5:$B$292,"&lt;"&amp;DATE(YEAR(A29),MONTH(A29)+1,1))</f>
        <v>537.16</v>
      </c>
      <c r="D29" s="32" t="n">
        <f aca="false">SUMIFS('Raw - Sessions'!$E$5:$E$292,'Raw - Sessions'!$K$5:$K$292,"BARBOURVILLE / CITY HALL",'Raw - Sessions'!$B$5:$B$292,"&gt;="&amp;A29,'Raw - Sessions'!$B$5:$B$292,"&lt;"&amp;DATE(YEAR(A29),MONTH(A29)+1,1))</f>
        <v>766.1055</v>
      </c>
    </row>
    <row r="30" customFormat="false" ht="15" hidden="false" customHeight="false" outlineLevel="0" collapsed="false">
      <c r="A30" s="34" t="n">
        <v>46174</v>
      </c>
      <c r="B30" s="13" t="n">
        <f aca="false">COUNTIFS('Raw - Sessions'!$K$5:$K$292,"BARBOURVILLE / CITY HALL",'Raw - Sessions'!$B$5:$B$292,"&gt;="&amp;A30,'Raw - Sessions'!$B$5:$B$292,"&lt;"&amp;DATE(YEAR(A30),MONTH(A30)+1,1))</f>
        <v>40</v>
      </c>
      <c r="C30" s="35" t="n">
        <f aca="false">SUMIFS('Raw - Sessions'!$P$5:$P$292,'Raw - Sessions'!$K$5:$K$292,"BARBOURVILLE / CITY HALL",'Raw - Sessions'!$B$5:$B$292,"&gt;="&amp;A30,'Raw - Sessions'!$B$5:$B$292,"&lt;"&amp;DATE(YEAR(A30),MONTH(A30)+1,1))</f>
        <v>405.05</v>
      </c>
      <c r="D30" s="19" t="n">
        <f aca="false">SUMIFS('Raw - Sessions'!$E$5:$E$292,'Raw - Sessions'!$K$5:$K$292,"BARBOURVILLE / CITY HALL",'Raw - Sessions'!$B$5:$B$292,"&gt;="&amp;A30,'Raw - Sessions'!$B$5:$B$292,"&lt;"&amp;DATE(YEAR(A30),MONTH(A30)+1,1))</f>
        <v>568.0701</v>
      </c>
    </row>
    <row r="31" customFormat="false" ht="15" hidden="false" customHeight="false" outlineLevel="0" collapsed="false">
      <c r="A31" s="36" t="n">
        <v>46204</v>
      </c>
      <c r="B31" s="15" t="n">
        <f aca="false">COUNTIFS('Raw - Sessions'!$K$5:$K$292,"BARBOURVILLE / CITY HALL",'Raw - Sessions'!$B$5:$B$292,"&gt;="&amp;A31,'Raw - Sessions'!$B$5:$B$292,"&lt;"&amp;DATE(YEAR(A31),MONTH(A31)+1,1))</f>
        <v>6</v>
      </c>
      <c r="C31" s="37" t="n">
        <f aca="false">SUMIFS('Raw - Sessions'!$P$5:$P$292,'Raw - Sessions'!$K$5:$K$292,"BARBOURVILLE / CITY HALL",'Raw - Sessions'!$B$5:$B$292,"&gt;="&amp;A31,'Raw - Sessions'!$B$5:$B$292,"&lt;"&amp;DATE(YEAR(A31),MONTH(A31)+1,1))</f>
        <v>66.56</v>
      </c>
      <c r="D31" s="32" t="n">
        <f aca="false">SUMIFS('Raw - Sessions'!$E$5:$E$292,'Raw - Sessions'!$K$5:$K$292,"BARBOURVILLE / CITY HALL",'Raw - Sessions'!$B$5:$B$292,"&gt;="&amp;A31,'Raw - Sessions'!$B$5:$B$292,"&lt;"&amp;DATE(YEAR(A31),MONTH(A31)+1,1))</f>
        <v>93.5925</v>
      </c>
    </row>
    <row r="34" customFormat="false" ht="15" hidden="false" customHeight="false" outlineLevel="0" collapsed="false">
      <c r="A34" s="4" t="s">
        <v>68</v>
      </c>
    </row>
    <row r="35" customFormat="false" ht="15" hidden="false" customHeight="false" outlineLevel="0" collapsed="false">
      <c r="A35" s="12" t="s">
        <v>69</v>
      </c>
      <c r="B35" s="12" t="s">
        <v>47</v>
      </c>
    </row>
    <row r="36" customFormat="false" ht="15" hidden="false" customHeight="false" outlineLevel="0" collapsed="false">
      <c r="A36" s="13" t="str">
        <f aca="false">'Visitor Origin'!A5</f>
        <v>KY</v>
      </c>
      <c r="B36" s="13" t="n">
        <f aca="false">COUNTIFS('Raw - Sessions'!$K$5:$K$292,"BARBOURVILLE / CITY HALL",'Raw - Sessions'!$O$5:$O$292,A36)</f>
        <v>89</v>
      </c>
    </row>
    <row r="37" customFormat="false" ht="15" hidden="false" customHeight="false" outlineLevel="0" collapsed="false">
      <c r="A37" s="15" t="str">
        <f aca="false">'Visitor Origin'!A6</f>
        <v>TN</v>
      </c>
      <c r="B37" s="15" t="n">
        <f aca="false">COUNTIFS('Raw - Sessions'!$K$5:$K$292,"BARBOURVILLE / CITY HALL",'Raw - Sessions'!$O$5:$O$292,A37)</f>
        <v>17</v>
      </c>
    </row>
    <row r="38" customFormat="false" ht="15" hidden="false" customHeight="false" outlineLevel="0" collapsed="false">
      <c r="A38" s="13" t="str">
        <f aca="false">'Visitor Origin'!A7</f>
        <v>OH</v>
      </c>
      <c r="B38" s="13" t="n">
        <f aca="false">COUNTIFS('Raw - Sessions'!$K$5:$K$292,"BARBOURVILLE / CITY HALL",'Raw - Sessions'!$O$5:$O$292,A38)</f>
        <v>9</v>
      </c>
    </row>
    <row r="39" customFormat="false" ht="15" hidden="false" customHeight="false" outlineLevel="0" collapsed="false">
      <c r="A39" s="15" t="str">
        <f aca="false">'Visitor Origin'!A8</f>
        <v>NC</v>
      </c>
      <c r="B39" s="15" t="n">
        <f aca="false">COUNTIFS('Raw - Sessions'!$K$5:$K$292,"BARBOURVILLE / CITY HALL",'Raw - Sessions'!$O$5:$O$292,A39)</f>
        <v>9</v>
      </c>
    </row>
    <row r="40" customFormat="false" ht="15" hidden="false" customHeight="false" outlineLevel="0" collapsed="false">
      <c r="A40" s="13" t="str">
        <f aca="false">'Visitor Origin'!A9</f>
        <v>IL</v>
      </c>
      <c r="B40" s="13" t="n">
        <f aca="false">COUNTIFS('Raw - Sessions'!$K$5:$K$292,"BARBOURVILLE / CITY HALL",'Raw - Sessions'!$O$5:$O$292,A40)</f>
        <v>1</v>
      </c>
    </row>
    <row r="41" customFormat="false" ht="15" hidden="false" customHeight="false" outlineLevel="0" collapsed="false">
      <c r="A41" s="15" t="str">
        <f aca="false">'Visitor Origin'!A10</f>
        <v>FL</v>
      </c>
      <c r="B41" s="15" t="n">
        <f aca="false">COUNTIFS('Raw - Sessions'!$K$5:$K$292,"BARBOURVILLE / CITY HALL",'Raw - Sessions'!$O$5:$O$292,A41)</f>
        <v>3</v>
      </c>
    </row>
    <row r="42" customFormat="false" ht="15" hidden="false" customHeight="false" outlineLevel="0" collapsed="false">
      <c r="A42" s="13" t="str">
        <f aca="false">'Visitor Origin'!A11</f>
        <v>SC</v>
      </c>
      <c r="B42" s="13" t="n">
        <f aca="false">COUNTIFS('Raw - Sessions'!$K$5:$K$292,"BARBOURVILLE / CITY HALL",'Raw - Sessions'!$O$5:$O$292,A42)</f>
        <v>3</v>
      </c>
    </row>
    <row r="43" customFormat="false" ht="15" hidden="false" customHeight="false" outlineLevel="0" collapsed="false">
      <c r="A43" s="15" t="str">
        <f aca="false">'Visitor Origin'!A12</f>
        <v>MI</v>
      </c>
      <c r="B43" s="15" t="n">
        <f aca="false">COUNTIFS('Raw - Sessions'!$K$5:$K$292,"BARBOURVILLE / CITY HALL",'Raw - Sessions'!$O$5:$O$292,A43)</f>
        <v>3</v>
      </c>
    </row>
    <row r="44" customFormat="false" ht="15" hidden="false" customHeight="false" outlineLevel="0" collapsed="false">
      <c r="A44" s="13" t="str">
        <f aca="false">'Visitor Origin'!A13</f>
        <v>WI</v>
      </c>
      <c r="B44" s="13" t="n">
        <f aca="false">COUNTIFS('Raw - Sessions'!$K$5:$K$292,"BARBOURVILLE / CITY HALL",'Raw - Sessions'!$O$5:$O$292,A44)</f>
        <v>3</v>
      </c>
    </row>
    <row r="45" customFormat="false" ht="15" hidden="false" customHeight="false" outlineLevel="0" collapsed="false">
      <c r="A45" s="15" t="str">
        <f aca="false">'Visitor Origin'!A14</f>
        <v>IN</v>
      </c>
      <c r="B45" s="15" t="n">
        <f aca="false">COUNTIFS('Raw - Sessions'!$K$5:$K$292,"BARBOURVILLE / CITY HALL",'Raw - Sessions'!$O$5:$O$292,A45)</f>
        <v>2</v>
      </c>
    </row>
    <row r="46" customFormat="false" ht="15" hidden="false" customHeight="false" outlineLevel="0" collapsed="false">
      <c r="A46" s="13" t="str">
        <f aca="false">'Visitor Origin'!A15</f>
        <v>GA</v>
      </c>
      <c r="B46" s="13" t="n">
        <f aca="false">COUNTIFS('Raw - Sessions'!$K$5:$K$292,"BARBOURVILLE / CITY HALL",'Raw - Sessions'!$O$5:$O$292,A46)</f>
        <v>2</v>
      </c>
    </row>
    <row r="47" customFormat="false" ht="15" hidden="false" customHeight="false" outlineLevel="0" collapsed="false">
      <c r="A47" s="15" t="str">
        <f aca="false">'Visitor Origin'!A16</f>
        <v>TX</v>
      </c>
      <c r="B47" s="15" t="n">
        <f aca="false">COUNTIFS('Raw - Sessions'!$K$5:$K$292,"BARBOURVILLE / CITY HALL",'Raw - Sessions'!$O$5:$O$292,A47)</f>
        <v>2</v>
      </c>
    </row>
    <row r="48" customFormat="false" ht="15" hidden="false" customHeight="false" outlineLevel="0" collapsed="false">
      <c r="A48" s="13" t="str">
        <f aca="false">'Visitor Origin'!A17</f>
        <v>PA</v>
      </c>
      <c r="B48" s="13" t="n">
        <f aca="false">COUNTIFS('Raw - Sessions'!$K$5:$K$292,"BARBOURVILLE / CITY HALL",'Raw - Sessions'!$O$5:$O$292,A48)</f>
        <v>0</v>
      </c>
    </row>
    <row r="49" customFormat="false" ht="15" hidden="false" customHeight="false" outlineLevel="0" collapsed="false">
      <c r="A49" s="15" t="str">
        <f aca="false">'Visitor Origin'!A18</f>
        <v>CT</v>
      </c>
      <c r="B49" s="15" t="n">
        <f aca="false">COUNTIFS('Raw - Sessions'!$K$5:$K$292,"BARBOURVILLE / CITY HALL",'Raw - Sessions'!$O$5:$O$292,A49)</f>
        <v>1</v>
      </c>
    </row>
    <row r="50" customFormat="false" ht="15" hidden="false" customHeight="false" outlineLevel="0" collapsed="false">
      <c r="A50" s="13" t="str">
        <f aca="false">'Visitor Origin'!A19</f>
        <v>KS</v>
      </c>
      <c r="B50" s="13" t="n">
        <f aca="false">COUNTIFS('Raw - Sessions'!$K$5:$K$292,"BARBOURVILLE / CITY HALL",'Raw - Sessions'!$O$5:$O$292,A50)</f>
        <v>1</v>
      </c>
    </row>
    <row r="51" customFormat="false" ht="15" hidden="false" customHeight="false" outlineLevel="0" collapsed="false">
      <c r="A51" s="15" t="str">
        <f aca="false">'Visitor Origin'!A20</f>
        <v>MO</v>
      </c>
      <c r="B51" s="15" t="n">
        <f aca="false">COUNTIFS('Raw - Sessions'!$K$5:$K$292,"BARBOURVILLE / CITY HALL",'Raw - Sessions'!$O$5:$O$292,A51)</f>
        <v>1</v>
      </c>
    </row>
    <row r="52" customFormat="false" ht="15" hidden="false" customHeight="false" outlineLevel="0" collapsed="false">
      <c r="A52" s="13" t="str">
        <f aca="false">'Visitor Origin'!A21</f>
        <v>MN</v>
      </c>
      <c r="B52" s="13" t="n">
        <f aca="false">COUNTIFS('Raw - Sessions'!$K$5:$K$292,"BARBOURVILLE / CITY HALL",'Raw - Sessions'!$O$5:$O$292,A52)</f>
        <v>1</v>
      </c>
    </row>
    <row r="53" customFormat="false" ht="15" hidden="false" customHeight="false" outlineLevel="0" collapsed="false">
      <c r="A53" s="15" t="str">
        <f aca="false">'Visitor Origin'!A22</f>
        <v>MD</v>
      </c>
      <c r="B53" s="15" t="n">
        <f aca="false">COUNTIFS('Raw - Sessions'!$K$5:$K$292,"BARBOURVILLE / CITY HALL",'Raw - Sessions'!$O$5:$O$292,A53)</f>
        <v>1</v>
      </c>
    </row>
    <row r="54" customFormat="false" ht="15" hidden="false" customHeight="false" outlineLevel="0" collapsed="false">
      <c r="A54" s="13" t="str">
        <f aca="false">'Visitor Origin'!A23</f>
        <v>OK</v>
      </c>
      <c r="B54" s="13" t="n">
        <f aca="false">COUNTIFS('Raw - Sessions'!$K$5:$K$292,"BARBOURVILLE / CITY HALL",'Raw - Sessions'!$O$5:$O$292,A54)</f>
        <v>1</v>
      </c>
    </row>
    <row r="56" customFormat="false" ht="15" hidden="false" customHeight="false" outlineLevel="0" collapsed="false">
      <c r="A56" s="22" t="s">
        <v>70</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43" t="s">
        <v>74</v>
      </c>
    </row>
    <row r="2" customFormat="false" ht="15" hidden="false" customHeight="false" outlineLevel="0" collapsed="false">
      <c r="A2" s="22" t="s">
        <v>75</v>
      </c>
    </row>
    <row r="4" customFormat="false" ht="27.75" hidden="false" customHeight="true" outlineLevel="0" collapsed="false">
      <c r="A4" s="24" t="s">
        <v>37</v>
      </c>
      <c r="B4" s="24"/>
      <c r="C4" s="24" t="s">
        <v>76</v>
      </c>
      <c r="D4" s="24"/>
      <c r="E4" s="24" t="s">
        <v>77</v>
      </c>
      <c r="F4" s="24"/>
      <c r="G4" s="24" t="s">
        <v>78</v>
      </c>
      <c r="H4" s="24"/>
      <c r="I4" s="24" t="s">
        <v>79</v>
      </c>
      <c r="J4" s="24"/>
    </row>
    <row r="5" customFormat="false" ht="15" hidden="false" customHeight="false" outlineLevel="0" collapsed="false">
      <c r="A5" s="44" t="n">
        <f aca="false">COUNTA('Raw - Sessions'!A5:A292)</f>
        <v>288</v>
      </c>
      <c r="B5" s="44"/>
      <c r="C5" s="44" t="n">
        <f aca="false">'Raw - Daily Energy'!A369-'Raw - Daily Energy'!A5+1</f>
        <v>365</v>
      </c>
      <c r="D5" s="44"/>
      <c r="E5" s="45" t="n">
        <f aca="false">SUM(B10:B374)/COUNTIF(B10:B374,"&gt;0")</f>
        <v>2.02816901408451</v>
      </c>
      <c r="F5" s="45"/>
      <c r="G5" s="45" t="n">
        <f aca="false">SUM(C10:C374)/(A374-A10+1)</f>
        <v>0.583624809741248</v>
      </c>
      <c r="H5" s="45"/>
      <c r="I5" s="45" t="n">
        <v>1.2</v>
      </c>
      <c r="J5" s="45"/>
    </row>
    <row r="6" customFormat="false" ht="15" hidden="false" customHeight="false" outlineLevel="0" collapsed="false">
      <c r="A6" s="44"/>
      <c r="B6" s="44"/>
      <c r="C6" s="44"/>
      <c r="D6" s="44"/>
      <c r="E6" s="45"/>
      <c r="F6" s="45"/>
      <c r="G6" s="45"/>
      <c r="H6" s="45"/>
      <c r="I6" s="45"/>
      <c r="J6" s="45"/>
    </row>
    <row r="8" customFormat="false" ht="15" hidden="false" customHeight="false" outlineLevel="0" collapsed="false">
      <c r="A8" s="4" t="s">
        <v>80</v>
      </c>
    </row>
    <row r="9" customFormat="false" ht="23.85" hidden="false" customHeight="false" outlineLevel="0" collapsed="false">
      <c r="A9" s="29" t="s">
        <v>81</v>
      </c>
      <c r="B9" s="29" t="s">
        <v>47</v>
      </c>
      <c r="C9" s="29" t="s">
        <v>82</v>
      </c>
      <c r="D9" s="29" t="s">
        <v>83</v>
      </c>
      <c r="E9" s="29" t="s">
        <v>84</v>
      </c>
      <c r="F9" s="29" t="s">
        <v>85</v>
      </c>
    </row>
    <row r="10" customFormat="false" ht="15" hidden="false" customHeight="false" outlineLevel="0" collapsed="false">
      <c r="A10" s="46" t="n">
        <f aca="false">'Raw - Daily Energy'!A5</f>
        <v>45850</v>
      </c>
      <c r="B10" s="13" t="n">
        <f aca="false">COUNTIF('Raw - Sessions'!$R$5:$R$292,A10)</f>
        <v>0</v>
      </c>
      <c r="C10" s="30" t="n">
        <f aca="false">SUMIF('Raw - Sessions'!$R$5:$R$292,A10,'Raw - Sessions'!$D$5:$D$292)</f>
        <v>0</v>
      </c>
      <c r="D10" s="30" t="n">
        <f aca="false">SUMIF('Raw - Sessions'!$R$5:$R$292,A10,'Raw - Sessions'!$E$5:$E$292)</f>
        <v>0</v>
      </c>
      <c r="E10" s="30" t="n">
        <f aca="false">'Raw - Daily Energy'!B5</f>
        <v>0</v>
      </c>
      <c r="F10" s="35" t="n">
        <f aca="false">SUMIF('Raw - Sessions'!$R$5:$R$292,A10,'Raw - Sessions'!$P$5:$P$292)</f>
        <v>0</v>
      </c>
    </row>
    <row r="11" customFormat="false" ht="15" hidden="false" customHeight="false" outlineLevel="0" collapsed="false">
      <c r="A11" s="47" t="n">
        <f aca="false">'Raw - Daily Energy'!A6</f>
        <v>45851</v>
      </c>
      <c r="B11" s="15" t="n">
        <f aca="false">COUNTIF('Raw - Sessions'!$R$5:$R$292,A11)</f>
        <v>0</v>
      </c>
      <c r="C11" s="31" t="n">
        <f aca="false">SUMIF('Raw - Sessions'!$R$5:$R$292,A11,'Raw - Sessions'!$D$5:$D$292)</f>
        <v>0</v>
      </c>
      <c r="D11" s="31" t="n">
        <f aca="false">SUMIF('Raw - Sessions'!$R$5:$R$292,A11,'Raw - Sessions'!$E$5:$E$292)</f>
        <v>0</v>
      </c>
      <c r="E11" s="31" t="n">
        <f aca="false">'Raw - Daily Energy'!B6</f>
        <v>0</v>
      </c>
      <c r="F11" s="37" t="n">
        <f aca="false">SUMIF('Raw - Sessions'!$R$5:$R$292,A11,'Raw - Sessions'!$P$5:$P$292)</f>
        <v>0</v>
      </c>
    </row>
    <row r="12" customFormat="false" ht="15" hidden="false" customHeight="false" outlineLevel="0" collapsed="false">
      <c r="A12" s="46" t="n">
        <f aca="false">'Raw - Daily Energy'!A7</f>
        <v>45852</v>
      </c>
      <c r="B12" s="13" t="n">
        <f aca="false">COUNTIF('Raw - Sessions'!$R$5:$R$292,A12)</f>
        <v>0</v>
      </c>
      <c r="C12" s="30" t="n">
        <f aca="false">SUMIF('Raw - Sessions'!$R$5:$R$292,A12,'Raw - Sessions'!$D$5:$D$292)</f>
        <v>0</v>
      </c>
      <c r="D12" s="30" t="n">
        <f aca="false">SUMIF('Raw - Sessions'!$R$5:$R$292,A12,'Raw - Sessions'!$E$5:$E$292)</f>
        <v>0</v>
      </c>
      <c r="E12" s="30" t="n">
        <f aca="false">'Raw - Daily Energy'!B7</f>
        <v>0</v>
      </c>
      <c r="F12" s="35" t="n">
        <f aca="false">SUMIF('Raw - Sessions'!$R$5:$R$292,A12,'Raw - Sessions'!$P$5:$P$292)</f>
        <v>0</v>
      </c>
    </row>
    <row r="13" customFormat="false" ht="15" hidden="false" customHeight="false" outlineLevel="0" collapsed="false">
      <c r="A13" s="47" t="n">
        <f aca="false">'Raw - Daily Energy'!A8</f>
        <v>45853</v>
      </c>
      <c r="B13" s="15" t="n">
        <f aca="false">COUNTIF('Raw - Sessions'!$R$5:$R$292,A13)</f>
        <v>0</v>
      </c>
      <c r="C13" s="31" t="n">
        <f aca="false">SUMIF('Raw - Sessions'!$R$5:$R$292,A13,'Raw - Sessions'!$D$5:$D$292)</f>
        <v>0</v>
      </c>
      <c r="D13" s="31" t="n">
        <f aca="false">SUMIF('Raw - Sessions'!$R$5:$R$292,A13,'Raw - Sessions'!$E$5:$E$292)</f>
        <v>0</v>
      </c>
      <c r="E13" s="31" t="n">
        <f aca="false">'Raw - Daily Energy'!B8</f>
        <v>0</v>
      </c>
      <c r="F13" s="37" t="n">
        <f aca="false">SUMIF('Raw - Sessions'!$R$5:$R$292,A13,'Raw - Sessions'!$P$5:$P$292)</f>
        <v>0</v>
      </c>
    </row>
    <row r="14" customFormat="false" ht="15" hidden="false" customHeight="false" outlineLevel="0" collapsed="false">
      <c r="A14" s="46" t="n">
        <f aca="false">'Raw - Daily Energy'!A9</f>
        <v>45854</v>
      </c>
      <c r="B14" s="13" t="n">
        <f aca="false">COUNTIF('Raw - Sessions'!$R$5:$R$292,A14)</f>
        <v>0</v>
      </c>
      <c r="C14" s="30" t="n">
        <f aca="false">SUMIF('Raw - Sessions'!$R$5:$R$292,A14,'Raw - Sessions'!$D$5:$D$292)</f>
        <v>0</v>
      </c>
      <c r="D14" s="30" t="n">
        <f aca="false">SUMIF('Raw - Sessions'!$R$5:$R$292,A14,'Raw - Sessions'!$E$5:$E$292)</f>
        <v>0</v>
      </c>
      <c r="E14" s="30" t="n">
        <f aca="false">'Raw - Daily Energy'!B9</f>
        <v>0</v>
      </c>
      <c r="F14" s="35" t="n">
        <f aca="false">SUMIF('Raw - Sessions'!$R$5:$R$292,A14,'Raw - Sessions'!$P$5:$P$292)</f>
        <v>0</v>
      </c>
    </row>
    <row r="15" customFormat="false" ht="15" hidden="false" customHeight="false" outlineLevel="0" collapsed="false">
      <c r="A15" s="47" t="n">
        <f aca="false">'Raw - Daily Energy'!A10</f>
        <v>45855</v>
      </c>
      <c r="B15" s="15" t="n">
        <f aca="false">COUNTIF('Raw - Sessions'!$R$5:$R$292,A15)</f>
        <v>0</v>
      </c>
      <c r="C15" s="31" t="n">
        <f aca="false">SUMIF('Raw - Sessions'!$R$5:$R$292,A15,'Raw - Sessions'!$D$5:$D$292)</f>
        <v>0</v>
      </c>
      <c r="D15" s="31" t="n">
        <f aca="false">SUMIF('Raw - Sessions'!$R$5:$R$292,A15,'Raw - Sessions'!$E$5:$E$292)</f>
        <v>0</v>
      </c>
      <c r="E15" s="31" t="n">
        <f aca="false">'Raw - Daily Energy'!B10</f>
        <v>0</v>
      </c>
      <c r="F15" s="37" t="n">
        <f aca="false">SUMIF('Raw - Sessions'!$R$5:$R$292,A15,'Raw - Sessions'!$P$5:$P$292)</f>
        <v>0</v>
      </c>
    </row>
    <row r="16" customFormat="false" ht="15" hidden="false" customHeight="false" outlineLevel="0" collapsed="false">
      <c r="A16" s="46" t="n">
        <f aca="false">'Raw - Daily Energy'!A11</f>
        <v>45856</v>
      </c>
      <c r="B16" s="13" t="n">
        <f aca="false">COUNTIF('Raw - Sessions'!$R$5:$R$292,A16)</f>
        <v>0</v>
      </c>
      <c r="C16" s="30" t="n">
        <f aca="false">SUMIF('Raw - Sessions'!$R$5:$R$292,A16,'Raw - Sessions'!$D$5:$D$292)</f>
        <v>0</v>
      </c>
      <c r="D16" s="30" t="n">
        <f aca="false">SUMIF('Raw - Sessions'!$R$5:$R$292,A16,'Raw - Sessions'!$E$5:$E$292)</f>
        <v>0</v>
      </c>
      <c r="E16" s="30" t="n">
        <f aca="false">'Raw - Daily Energy'!B11</f>
        <v>0</v>
      </c>
      <c r="F16" s="35" t="n">
        <f aca="false">SUMIF('Raw - Sessions'!$R$5:$R$292,A16,'Raw - Sessions'!$P$5:$P$292)</f>
        <v>0</v>
      </c>
    </row>
    <row r="17" customFormat="false" ht="15" hidden="false" customHeight="false" outlineLevel="0" collapsed="false">
      <c r="A17" s="47" t="n">
        <f aca="false">'Raw - Daily Energy'!A12</f>
        <v>45857</v>
      </c>
      <c r="B17" s="15" t="n">
        <f aca="false">COUNTIF('Raw - Sessions'!$R$5:$R$292,A17)</f>
        <v>0</v>
      </c>
      <c r="C17" s="31" t="n">
        <f aca="false">SUMIF('Raw - Sessions'!$R$5:$R$292,A17,'Raw - Sessions'!$D$5:$D$292)</f>
        <v>0</v>
      </c>
      <c r="D17" s="31" t="n">
        <f aca="false">SUMIF('Raw - Sessions'!$R$5:$R$292,A17,'Raw - Sessions'!$E$5:$E$292)</f>
        <v>0</v>
      </c>
      <c r="E17" s="31" t="n">
        <f aca="false">'Raw - Daily Energy'!B12</f>
        <v>0</v>
      </c>
      <c r="F17" s="37" t="n">
        <f aca="false">SUMIF('Raw - Sessions'!$R$5:$R$292,A17,'Raw - Sessions'!$P$5:$P$292)</f>
        <v>0</v>
      </c>
    </row>
    <row r="18" customFormat="false" ht="15" hidden="false" customHeight="false" outlineLevel="0" collapsed="false">
      <c r="A18" s="46" t="n">
        <f aca="false">'Raw - Daily Energy'!A13</f>
        <v>45858</v>
      </c>
      <c r="B18" s="13" t="n">
        <f aca="false">COUNTIF('Raw - Sessions'!$R$5:$R$292,A18)</f>
        <v>0</v>
      </c>
      <c r="C18" s="30" t="n">
        <f aca="false">SUMIF('Raw - Sessions'!$R$5:$R$292,A18,'Raw - Sessions'!$D$5:$D$292)</f>
        <v>0</v>
      </c>
      <c r="D18" s="30" t="n">
        <f aca="false">SUMIF('Raw - Sessions'!$R$5:$R$292,A18,'Raw - Sessions'!$E$5:$E$292)</f>
        <v>0</v>
      </c>
      <c r="E18" s="30" t="n">
        <f aca="false">'Raw - Daily Energy'!B13</f>
        <v>0</v>
      </c>
      <c r="F18" s="35" t="n">
        <f aca="false">SUMIF('Raw - Sessions'!$R$5:$R$292,A18,'Raw - Sessions'!$P$5:$P$292)</f>
        <v>0</v>
      </c>
    </row>
    <row r="19" customFormat="false" ht="15" hidden="false" customHeight="false" outlineLevel="0" collapsed="false">
      <c r="A19" s="47" t="n">
        <f aca="false">'Raw - Daily Energy'!A14</f>
        <v>45859</v>
      </c>
      <c r="B19" s="15" t="n">
        <f aca="false">COUNTIF('Raw - Sessions'!$R$5:$R$292,A19)</f>
        <v>0</v>
      </c>
      <c r="C19" s="31" t="n">
        <f aca="false">SUMIF('Raw - Sessions'!$R$5:$R$292,A19,'Raw - Sessions'!$D$5:$D$292)</f>
        <v>0</v>
      </c>
      <c r="D19" s="31" t="n">
        <f aca="false">SUMIF('Raw - Sessions'!$R$5:$R$292,A19,'Raw - Sessions'!$E$5:$E$292)</f>
        <v>0</v>
      </c>
      <c r="E19" s="31" t="n">
        <f aca="false">'Raw - Daily Energy'!B14</f>
        <v>0</v>
      </c>
      <c r="F19" s="37" t="n">
        <f aca="false">SUMIF('Raw - Sessions'!$R$5:$R$292,A19,'Raw - Sessions'!$P$5:$P$292)</f>
        <v>0</v>
      </c>
    </row>
    <row r="20" customFormat="false" ht="15" hidden="false" customHeight="false" outlineLevel="0" collapsed="false">
      <c r="A20" s="46" t="n">
        <f aca="false">'Raw - Daily Energy'!A15</f>
        <v>45860</v>
      </c>
      <c r="B20" s="13" t="n">
        <f aca="false">COUNTIF('Raw - Sessions'!$R$5:$R$292,A20)</f>
        <v>0</v>
      </c>
      <c r="C20" s="30" t="n">
        <f aca="false">SUMIF('Raw - Sessions'!$R$5:$R$292,A20,'Raw - Sessions'!$D$5:$D$292)</f>
        <v>0</v>
      </c>
      <c r="D20" s="30" t="n">
        <f aca="false">SUMIF('Raw - Sessions'!$R$5:$R$292,A20,'Raw - Sessions'!$E$5:$E$292)</f>
        <v>0</v>
      </c>
      <c r="E20" s="30" t="n">
        <f aca="false">'Raw - Daily Energy'!B15</f>
        <v>0</v>
      </c>
      <c r="F20" s="35" t="n">
        <f aca="false">SUMIF('Raw - Sessions'!$R$5:$R$292,A20,'Raw - Sessions'!$P$5:$P$292)</f>
        <v>0</v>
      </c>
    </row>
    <row r="21" customFormat="false" ht="15" hidden="false" customHeight="false" outlineLevel="0" collapsed="false">
      <c r="A21" s="47" t="n">
        <f aca="false">'Raw - Daily Energy'!A16</f>
        <v>45861</v>
      </c>
      <c r="B21" s="15" t="n">
        <f aca="false">COUNTIF('Raw - Sessions'!$R$5:$R$292,A21)</f>
        <v>0</v>
      </c>
      <c r="C21" s="31" t="n">
        <f aca="false">SUMIF('Raw - Sessions'!$R$5:$R$292,A21,'Raw - Sessions'!$D$5:$D$292)</f>
        <v>0</v>
      </c>
      <c r="D21" s="31" t="n">
        <f aca="false">SUMIF('Raw - Sessions'!$R$5:$R$292,A21,'Raw - Sessions'!$E$5:$E$292)</f>
        <v>0</v>
      </c>
      <c r="E21" s="31" t="n">
        <f aca="false">'Raw - Daily Energy'!B16</f>
        <v>0</v>
      </c>
      <c r="F21" s="37" t="n">
        <f aca="false">SUMIF('Raw - Sessions'!$R$5:$R$292,A21,'Raw - Sessions'!$P$5:$P$292)</f>
        <v>0</v>
      </c>
    </row>
    <row r="22" customFormat="false" ht="15" hidden="false" customHeight="false" outlineLevel="0" collapsed="false">
      <c r="A22" s="46" t="n">
        <f aca="false">'Raw - Daily Energy'!A17</f>
        <v>45862</v>
      </c>
      <c r="B22" s="13" t="n">
        <f aca="false">COUNTIF('Raw - Sessions'!$R$5:$R$292,A22)</f>
        <v>0</v>
      </c>
      <c r="C22" s="30" t="n">
        <f aca="false">SUMIF('Raw - Sessions'!$R$5:$R$292,A22,'Raw - Sessions'!$D$5:$D$292)</f>
        <v>0</v>
      </c>
      <c r="D22" s="30" t="n">
        <f aca="false">SUMIF('Raw - Sessions'!$R$5:$R$292,A22,'Raw - Sessions'!$E$5:$E$292)</f>
        <v>0</v>
      </c>
      <c r="E22" s="30" t="n">
        <f aca="false">'Raw - Daily Energy'!B17</f>
        <v>0</v>
      </c>
      <c r="F22" s="35" t="n">
        <f aca="false">SUMIF('Raw - Sessions'!$R$5:$R$292,A22,'Raw - Sessions'!$P$5:$P$292)</f>
        <v>0</v>
      </c>
    </row>
    <row r="23" customFormat="false" ht="15" hidden="false" customHeight="false" outlineLevel="0" collapsed="false">
      <c r="A23" s="47" t="n">
        <f aca="false">'Raw - Daily Energy'!A18</f>
        <v>45863</v>
      </c>
      <c r="B23" s="15" t="n">
        <f aca="false">COUNTIF('Raw - Sessions'!$R$5:$R$292,A23)</f>
        <v>0</v>
      </c>
      <c r="C23" s="31" t="n">
        <f aca="false">SUMIF('Raw - Sessions'!$R$5:$R$292,A23,'Raw - Sessions'!$D$5:$D$292)</f>
        <v>0</v>
      </c>
      <c r="D23" s="31" t="n">
        <f aca="false">SUMIF('Raw - Sessions'!$R$5:$R$292,A23,'Raw - Sessions'!$E$5:$E$292)</f>
        <v>0</v>
      </c>
      <c r="E23" s="31" t="n">
        <f aca="false">'Raw - Daily Energy'!B18</f>
        <v>0</v>
      </c>
      <c r="F23" s="37" t="n">
        <f aca="false">SUMIF('Raw - Sessions'!$R$5:$R$292,A23,'Raw - Sessions'!$P$5:$P$292)</f>
        <v>0</v>
      </c>
    </row>
    <row r="24" customFormat="false" ht="15" hidden="false" customHeight="false" outlineLevel="0" collapsed="false">
      <c r="A24" s="46" t="n">
        <f aca="false">'Raw - Daily Energy'!A19</f>
        <v>45864</v>
      </c>
      <c r="B24" s="13" t="n">
        <f aca="false">COUNTIF('Raw - Sessions'!$R$5:$R$292,A24)</f>
        <v>0</v>
      </c>
      <c r="C24" s="30" t="n">
        <f aca="false">SUMIF('Raw - Sessions'!$R$5:$R$292,A24,'Raw - Sessions'!$D$5:$D$292)</f>
        <v>0</v>
      </c>
      <c r="D24" s="30" t="n">
        <f aca="false">SUMIF('Raw - Sessions'!$R$5:$R$292,A24,'Raw - Sessions'!$E$5:$E$292)</f>
        <v>0</v>
      </c>
      <c r="E24" s="30" t="n">
        <f aca="false">'Raw - Daily Energy'!B19</f>
        <v>0</v>
      </c>
      <c r="F24" s="35" t="n">
        <f aca="false">SUMIF('Raw - Sessions'!$R$5:$R$292,A24,'Raw - Sessions'!$P$5:$P$292)</f>
        <v>0</v>
      </c>
    </row>
    <row r="25" customFormat="false" ht="15" hidden="false" customHeight="false" outlineLevel="0" collapsed="false">
      <c r="A25" s="47" t="n">
        <f aca="false">'Raw - Daily Energy'!A20</f>
        <v>45865</v>
      </c>
      <c r="B25" s="15" t="n">
        <f aca="false">COUNTIF('Raw - Sessions'!$R$5:$R$292,A25)</f>
        <v>0</v>
      </c>
      <c r="C25" s="31" t="n">
        <f aca="false">SUMIF('Raw - Sessions'!$R$5:$R$292,A25,'Raw - Sessions'!$D$5:$D$292)</f>
        <v>0</v>
      </c>
      <c r="D25" s="31" t="n">
        <f aca="false">SUMIF('Raw - Sessions'!$R$5:$R$292,A25,'Raw - Sessions'!$E$5:$E$292)</f>
        <v>0</v>
      </c>
      <c r="E25" s="31" t="n">
        <f aca="false">'Raw - Daily Energy'!B20</f>
        <v>0</v>
      </c>
      <c r="F25" s="37" t="n">
        <f aca="false">SUMIF('Raw - Sessions'!$R$5:$R$292,A25,'Raw - Sessions'!$P$5:$P$292)</f>
        <v>0</v>
      </c>
    </row>
    <row r="26" customFormat="false" ht="15" hidden="false" customHeight="false" outlineLevel="0" collapsed="false">
      <c r="A26" s="46" t="n">
        <f aca="false">'Raw - Daily Energy'!A21</f>
        <v>45866</v>
      </c>
      <c r="B26" s="13" t="n">
        <f aca="false">COUNTIF('Raw - Sessions'!$R$5:$R$292,A26)</f>
        <v>0</v>
      </c>
      <c r="C26" s="30" t="n">
        <f aca="false">SUMIF('Raw - Sessions'!$R$5:$R$292,A26,'Raw - Sessions'!$D$5:$D$292)</f>
        <v>0</v>
      </c>
      <c r="D26" s="30" t="n">
        <f aca="false">SUMIF('Raw - Sessions'!$R$5:$R$292,A26,'Raw - Sessions'!$E$5:$E$292)</f>
        <v>0</v>
      </c>
      <c r="E26" s="30" t="n">
        <f aca="false">'Raw - Daily Energy'!B21</f>
        <v>0</v>
      </c>
      <c r="F26" s="35" t="n">
        <f aca="false">SUMIF('Raw - Sessions'!$R$5:$R$292,A26,'Raw - Sessions'!$P$5:$P$292)</f>
        <v>0</v>
      </c>
    </row>
    <row r="27" customFormat="false" ht="15" hidden="false" customHeight="false" outlineLevel="0" collapsed="false">
      <c r="A27" s="47" t="n">
        <f aca="false">'Raw - Daily Energy'!A22</f>
        <v>45867</v>
      </c>
      <c r="B27" s="15" t="n">
        <f aca="false">COUNTIF('Raw - Sessions'!$R$5:$R$292,A27)</f>
        <v>0</v>
      </c>
      <c r="C27" s="31" t="n">
        <f aca="false">SUMIF('Raw - Sessions'!$R$5:$R$292,A27,'Raw - Sessions'!$D$5:$D$292)</f>
        <v>0</v>
      </c>
      <c r="D27" s="31" t="n">
        <f aca="false">SUMIF('Raw - Sessions'!$R$5:$R$292,A27,'Raw - Sessions'!$E$5:$E$292)</f>
        <v>0</v>
      </c>
      <c r="E27" s="31" t="n">
        <f aca="false">'Raw - Daily Energy'!B22</f>
        <v>0</v>
      </c>
      <c r="F27" s="37" t="n">
        <f aca="false">SUMIF('Raw - Sessions'!$R$5:$R$292,A27,'Raw - Sessions'!$P$5:$P$292)</f>
        <v>0</v>
      </c>
    </row>
    <row r="28" customFormat="false" ht="15" hidden="false" customHeight="false" outlineLevel="0" collapsed="false">
      <c r="A28" s="46" t="n">
        <f aca="false">'Raw - Daily Energy'!A23</f>
        <v>45868</v>
      </c>
      <c r="B28" s="13" t="n">
        <f aca="false">COUNTIF('Raw - Sessions'!$R$5:$R$292,A28)</f>
        <v>0</v>
      </c>
      <c r="C28" s="30" t="n">
        <f aca="false">SUMIF('Raw - Sessions'!$R$5:$R$292,A28,'Raw - Sessions'!$D$5:$D$292)</f>
        <v>0</v>
      </c>
      <c r="D28" s="30" t="n">
        <f aca="false">SUMIF('Raw - Sessions'!$R$5:$R$292,A28,'Raw - Sessions'!$E$5:$E$292)</f>
        <v>0</v>
      </c>
      <c r="E28" s="30" t="n">
        <f aca="false">'Raw - Daily Energy'!B23</f>
        <v>0</v>
      </c>
      <c r="F28" s="35" t="n">
        <f aca="false">SUMIF('Raw - Sessions'!$R$5:$R$292,A28,'Raw - Sessions'!$P$5:$P$292)</f>
        <v>0</v>
      </c>
    </row>
    <row r="29" customFormat="false" ht="15" hidden="false" customHeight="false" outlineLevel="0" collapsed="false">
      <c r="A29" s="47" t="n">
        <f aca="false">'Raw - Daily Energy'!A24</f>
        <v>45869</v>
      </c>
      <c r="B29" s="15" t="n">
        <f aca="false">COUNTIF('Raw - Sessions'!$R$5:$R$292,A29)</f>
        <v>0</v>
      </c>
      <c r="C29" s="31" t="n">
        <f aca="false">SUMIF('Raw - Sessions'!$R$5:$R$292,A29,'Raw - Sessions'!$D$5:$D$292)</f>
        <v>0</v>
      </c>
      <c r="D29" s="31" t="n">
        <f aca="false">SUMIF('Raw - Sessions'!$R$5:$R$292,A29,'Raw - Sessions'!$E$5:$E$292)</f>
        <v>0</v>
      </c>
      <c r="E29" s="31" t="n">
        <f aca="false">'Raw - Daily Energy'!B24</f>
        <v>0</v>
      </c>
      <c r="F29" s="37" t="n">
        <f aca="false">SUMIF('Raw - Sessions'!$R$5:$R$292,A29,'Raw - Sessions'!$P$5:$P$292)</f>
        <v>0</v>
      </c>
    </row>
    <row r="30" customFormat="false" ht="15" hidden="false" customHeight="false" outlineLevel="0" collapsed="false">
      <c r="A30" s="46" t="n">
        <f aca="false">'Raw - Daily Energy'!A25</f>
        <v>45870</v>
      </c>
      <c r="B30" s="13" t="n">
        <f aca="false">COUNTIF('Raw - Sessions'!$R$5:$R$292,A30)</f>
        <v>0</v>
      </c>
      <c r="C30" s="30" t="n">
        <f aca="false">SUMIF('Raw - Sessions'!$R$5:$R$292,A30,'Raw - Sessions'!$D$5:$D$292)</f>
        <v>0</v>
      </c>
      <c r="D30" s="30" t="n">
        <f aca="false">SUMIF('Raw - Sessions'!$R$5:$R$292,A30,'Raw - Sessions'!$E$5:$E$292)</f>
        <v>0</v>
      </c>
      <c r="E30" s="30" t="n">
        <f aca="false">'Raw - Daily Energy'!B25</f>
        <v>0</v>
      </c>
      <c r="F30" s="35" t="n">
        <f aca="false">SUMIF('Raw - Sessions'!$R$5:$R$292,A30,'Raw - Sessions'!$P$5:$P$292)</f>
        <v>0</v>
      </c>
    </row>
    <row r="31" customFormat="false" ht="15" hidden="false" customHeight="false" outlineLevel="0" collapsed="false">
      <c r="A31" s="47" t="n">
        <f aca="false">'Raw - Daily Energy'!A26</f>
        <v>45871</v>
      </c>
      <c r="B31" s="15" t="n">
        <f aca="false">COUNTIF('Raw - Sessions'!$R$5:$R$292,A31)</f>
        <v>0</v>
      </c>
      <c r="C31" s="31" t="n">
        <f aca="false">SUMIF('Raw - Sessions'!$R$5:$R$292,A31,'Raw - Sessions'!$D$5:$D$292)</f>
        <v>0</v>
      </c>
      <c r="D31" s="31" t="n">
        <f aca="false">SUMIF('Raw - Sessions'!$R$5:$R$292,A31,'Raw - Sessions'!$E$5:$E$292)</f>
        <v>0</v>
      </c>
      <c r="E31" s="31" t="n">
        <f aca="false">'Raw - Daily Energy'!B26</f>
        <v>0</v>
      </c>
      <c r="F31" s="37" t="n">
        <f aca="false">SUMIF('Raw - Sessions'!$R$5:$R$292,A31,'Raw - Sessions'!$P$5:$P$292)</f>
        <v>0</v>
      </c>
    </row>
    <row r="32" customFormat="false" ht="15" hidden="false" customHeight="false" outlineLevel="0" collapsed="false">
      <c r="A32" s="46" t="n">
        <f aca="false">'Raw - Daily Energy'!A27</f>
        <v>45872</v>
      </c>
      <c r="B32" s="13" t="n">
        <f aca="false">COUNTIF('Raw - Sessions'!$R$5:$R$292,A32)</f>
        <v>0</v>
      </c>
      <c r="C32" s="30" t="n">
        <f aca="false">SUMIF('Raw - Sessions'!$R$5:$R$292,A32,'Raw - Sessions'!$D$5:$D$292)</f>
        <v>0</v>
      </c>
      <c r="D32" s="30" t="n">
        <f aca="false">SUMIF('Raw - Sessions'!$R$5:$R$292,A32,'Raw - Sessions'!$E$5:$E$292)</f>
        <v>0</v>
      </c>
      <c r="E32" s="30" t="n">
        <f aca="false">'Raw - Daily Energy'!B27</f>
        <v>0</v>
      </c>
      <c r="F32" s="35" t="n">
        <f aca="false">SUMIF('Raw - Sessions'!$R$5:$R$292,A32,'Raw - Sessions'!$P$5:$P$292)</f>
        <v>0</v>
      </c>
    </row>
    <row r="33" customFormat="false" ht="15" hidden="false" customHeight="false" outlineLevel="0" collapsed="false">
      <c r="A33" s="47" t="n">
        <f aca="false">'Raw - Daily Energy'!A28</f>
        <v>45873</v>
      </c>
      <c r="B33" s="15" t="n">
        <f aca="false">COUNTIF('Raw - Sessions'!$R$5:$R$292,A33)</f>
        <v>0</v>
      </c>
      <c r="C33" s="31" t="n">
        <f aca="false">SUMIF('Raw - Sessions'!$R$5:$R$292,A33,'Raw - Sessions'!$D$5:$D$292)</f>
        <v>0</v>
      </c>
      <c r="D33" s="31" t="n">
        <f aca="false">SUMIF('Raw - Sessions'!$R$5:$R$292,A33,'Raw - Sessions'!$E$5:$E$292)</f>
        <v>0</v>
      </c>
      <c r="E33" s="31" t="n">
        <f aca="false">'Raw - Daily Energy'!B28</f>
        <v>0</v>
      </c>
      <c r="F33" s="37" t="n">
        <f aca="false">SUMIF('Raw - Sessions'!$R$5:$R$292,A33,'Raw - Sessions'!$P$5:$P$292)</f>
        <v>0</v>
      </c>
    </row>
    <row r="34" customFormat="false" ht="15" hidden="false" customHeight="false" outlineLevel="0" collapsed="false">
      <c r="A34" s="46" t="n">
        <f aca="false">'Raw - Daily Energy'!A29</f>
        <v>45874</v>
      </c>
      <c r="B34" s="13" t="n">
        <f aca="false">COUNTIF('Raw - Sessions'!$R$5:$R$292,A34)</f>
        <v>0</v>
      </c>
      <c r="C34" s="30" t="n">
        <f aca="false">SUMIF('Raw - Sessions'!$R$5:$R$292,A34,'Raw - Sessions'!$D$5:$D$292)</f>
        <v>0</v>
      </c>
      <c r="D34" s="30" t="n">
        <f aca="false">SUMIF('Raw - Sessions'!$R$5:$R$292,A34,'Raw - Sessions'!$E$5:$E$292)</f>
        <v>0</v>
      </c>
      <c r="E34" s="30" t="n">
        <f aca="false">'Raw - Daily Energy'!B29</f>
        <v>0</v>
      </c>
      <c r="F34" s="35" t="n">
        <f aca="false">SUMIF('Raw - Sessions'!$R$5:$R$292,A34,'Raw - Sessions'!$P$5:$P$292)</f>
        <v>0</v>
      </c>
    </row>
    <row r="35" customFormat="false" ht="15" hidden="false" customHeight="false" outlineLevel="0" collapsed="false">
      <c r="A35" s="47" t="n">
        <f aca="false">'Raw - Daily Energy'!A30</f>
        <v>45875</v>
      </c>
      <c r="B35" s="15" t="n">
        <f aca="false">COUNTIF('Raw - Sessions'!$R$5:$R$292,A35)</f>
        <v>0</v>
      </c>
      <c r="C35" s="31" t="n">
        <f aca="false">SUMIF('Raw - Sessions'!$R$5:$R$292,A35,'Raw - Sessions'!$D$5:$D$292)</f>
        <v>0</v>
      </c>
      <c r="D35" s="31" t="n">
        <f aca="false">SUMIF('Raw - Sessions'!$R$5:$R$292,A35,'Raw - Sessions'!$E$5:$E$292)</f>
        <v>0</v>
      </c>
      <c r="E35" s="31" t="n">
        <f aca="false">'Raw - Daily Energy'!B30</f>
        <v>0</v>
      </c>
      <c r="F35" s="37" t="n">
        <f aca="false">SUMIF('Raw - Sessions'!$R$5:$R$292,A35,'Raw - Sessions'!$P$5:$P$292)</f>
        <v>0</v>
      </c>
    </row>
    <row r="36" customFormat="false" ht="15" hidden="false" customHeight="false" outlineLevel="0" collapsed="false">
      <c r="A36" s="46" t="n">
        <f aca="false">'Raw - Daily Energy'!A31</f>
        <v>45876</v>
      </c>
      <c r="B36" s="13" t="n">
        <f aca="false">COUNTIF('Raw - Sessions'!$R$5:$R$292,A36)</f>
        <v>0</v>
      </c>
      <c r="C36" s="30" t="n">
        <f aca="false">SUMIF('Raw - Sessions'!$R$5:$R$292,A36,'Raw - Sessions'!$D$5:$D$292)</f>
        <v>0</v>
      </c>
      <c r="D36" s="30" t="n">
        <f aca="false">SUMIF('Raw - Sessions'!$R$5:$R$292,A36,'Raw - Sessions'!$E$5:$E$292)</f>
        <v>0</v>
      </c>
      <c r="E36" s="30" t="n">
        <f aca="false">'Raw - Daily Energy'!B31</f>
        <v>0</v>
      </c>
      <c r="F36" s="35" t="n">
        <f aca="false">SUMIF('Raw - Sessions'!$R$5:$R$292,A36,'Raw - Sessions'!$P$5:$P$292)</f>
        <v>0</v>
      </c>
    </row>
    <row r="37" customFormat="false" ht="15" hidden="false" customHeight="false" outlineLevel="0" collapsed="false">
      <c r="A37" s="47" t="n">
        <f aca="false">'Raw - Daily Energy'!A32</f>
        <v>45877</v>
      </c>
      <c r="B37" s="15" t="n">
        <f aca="false">COUNTIF('Raw - Sessions'!$R$5:$R$292,A37)</f>
        <v>0</v>
      </c>
      <c r="C37" s="31" t="n">
        <f aca="false">SUMIF('Raw - Sessions'!$R$5:$R$292,A37,'Raw - Sessions'!$D$5:$D$292)</f>
        <v>0</v>
      </c>
      <c r="D37" s="31" t="n">
        <f aca="false">SUMIF('Raw - Sessions'!$R$5:$R$292,A37,'Raw - Sessions'!$E$5:$E$292)</f>
        <v>0</v>
      </c>
      <c r="E37" s="31" t="n">
        <f aca="false">'Raw - Daily Energy'!B32</f>
        <v>0</v>
      </c>
      <c r="F37" s="37" t="n">
        <f aca="false">SUMIF('Raw - Sessions'!$R$5:$R$292,A37,'Raw - Sessions'!$P$5:$P$292)</f>
        <v>0</v>
      </c>
    </row>
    <row r="38" customFormat="false" ht="15" hidden="false" customHeight="false" outlineLevel="0" collapsed="false">
      <c r="A38" s="46" t="n">
        <f aca="false">'Raw - Daily Energy'!A33</f>
        <v>45878</v>
      </c>
      <c r="B38" s="13" t="n">
        <f aca="false">COUNTIF('Raw - Sessions'!$R$5:$R$292,A38)</f>
        <v>0</v>
      </c>
      <c r="C38" s="30" t="n">
        <f aca="false">SUMIF('Raw - Sessions'!$R$5:$R$292,A38,'Raw - Sessions'!$D$5:$D$292)</f>
        <v>0</v>
      </c>
      <c r="D38" s="30" t="n">
        <f aca="false">SUMIF('Raw - Sessions'!$R$5:$R$292,A38,'Raw - Sessions'!$E$5:$E$292)</f>
        <v>0</v>
      </c>
      <c r="E38" s="30" t="n">
        <f aca="false">'Raw - Daily Energy'!B33</f>
        <v>0</v>
      </c>
      <c r="F38" s="35" t="n">
        <f aca="false">SUMIF('Raw - Sessions'!$R$5:$R$292,A38,'Raw - Sessions'!$P$5:$P$292)</f>
        <v>0</v>
      </c>
    </row>
    <row r="39" customFormat="false" ht="15" hidden="false" customHeight="false" outlineLevel="0" collapsed="false">
      <c r="A39" s="47" t="n">
        <f aca="false">'Raw - Daily Energy'!A34</f>
        <v>45879</v>
      </c>
      <c r="B39" s="15" t="n">
        <f aca="false">COUNTIF('Raw - Sessions'!$R$5:$R$292,A39)</f>
        <v>0</v>
      </c>
      <c r="C39" s="31" t="n">
        <f aca="false">SUMIF('Raw - Sessions'!$R$5:$R$292,A39,'Raw - Sessions'!$D$5:$D$292)</f>
        <v>0</v>
      </c>
      <c r="D39" s="31" t="n">
        <f aca="false">SUMIF('Raw - Sessions'!$R$5:$R$292,A39,'Raw - Sessions'!$E$5:$E$292)</f>
        <v>0</v>
      </c>
      <c r="E39" s="31" t="n">
        <f aca="false">'Raw - Daily Energy'!B34</f>
        <v>0</v>
      </c>
      <c r="F39" s="37" t="n">
        <f aca="false">SUMIF('Raw - Sessions'!$R$5:$R$292,A39,'Raw - Sessions'!$P$5:$P$292)</f>
        <v>0</v>
      </c>
    </row>
    <row r="40" customFormat="false" ht="15" hidden="false" customHeight="false" outlineLevel="0" collapsed="false">
      <c r="A40" s="46" t="n">
        <f aca="false">'Raw - Daily Energy'!A35</f>
        <v>45880</v>
      </c>
      <c r="B40" s="13" t="n">
        <f aca="false">COUNTIF('Raw - Sessions'!$R$5:$R$292,A40)</f>
        <v>0</v>
      </c>
      <c r="C40" s="30" t="n">
        <f aca="false">SUMIF('Raw - Sessions'!$R$5:$R$292,A40,'Raw - Sessions'!$D$5:$D$292)</f>
        <v>0</v>
      </c>
      <c r="D40" s="30" t="n">
        <f aca="false">SUMIF('Raw - Sessions'!$R$5:$R$292,A40,'Raw - Sessions'!$E$5:$E$292)</f>
        <v>0</v>
      </c>
      <c r="E40" s="30" t="n">
        <f aca="false">'Raw - Daily Energy'!B35</f>
        <v>0</v>
      </c>
      <c r="F40" s="35" t="n">
        <f aca="false">SUMIF('Raw - Sessions'!$R$5:$R$292,A40,'Raw - Sessions'!$P$5:$P$292)</f>
        <v>0</v>
      </c>
    </row>
    <row r="41" customFormat="false" ht="15" hidden="false" customHeight="false" outlineLevel="0" collapsed="false">
      <c r="A41" s="47" t="n">
        <f aca="false">'Raw - Daily Energy'!A36</f>
        <v>45881</v>
      </c>
      <c r="B41" s="15" t="n">
        <f aca="false">COUNTIF('Raw - Sessions'!$R$5:$R$292,A41)</f>
        <v>0</v>
      </c>
      <c r="C41" s="31" t="n">
        <f aca="false">SUMIF('Raw - Sessions'!$R$5:$R$292,A41,'Raw - Sessions'!$D$5:$D$292)</f>
        <v>0</v>
      </c>
      <c r="D41" s="31" t="n">
        <f aca="false">SUMIF('Raw - Sessions'!$R$5:$R$292,A41,'Raw - Sessions'!$E$5:$E$292)</f>
        <v>0</v>
      </c>
      <c r="E41" s="31" t="n">
        <f aca="false">'Raw - Daily Energy'!B36</f>
        <v>0</v>
      </c>
      <c r="F41" s="37" t="n">
        <f aca="false">SUMIF('Raw - Sessions'!$R$5:$R$292,A41,'Raw - Sessions'!$P$5:$P$292)</f>
        <v>0</v>
      </c>
    </row>
    <row r="42" customFormat="false" ht="15" hidden="false" customHeight="false" outlineLevel="0" collapsed="false">
      <c r="A42" s="46" t="n">
        <f aca="false">'Raw - Daily Energy'!A37</f>
        <v>45882</v>
      </c>
      <c r="B42" s="13" t="n">
        <f aca="false">COUNTIF('Raw - Sessions'!$R$5:$R$292,A42)</f>
        <v>0</v>
      </c>
      <c r="C42" s="30" t="n">
        <f aca="false">SUMIF('Raw - Sessions'!$R$5:$R$292,A42,'Raw - Sessions'!$D$5:$D$292)</f>
        <v>0</v>
      </c>
      <c r="D42" s="30" t="n">
        <f aca="false">SUMIF('Raw - Sessions'!$R$5:$R$292,A42,'Raw - Sessions'!$E$5:$E$292)</f>
        <v>0</v>
      </c>
      <c r="E42" s="30" t="n">
        <f aca="false">'Raw - Daily Energy'!B37</f>
        <v>0</v>
      </c>
      <c r="F42" s="35" t="n">
        <f aca="false">SUMIF('Raw - Sessions'!$R$5:$R$292,A42,'Raw - Sessions'!$P$5:$P$292)</f>
        <v>0</v>
      </c>
    </row>
    <row r="43" customFormat="false" ht="15" hidden="false" customHeight="false" outlineLevel="0" collapsed="false">
      <c r="A43" s="47" t="n">
        <f aca="false">'Raw - Daily Energy'!A38</f>
        <v>45883</v>
      </c>
      <c r="B43" s="15" t="n">
        <f aca="false">COUNTIF('Raw - Sessions'!$R$5:$R$292,A43)</f>
        <v>0</v>
      </c>
      <c r="C43" s="31" t="n">
        <f aca="false">SUMIF('Raw - Sessions'!$R$5:$R$292,A43,'Raw - Sessions'!$D$5:$D$292)</f>
        <v>0</v>
      </c>
      <c r="D43" s="31" t="n">
        <f aca="false">SUMIF('Raw - Sessions'!$R$5:$R$292,A43,'Raw - Sessions'!$E$5:$E$292)</f>
        <v>0</v>
      </c>
      <c r="E43" s="31" t="n">
        <f aca="false">'Raw - Daily Energy'!B38</f>
        <v>0</v>
      </c>
      <c r="F43" s="37" t="n">
        <f aca="false">SUMIF('Raw - Sessions'!$R$5:$R$292,A43,'Raw - Sessions'!$P$5:$P$292)</f>
        <v>0</v>
      </c>
    </row>
    <row r="44" customFormat="false" ht="15" hidden="false" customHeight="false" outlineLevel="0" collapsed="false">
      <c r="A44" s="46" t="n">
        <f aca="false">'Raw - Daily Energy'!A39</f>
        <v>45884</v>
      </c>
      <c r="B44" s="13" t="n">
        <f aca="false">COUNTIF('Raw - Sessions'!$R$5:$R$292,A44)</f>
        <v>0</v>
      </c>
      <c r="C44" s="30" t="n">
        <f aca="false">SUMIF('Raw - Sessions'!$R$5:$R$292,A44,'Raw - Sessions'!$D$5:$D$292)</f>
        <v>0</v>
      </c>
      <c r="D44" s="30" t="n">
        <f aca="false">SUMIF('Raw - Sessions'!$R$5:$R$292,A44,'Raw - Sessions'!$E$5:$E$292)</f>
        <v>0</v>
      </c>
      <c r="E44" s="30" t="n">
        <f aca="false">'Raw - Daily Energy'!B39</f>
        <v>0</v>
      </c>
      <c r="F44" s="35" t="n">
        <f aca="false">SUMIF('Raw - Sessions'!$R$5:$R$292,A44,'Raw - Sessions'!$P$5:$P$292)</f>
        <v>0</v>
      </c>
    </row>
    <row r="45" customFormat="false" ht="15" hidden="false" customHeight="false" outlineLevel="0" collapsed="false">
      <c r="A45" s="47" t="n">
        <f aca="false">'Raw - Daily Energy'!A40</f>
        <v>45885</v>
      </c>
      <c r="B45" s="15" t="n">
        <f aca="false">COUNTIF('Raw - Sessions'!$R$5:$R$292,A45)</f>
        <v>0</v>
      </c>
      <c r="C45" s="31" t="n">
        <f aca="false">SUMIF('Raw - Sessions'!$R$5:$R$292,A45,'Raw - Sessions'!$D$5:$D$292)</f>
        <v>0</v>
      </c>
      <c r="D45" s="31" t="n">
        <f aca="false">SUMIF('Raw - Sessions'!$R$5:$R$292,A45,'Raw - Sessions'!$E$5:$E$292)</f>
        <v>0</v>
      </c>
      <c r="E45" s="31" t="n">
        <f aca="false">'Raw - Daily Energy'!B40</f>
        <v>0</v>
      </c>
      <c r="F45" s="37" t="n">
        <f aca="false">SUMIF('Raw - Sessions'!$R$5:$R$292,A45,'Raw - Sessions'!$P$5:$P$292)</f>
        <v>0</v>
      </c>
    </row>
    <row r="46" customFormat="false" ht="15" hidden="false" customHeight="false" outlineLevel="0" collapsed="false">
      <c r="A46" s="46" t="n">
        <f aca="false">'Raw - Daily Energy'!A41</f>
        <v>45886</v>
      </c>
      <c r="B46" s="13" t="n">
        <f aca="false">COUNTIF('Raw - Sessions'!$R$5:$R$292,A46)</f>
        <v>0</v>
      </c>
      <c r="C46" s="30" t="n">
        <f aca="false">SUMIF('Raw - Sessions'!$R$5:$R$292,A46,'Raw - Sessions'!$D$5:$D$292)</f>
        <v>0</v>
      </c>
      <c r="D46" s="30" t="n">
        <f aca="false">SUMIF('Raw - Sessions'!$R$5:$R$292,A46,'Raw - Sessions'!$E$5:$E$292)</f>
        <v>0</v>
      </c>
      <c r="E46" s="30" t="n">
        <f aca="false">'Raw - Daily Energy'!B41</f>
        <v>0</v>
      </c>
      <c r="F46" s="35" t="n">
        <f aca="false">SUMIF('Raw - Sessions'!$R$5:$R$292,A46,'Raw - Sessions'!$P$5:$P$292)</f>
        <v>0</v>
      </c>
    </row>
    <row r="47" customFormat="false" ht="15" hidden="false" customHeight="false" outlineLevel="0" collapsed="false">
      <c r="A47" s="47" t="n">
        <f aca="false">'Raw - Daily Energy'!A42</f>
        <v>45887</v>
      </c>
      <c r="B47" s="15" t="n">
        <f aca="false">COUNTIF('Raw - Sessions'!$R$5:$R$292,A47)</f>
        <v>0</v>
      </c>
      <c r="C47" s="31" t="n">
        <f aca="false">SUMIF('Raw - Sessions'!$R$5:$R$292,A47,'Raw - Sessions'!$D$5:$D$292)</f>
        <v>0</v>
      </c>
      <c r="D47" s="31" t="n">
        <f aca="false">SUMIF('Raw - Sessions'!$R$5:$R$292,A47,'Raw - Sessions'!$E$5:$E$292)</f>
        <v>0</v>
      </c>
      <c r="E47" s="31" t="n">
        <f aca="false">'Raw - Daily Energy'!B42</f>
        <v>0</v>
      </c>
      <c r="F47" s="37" t="n">
        <f aca="false">SUMIF('Raw - Sessions'!$R$5:$R$292,A47,'Raw - Sessions'!$P$5:$P$292)</f>
        <v>0</v>
      </c>
    </row>
    <row r="48" customFormat="false" ht="15" hidden="false" customHeight="false" outlineLevel="0" collapsed="false">
      <c r="A48" s="46" t="n">
        <f aca="false">'Raw - Daily Energy'!A43</f>
        <v>45888</v>
      </c>
      <c r="B48" s="13" t="n">
        <f aca="false">COUNTIF('Raw - Sessions'!$R$5:$R$292,A48)</f>
        <v>0</v>
      </c>
      <c r="C48" s="30" t="n">
        <f aca="false">SUMIF('Raw - Sessions'!$R$5:$R$292,A48,'Raw - Sessions'!$D$5:$D$292)</f>
        <v>0</v>
      </c>
      <c r="D48" s="30" t="n">
        <f aca="false">SUMIF('Raw - Sessions'!$R$5:$R$292,A48,'Raw - Sessions'!$E$5:$E$292)</f>
        <v>0</v>
      </c>
      <c r="E48" s="30" t="n">
        <f aca="false">'Raw - Daily Energy'!B43</f>
        <v>0</v>
      </c>
      <c r="F48" s="35" t="n">
        <f aca="false">SUMIF('Raw - Sessions'!$R$5:$R$292,A48,'Raw - Sessions'!$P$5:$P$292)</f>
        <v>0</v>
      </c>
    </row>
    <row r="49" customFormat="false" ht="15" hidden="false" customHeight="false" outlineLevel="0" collapsed="false">
      <c r="A49" s="47" t="n">
        <f aca="false">'Raw - Daily Energy'!A44</f>
        <v>45889</v>
      </c>
      <c r="B49" s="15" t="n">
        <f aca="false">COUNTIF('Raw - Sessions'!$R$5:$R$292,A49)</f>
        <v>0</v>
      </c>
      <c r="C49" s="31" t="n">
        <f aca="false">SUMIF('Raw - Sessions'!$R$5:$R$292,A49,'Raw - Sessions'!$D$5:$D$292)</f>
        <v>0</v>
      </c>
      <c r="D49" s="31" t="n">
        <f aca="false">SUMIF('Raw - Sessions'!$R$5:$R$292,A49,'Raw - Sessions'!$E$5:$E$292)</f>
        <v>0</v>
      </c>
      <c r="E49" s="31" t="n">
        <f aca="false">'Raw - Daily Energy'!B44</f>
        <v>0</v>
      </c>
      <c r="F49" s="37" t="n">
        <f aca="false">SUMIF('Raw - Sessions'!$R$5:$R$292,A49,'Raw - Sessions'!$P$5:$P$292)</f>
        <v>0</v>
      </c>
    </row>
    <row r="50" customFormat="false" ht="15" hidden="false" customHeight="false" outlineLevel="0" collapsed="false">
      <c r="A50" s="46" t="n">
        <f aca="false">'Raw - Daily Energy'!A45</f>
        <v>45890</v>
      </c>
      <c r="B50" s="13" t="n">
        <f aca="false">COUNTIF('Raw - Sessions'!$R$5:$R$292,A50)</f>
        <v>0</v>
      </c>
      <c r="C50" s="30" t="n">
        <f aca="false">SUMIF('Raw - Sessions'!$R$5:$R$292,A50,'Raw - Sessions'!$D$5:$D$292)</f>
        <v>0</v>
      </c>
      <c r="D50" s="30" t="n">
        <f aca="false">SUMIF('Raw - Sessions'!$R$5:$R$292,A50,'Raw - Sessions'!$E$5:$E$292)</f>
        <v>0</v>
      </c>
      <c r="E50" s="30" t="n">
        <f aca="false">'Raw - Daily Energy'!B45</f>
        <v>0</v>
      </c>
      <c r="F50" s="35" t="n">
        <f aca="false">SUMIF('Raw - Sessions'!$R$5:$R$292,A50,'Raw - Sessions'!$P$5:$P$292)</f>
        <v>0</v>
      </c>
    </row>
    <row r="51" customFormat="false" ht="15" hidden="false" customHeight="false" outlineLevel="0" collapsed="false">
      <c r="A51" s="47" t="n">
        <f aca="false">'Raw - Daily Energy'!A46</f>
        <v>45891</v>
      </c>
      <c r="B51" s="15" t="n">
        <f aca="false">COUNTIF('Raw - Sessions'!$R$5:$R$292,A51)</f>
        <v>0</v>
      </c>
      <c r="C51" s="31" t="n">
        <f aca="false">SUMIF('Raw - Sessions'!$R$5:$R$292,A51,'Raw - Sessions'!$D$5:$D$292)</f>
        <v>0</v>
      </c>
      <c r="D51" s="31" t="n">
        <f aca="false">SUMIF('Raw - Sessions'!$R$5:$R$292,A51,'Raw - Sessions'!$E$5:$E$292)</f>
        <v>0</v>
      </c>
      <c r="E51" s="31" t="n">
        <f aca="false">'Raw - Daily Energy'!B46</f>
        <v>0</v>
      </c>
      <c r="F51" s="37" t="n">
        <f aca="false">SUMIF('Raw - Sessions'!$R$5:$R$292,A51,'Raw - Sessions'!$P$5:$P$292)</f>
        <v>0</v>
      </c>
    </row>
    <row r="52" customFormat="false" ht="15" hidden="false" customHeight="false" outlineLevel="0" collapsed="false">
      <c r="A52" s="46" t="n">
        <f aca="false">'Raw - Daily Energy'!A47</f>
        <v>45892</v>
      </c>
      <c r="B52" s="13" t="n">
        <f aca="false">COUNTIF('Raw - Sessions'!$R$5:$R$292,A52)</f>
        <v>0</v>
      </c>
      <c r="C52" s="30" t="n">
        <f aca="false">SUMIF('Raw - Sessions'!$R$5:$R$292,A52,'Raw - Sessions'!$D$5:$D$292)</f>
        <v>0</v>
      </c>
      <c r="D52" s="30" t="n">
        <f aca="false">SUMIF('Raw - Sessions'!$R$5:$R$292,A52,'Raw - Sessions'!$E$5:$E$292)</f>
        <v>0</v>
      </c>
      <c r="E52" s="30" t="n">
        <f aca="false">'Raw - Daily Energy'!B47</f>
        <v>0</v>
      </c>
      <c r="F52" s="35" t="n">
        <f aca="false">SUMIF('Raw - Sessions'!$R$5:$R$292,A52,'Raw - Sessions'!$P$5:$P$292)</f>
        <v>0</v>
      </c>
    </row>
    <row r="53" customFormat="false" ht="15" hidden="false" customHeight="false" outlineLevel="0" collapsed="false">
      <c r="A53" s="47" t="n">
        <f aca="false">'Raw - Daily Energy'!A48</f>
        <v>45893</v>
      </c>
      <c r="B53" s="15" t="n">
        <f aca="false">COUNTIF('Raw - Sessions'!$R$5:$R$292,A53)</f>
        <v>0</v>
      </c>
      <c r="C53" s="31" t="n">
        <f aca="false">SUMIF('Raw - Sessions'!$R$5:$R$292,A53,'Raw - Sessions'!$D$5:$D$292)</f>
        <v>0</v>
      </c>
      <c r="D53" s="31" t="n">
        <f aca="false">SUMIF('Raw - Sessions'!$R$5:$R$292,A53,'Raw - Sessions'!$E$5:$E$292)</f>
        <v>0</v>
      </c>
      <c r="E53" s="31" t="n">
        <f aca="false">'Raw - Daily Energy'!B48</f>
        <v>0</v>
      </c>
      <c r="F53" s="37" t="n">
        <f aca="false">SUMIF('Raw - Sessions'!$R$5:$R$292,A53,'Raw - Sessions'!$P$5:$P$292)</f>
        <v>0</v>
      </c>
    </row>
    <row r="54" customFormat="false" ht="15" hidden="false" customHeight="false" outlineLevel="0" collapsed="false">
      <c r="A54" s="46" t="n">
        <f aca="false">'Raw - Daily Energy'!A49</f>
        <v>45894</v>
      </c>
      <c r="B54" s="13" t="n">
        <f aca="false">COUNTIF('Raw - Sessions'!$R$5:$R$292,A54)</f>
        <v>0</v>
      </c>
      <c r="C54" s="30" t="n">
        <f aca="false">SUMIF('Raw - Sessions'!$R$5:$R$292,A54,'Raw - Sessions'!$D$5:$D$292)</f>
        <v>0</v>
      </c>
      <c r="D54" s="30" t="n">
        <f aca="false">SUMIF('Raw - Sessions'!$R$5:$R$292,A54,'Raw - Sessions'!$E$5:$E$292)</f>
        <v>0</v>
      </c>
      <c r="E54" s="30" t="n">
        <f aca="false">'Raw - Daily Energy'!B49</f>
        <v>0</v>
      </c>
      <c r="F54" s="35" t="n">
        <f aca="false">SUMIF('Raw - Sessions'!$R$5:$R$292,A54,'Raw - Sessions'!$P$5:$P$292)</f>
        <v>0</v>
      </c>
    </row>
    <row r="55" customFormat="false" ht="15" hidden="false" customHeight="false" outlineLevel="0" collapsed="false">
      <c r="A55" s="47" t="n">
        <f aca="false">'Raw - Daily Energy'!A50</f>
        <v>45895</v>
      </c>
      <c r="B55" s="15" t="n">
        <f aca="false">COUNTIF('Raw - Sessions'!$R$5:$R$292,A55)</f>
        <v>0</v>
      </c>
      <c r="C55" s="31" t="n">
        <f aca="false">SUMIF('Raw - Sessions'!$R$5:$R$292,A55,'Raw - Sessions'!$D$5:$D$292)</f>
        <v>0</v>
      </c>
      <c r="D55" s="31" t="n">
        <f aca="false">SUMIF('Raw - Sessions'!$R$5:$R$292,A55,'Raw - Sessions'!$E$5:$E$292)</f>
        <v>0</v>
      </c>
      <c r="E55" s="31" t="n">
        <f aca="false">'Raw - Daily Energy'!B50</f>
        <v>0</v>
      </c>
      <c r="F55" s="37" t="n">
        <f aca="false">SUMIF('Raw - Sessions'!$R$5:$R$292,A55,'Raw - Sessions'!$P$5:$P$292)</f>
        <v>0</v>
      </c>
    </row>
    <row r="56" customFormat="false" ht="15" hidden="false" customHeight="false" outlineLevel="0" collapsed="false">
      <c r="A56" s="46" t="n">
        <f aca="false">'Raw - Daily Energy'!A51</f>
        <v>45896</v>
      </c>
      <c r="B56" s="13" t="n">
        <f aca="false">COUNTIF('Raw - Sessions'!$R$5:$R$292,A56)</f>
        <v>0</v>
      </c>
      <c r="C56" s="30" t="n">
        <f aca="false">SUMIF('Raw - Sessions'!$R$5:$R$292,A56,'Raw - Sessions'!$D$5:$D$292)</f>
        <v>0</v>
      </c>
      <c r="D56" s="30" t="n">
        <f aca="false">SUMIF('Raw - Sessions'!$R$5:$R$292,A56,'Raw - Sessions'!$E$5:$E$292)</f>
        <v>0</v>
      </c>
      <c r="E56" s="30" t="n">
        <f aca="false">'Raw - Daily Energy'!B51</f>
        <v>0</v>
      </c>
      <c r="F56" s="35" t="n">
        <f aca="false">SUMIF('Raw - Sessions'!$R$5:$R$292,A56,'Raw - Sessions'!$P$5:$P$292)</f>
        <v>0</v>
      </c>
    </row>
    <row r="57" customFormat="false" ht="15" hidden="false" customHeight="false" outlineLevel="0" collapsed="false">
      <c r="A57" s="47" t="n">
        <f aca="false">'Raw - Daily Energy'!A52</f>
        <v>45897</v>
      </c>
      <c r="B57" s="15" t="n">
        <f aca="false">COUNTIF('Raw - Sessions'!$R$5:$R$292,A57)</f>
        <v>0</v>
      </c>
      <c r="C57" s="31" t="n">
        <f aca="false">SUMIF('Raw - Sessions'!$R$5:$R$292,A57,'Raw - Sessions'!$D$5:$D$292)</f>
        <v>0</v>
      </c>
      <c r="D57" s="31" t="n">
        <f aca="false">SUMIF('Raw - Sessions'!$R$5:$R$292,A57,'Raw - Sessions'!$E$5:$E$292)</f>
        <v>0</v>
      </c>
      <c r="E57" s="31" t="n">
        <f aca="false">'Raw - Daily Energy'!B52</f>
        <v>0</v>
      </c>
      <c r="F57" s="37" t="n">
        <f aca="false">SUMIF('Raw - Sessions'!$R$5:$R$292,A57,'Raw - Sessions'!$P$5:$P$292)</f>
        <v>0</v>
      </c>
    </row>
    <row r="58" customFormat="false" ht="15" hidden="false" customHeight="false" outlineLevel="0" collapsed="false">
      <c r="A58" s="46" t="n">
        <f aca="false">'Raw - Daily Energy'!A53</f>
        <v>45898</v>
      </c>
      <c r="B58" s="13" t="n">
        <f aca="false">COUNTIF('Raw - Sessions'!$R$5:$R$292,A58)</f>
        <v>0</v>
      </c>
      <c r="C58" s="30" t="n">
        <f aca="false">SUMIF('Raw - Sessions'!$R$5:$R$292,A58,'Raw - Sessions'!$D$5:$D$292)</f>
        <v>0</v>
      </c>
      <c r="D58" s="30" t="n">
        <f aca="false">SUMIF('Raw - Sessions'!$R$5:$R$292,A58,'Raw - Sessions'!$E$5:$E$292)</f>
        <v>0</v>
      </c>
      <c r="E58" s="30" t="n">
        <f aca="false">'Raw - Daily Energy'!B53</f>
        <v>0</v>
      </c>
      <c r="F58" s="35" t="n">
        <f aca="false">SUMIF('Raw - Sessions'!$R$5:$R$292,A58,'Raw - Sessions'!$P$5:$P$292)</f>
        <v>0</v>
      </c>
    </row>
    <row r="59" customFormat="false" ht="15" hidden="false" customHeight="false" outlineLevel="0" collapsed="false">
      <c r="A59" s="47" t="n">
        <f aca="false">'Raw - Daily Energy'!A54</f>
        <v>45899</v>
      </c>
      <c r="B59" s="15" t="n">
        <f aca="false">COUNTIF('Raw - Sessions'!$R$5:$R$292,A59)</f>
        <v>0</v>
      </c>
      <c r="C59" s="31" t="n">
        <f aca="false">SUMIF('Raw - Sessions'!$R$5:$R$292,A59,'Raw - Sessions'!$D$5:$D$292)</f>
        <v>0</v>
      </c>
      <c r="D59" s="31" t="n">
        <f aca="false">SUMIF('Raw - Sessions'!$R$5:$R$292,A59,'Raw - Sessions'!$E$5:$E$292)</f>
        <v>0</v>
      </c>
      <c r="E59" s="31" t="n">
        <f aca="false">'Raw - Daily Energy'!B54</f>
        <v>0</v>
      </c>
      <c r="F59" s="37" t="n">
        <f aca="false">SUMIF('Raw - Sessions'!$R$5:$R$292,A59,'Raw - Sessions'!$P$5:$P$292)</f>
        <v>0</v>
      </c>
    </row>
    <row r="60" customFormat="false" ht="15" hidden="false" customHeight="false" outlineLevel="0" collapsed="false">
      <c r="A60" s="46" t="n">
        <f aca="false">'Raw - Daily Energy'!A55</f>
        <v>45900</v>
      </c>
      <c r="B60" s="13" t="n">
        <f aca="false">COUNTIF('Raw - Sessions'!$R$5:$R$292,A60)</f>
        <v>0</v>
      </c>
      <c r="C60" s="30" t="n">
        <f aca="false">SUMIF('Raw - Sessions'!$R$5:$R$292,A60,'Raw - Sessions'!$D$5:$D$292)</f>
        <v>0</v>
      </c>
      <c r="D60" s="30" t="n">
        <f aca="false">SUMIF('Raw - Sessions'!$R$5:$R$292,A60,'Raw - Sessions'!$E$5:$E$292)</f>
        <v>0</v>
      </c>
      <c r="E60" s="30" t="n">
        <f aca="false">'Raw - Daily Energy'!B55</f>
        <v>0</v>
      </c>
      <c r="F60" s="35" t="n">
        <f aca="false">SUMIF('Raw - Sessions'!$R$5:$R$292,A60,'Raw - Sessions'!$P$5:$P$292)</f>
        <v>0</v>
      </c>
    </row>
    <row r="61" customFormat="false" ht="15" hidden="false" customHeight="false" outlineLevel="0" collapsed="false">
      <c r="A61" s="47" t="n">
        <f aca="false">'Raw - Daily Energy'!A56</f>
        <v>45901</v>
      </c>
      <c r="B61" s="15" t="n">
        <f aca="false">COUNTIF('Raw - Sessions'!$R$5:$R$292,A61)</f>
        <v>0</v>
      </c>
      <c r="C61" s="31" t="n">
        <f aca="false">SUMIF('Raw - Sessions'!$R$5:$R$292,A61,'Raw - Sessions'!$D$5:$D$292)</f>
        <v>0</v>
      </c>
      <c r="D61" s="31" t="n">
        <f aca="false">SUMIF('Raw - Sessions'!$R$5:$R$292,A61,'Raw - Sessions'!$E$5:$E$292)</f>
        <v>0</v>
      </c>
      <c r="E61" s="31" t="n">
        <f aca="false">'Raw - Daily Energy'!B56</f>
        <v>0</v>
      </c>
      <c r="F61" s="37" t="n">
        <f aca="false">SUMIF('Raw - Sessions'!$R$5:$R$292,A61,'Raw - Sessions'!$P$5:$P$292)</f>
        <v>0</v>
      </c>
    </row>
    <row r="62" customFormat="false" ht="15" hidden="false" customHeight="false" outlineLevel="0" collapsed="false">
      <c r="A62" s="46" t="n">
        <f aca="false">'Raw - Daily Energy'!A57</f>
        <v>45902</v>
      </c>
      <c r="B62" s="13" t="n">
        <f aca="false">COUNTIF('Raw - Sessions'!$R$5:$R$292,A62)</f>
        <v>0</v>
      </c>
      <c r="C62" s="30" t="n">
        <f aca="false">SUMIF('Raw - Sessions'!$R$5:$R$292,A62,'Raw - Sessions'!$D$5:$D$292)</f>
        <v>0</v>
      </c>
      <c r="D62" s="30" t="n">
        <f aca="false">SUMIF('Raw - Sessions'!$R$5:$R$292,A62,'Raw - Sessions'!$E$5:$E$292)</f>
        <v>0</v>
      </c>
      <c r="E62" s="30" t="n">
        <f aca="false">'Raw - Daily Energy'!B57</f>
        <v>0</v>
      </c>
      <c r="F62" s="35" t="n">
        <f aca="false">SUMIF('Raw - Sessions'!$R$5:$R$292,A62,'Raw - Sessions'!$P$5:$P$292)</f>
        <v>0</v>
      </c>
    </row>
    <row r="63" customFormat="false" ht="15" hidden="false" customHeight="false" outlineLevel="0" collapsed="false">
      <c r="A63" s="47" t="n">
        <f aca="false">'Raw - Daily Energy'!A58</f>
        <v>45903</v>
      </c>
      <c r="B63" s="15" t="n">
        <f aca="false">COUNTIF('Raw - Sessions'!$R$5:$R$292,A63)</f>
        <v>0</v>
      </c>
      <c r="C63" s="31" t="n">
        <f aca="false">SUMIF('Raw - Sessions'!$R$5:$R$292,A63,'Raw - Sessions'!$D$5:$D$292)</f>
        <v>0</v>
      </c>
      <c r="D63" s="31" t="n">
        <f aca="false">SUMIF('Raw - Sessions'!$R$5:$R$292,A63,'Raw - Sessions'!$E$5:$E$292)</f>
        <v>0</v>
      </c>
      <c r="E63" s="31" t="n">
        <f aca="false">'Raw - Daily Energy'!B58</f>
        <v>0</v>
      </c>
      <c r="F63" s="37" t="n">
        <f aca="false">SUMIF('Raw - Sessions'!$R$5:$R$292,A63,'Raw - Sessions'!$P$5:$P$292)</f>
        <v>0</v>
      </c>
    </row>
    <row r="64" customFormat="false" ht="15" hidden="false" customHeight="false" outlineLevel="0" collapsed="false">
      <c r="A64" s="46" t="n">
        <f aca="false">'Raw - Daily Energy'!A59</f>
        <v>45904</v>
      </c>
      <c r="B64" s="13" t="n">
        <f aca="false">COUNTIF('Raw - Sessions'!$R$5:$R$292,A64)</f>
        <v>0</v>
      </c>
      <c r="C64" s="30" t="n">
        <f aca="false">SUMIF('Raw - Sessions'!$R$5:$R$292,A64,'Raw - Sessions'!$D$5:$D$292)</f>
        <v>0</v>
      </c>
      <c r="D64" s="30" t="n">
        <f aca="false">SUMIF('Raw - Sessions'!$R$5:$R$292,A64,'Raw - Sessions'!$E$5:$E$292)</f>
        <v>0</v>
      </c>
      <c r="E64" s="30" t="n">
        <f aca="false">'Raw - Daily Energy'!B59</f>
        <v>0</v>
      </c>
      <c r="F64" s="35" t="n">
        <f aca="false">SUMIF('Raw - Sessions'!$R$5:$R$292,A64,'Raw - Sessions'!$P$5:$P$292)</f>
        <v>0</v>
      </c>
    </row>
    <row r="65" customFormat="false" ht="15" hidden="false" customHeight="false" outlineLevel="0" collapsed="false">
      <c r="A65" s="47" t="n">
        <f aca="false">'Raw - Daily Energy'!A60</f>
        <v>45905</v>
      </c>
      <c r="B65" s="15" t="n">
        <f aca="false">COUNTIF('Raw - Sessions'!$R$5:$R$292,A65)</f>
        <v>0</v>
      </c>
      <c r="C65" s="31" t="n">
        <f aca="false">SUMIF('Raw - Sessions'!$R$5:$R$292,A65,'Raw - Sessions'!$D$5:$D$292)</f>
        <v>0</v>
      </c>
      <c r="D65" s="31" t="n">
        <f aca="false">SUMIF('Raw - Sessions'!$R$5:$R$292,A65,'Raw - Sessions'!$E$5:$E$292)</f>
        <v>0</v>
      </c>
      <c r="E65" s="31" t="n">
        <f aca="false">'Raw - Daily Energy'!B60</f>
        <v>0</v>
      </c>
      <c r="F65" s="37" t="n">
        <f aca="false">SUMIF('Raw - Sessions'!$R$5:$R$292,A65,'Raw - Sessions'!$P$5:$P$292)</f>
        <v>0</v>
      </c>
    </row>
    <row r="66" customFormat="false" ht="15" hidden="false" customHeight="false" outlineLevel="0" collapsed="false">
      <c r="A66" s="46" t="n">
        <f aca="false">'Raw - Daily Energy'!A61</f>
        <v>45906</v>
      </c>
      <c r="B66" s="13" t="n">
        <f aca="false">COUNTIF('Raw - Sessions'!$R$5:$R$292,A66)</f>
        <v>0</v>
      </c>
      <c r="C66" s="30" t="n">
        <f aca="false">SUMIF('Raw - Sessions'!$R$5:$R$292,A66,'Raw - Sessions'!$D$5:$D$292)</f>
        <v>0</v>
      </c>
      <c r="D66" s="30" t="n">
        <f aca="false">SUMIF('Raw - Sessions'!$R$5:$R$292,A66,'Raw - Sessions'!$E$5:$E$292)</f>
        <v>0</v>
      </c>
      <c r="E66" s="30" t="n">
        <f aca="false">'Raw - Daily Energy'!B61</f>
        <v>0</v>
      </c>
      <c r="F66" s="35" t="n">
        <f aca="false">SUMIF('Raw - Sessions'!$R$5:$R$292,A66,'Raw - Sessions'!$P$5:$P$292)</f>
        <v>0</v>
      </c>
    </row>
    <row r="67" customFormat="false" ht="15" hidden="false" customHeight="false" outlineLevel="0" collapsed="false">
      <c r="A67" s="47" t="n">
        <f aca="false">'Raw - Daily Energy'!A62</f>
        <v>45907</v>
      </c>
      <c r="B67" s="15" t="n">
        <f aca="false">COUNTIF('Raw - Sessions'!$R$5:$R$292,A67)</f>
        <v>0</v>
      </c>
      <c r="C67" s="31" t="n">
        <f aca="false">SUMIF('Raw - Sessions'!$R$5:$R$292,A67,'Raw - Sessions'!$D$5:$D$292)</f>
        <v>0</v>
      </c>
      <c r="D67" s="31" t="n">
        <f aca="false">SUMIF('Raw - Sessions'!$R$5:$R$292,A67,'Raw - Sessions'!$E$5:$E$292)</f>
        <v>0</v>
      </c>
      <c r="E67" s="31" t="n">
        <f aca="false">'Raw - Daily Energy'!B62</f>
        <v>0</v>
      </c>
      <c r="F67" s="37" t="n">
        <f aca="false">SUMIF('Raw - Sessions'!$R$5:$R$292,A67,'Raw - Sessions'!$P$5:$P$292)</f>
        <v>0</v>
      </c>
    </row>
    <row r="68" customFormat="false" ht="15" hidden="false" customHeight="false" outlineLevel="0" collapsed="false">
      <c r="A68" s="46" t="n">
        <f aca="false">'Raw - Daily Energy'!A63</f>
        <v>45908</v>
      </c>
      <c r="B68" s="13" t="n">
        <f aca="false">COUNTIF('Raw - Sessions'!$R$5:$R$292,A68)</f>
        <v>0</v>
      </c>
      <c r="C68" s="30" t="n">
        <f aca="false">SUMIF('Raw - Sessions'!$R$5:$R$292,A68,'Raw - Sessions'!$D$5:$D$292)</f>
        <v>0</v>
      </c>
      <c r="D68" s="30" t="n">
        <f aca="false">SUMIF('Raw - Sessions'!$R$5:$R$292,A68,'Raw - Sessions'!$E$5:$E$292)</f>
        <v>0</v>
      </c>
      <c r="E68" s="30" t="n">
        <f aca="false">'Raw - Daily Energy'!B63</f>
        <v>0</v>
      </c>
      <c r="F68" s="35" t="n">
        <f aca="false">SUMIF('Raw - Sessions'!$R$5:$R$292,A68,'Raw - Sessions'!$P$5:$P$292)</f>
        <v>0</v>
      </c>
    </row>
    <row r="69" customFormat="false" ht="15" hidden="false" customHeight="false" outlineLevel="0" collapsed="false">
      <c r="A69" s="47" t="n">
        <f aca="false">'Raw - Daily Energy'!A64</f>
        <v>45909</v>
      </c>
      <c r="B69" s="15" t="n">
        <f aca="false">COUNTIF('Raw - Sessions'!$R$5:$R$292,A69)</f>
        <v>0</v>
      </c>
      <c r="C69" s="31" t="n">
        <f aca="false">SUMIF('Raw - Sessions'!$R$5:$R$292,A69,'Raw - Sessions'!$D$5:$D$292)</f>
        <v>0</v>
      </c>
      <c r="D69" s="31" t="n">
        <f aca="false">SUMIF('Raw - Sessions'!$R$5:$R$292,A69,'Raw - Sessions'!$E$5:$E$292)</f>
        <v>0</v>
      </c>
      <c r="E69" s="31" t="n">
        <f aca="false">'Raw - Daily Energy'!B64</f>
        <v>0</v>
      </c>
      <c r="F69" s="37" t="n">
        <f aca="false">SUMIF('Raw - Sessions'!$R$5:$R$292,A69,'Raw - Sessions'!$P$5:$P$292)</f>
        <v>0</v>
      </c>
    </row>
    <row r="70" customFormat="false" ht="15" hidden="false" customHeight="false" outlineLevel="0" collapsed="false">
      <c r="A70" s="46" t="n">
        <f aca="false">'Raw - Daily Energy'!A65</f>
        <v>45910</v>
      </c>
      <c r="B70" s="13" t="n">
        <f aca="false">COUNTIF('Raw - Sessions'!$R$5:$R$292,A70)</f>
        <v>0</v>
      </c>
      <c r="C70" s="30" t="n">
        <f aca="false">SUMIF('Raw - Sessions'!$R$5:$R$292,A70,'Raw - Sessions'!$D$5:$D$292)</f>
        <v>0</v>
      </c>
      <c r="D70" s="30" t="n">
        <f aca="false">SUMIF('Raw - Sessions'!$R$5:$R$292,A70,'Raw - Sessions'!$E$5:$E$292)</f>
        <v>0</v>
      </c>
      <c r="E70" s="30" t="n">
        <f aca="false">'Raw - Daily Energy'!B65</f>
        <v>0</v>
      </c>
      <c r="F70" s="35" t="n">
        <f aca="false">SUMIF('Raw - Sessions'!$R$5:$R$292,A70,'Raw - Sessions'!$P$5:$P$292)</f>
        <v>0</v>
      </c>
    </row>
    <row r="71" customFormat="false" ht="15" hidden="false" customHeight="false" outlineLevel="0" collapsed="false">
      <c r="A71" s="47" t="n">
        <f aca="false">'Raw - Daily Energy'!A66</f>
        <v>45911</v>
      </c>
      <c r="B71" s="15" t="n">
        <f aca="false">COUNTIF('Raw - Sessions'!$R$5:$R$292,A71)</f>
        <v>0</v>
      </c>
      <c r="C71" s="31" t="n">
        <f aca="false">SUMIF('Raw - Sessions'!$R$5:$R$292,A71,'Raw - Sessions'!$D$5:$D$292)</f>
        <v>0</v>
      </c>
      <c r="D71" s="31" t="n">
        <f aca="false">SUMIF('Raw - Sessions'!$R$5:$R$292,A71,'Raw - Sessions'!$E$5:$E$292)</f>
        <v>0</v>
      </c>
      <c r="E71" s="31" t="n">
        <f aca="false">'Raw - Daily Energy'!B66</f>
        <v>0</v>
      </c>
      <c r="F71" s="37" t="n">
        <f aca="false">SUMIF('Raw - Sessions'!$R$5:$R$292,A71,'Raw - Sessions'!$P$5:$P$292)</f>
        <v>0</v>
      </c>
    </row>
    <row r="72" customFormat="false" ht="15" hidden="false" customHeight="false" outlineLevel="0" collapsed="false">
      <c r="A72" s="46" t="n">
        <f aca="false">'Raw - Daily Energy'!A67</f>
        <v>45912</v>
      </c>
      <c r="B72" s="13" t="n">
        <f aca="false">COUNTIF('Raw - Sessions'!$R$5:$R$292,A72)</f>
        <v>0</v>
      </c>
      <c r="C72" s="30" t="n">
        <f aca="false">SUMIF('Raw - Sessions'!$R$5:$R$292,A72,'Raw - Sessions'!$D$5:$D$292)</f>
        <v>0</v>
      </c>
      <c r="D72" s="30" t="n">
        <f aca="false">SUMIF('Raw - Sessions'!$R$5:$R$292,A72,'Raw - Sessions'!$E$5:$E$292)</f>
        <v>0</v>
      </c>
      <c r="E72" s="30" t="n">
        <f aca="false">'Raw - Daily Energy'!B67</f>
        <v>0</v>
      </c>
      <c r="F72" s="35" t="n">
        <f aca="false">SUMIF('Raw - Sessions'!$R$5:$R$292,A72,'Raw - Sessions'!$P$5:$P$292)</f>
        <v>0</v>
      </c>
    </row>
    <row r="73" customFormat="false" ht="15" hidden="false" customHeight="false" outlineLevel="0" collapsed="false">
      <c r="A73" s="47" t="n">
        <f aca="false">'Raw - Daily Energy'!A68</f>
        <v>45913</v>
      </c>
      <c r="B73" s="15" t="n">
        <f aca="false">COUNTIF('Raw - Sessions'!$R$5:$R$292,A73)</f>
        <v>0</v>
      </c>
      <c r="C73" s="31" t="n">
        <f aca="false">SUMIF('Raw - Sessions'!$R$5:$R$292,A73,'Raw - Sessions'!$D$5:$D$292)</f>
        <v>0</v>
      </c>
      <c r="D73" s="31" t="n">
        <f aca="false">SUMIF('Raw - Sessions'!$R$5:$R$292,A73,'Raw - Sessions'!$E$5:$E$292)</f>
        <v>0</v>
      </c>
      <c r="E73" s="31" t="n">
        <f aca="false">'Raw - Daily Energy'!B68</f>
        <v>0</v>
      </c>
      <c r="F73" s="37" t="n">
        <f aca="false">SUMIF('Raw - Sessions'!$R$5:$R$292,A73,'Raw - Sessions'!$P$5:$P$292)</f>
        <v>0</v>
      </c>
    </row>
    <row r="74" customFormat="false" ht="15" hidden="false" customHeight="false" outlineLevel="0" collapsed="false">
      <c r="A74" s="46" t="n">
        <f aca="false">'Raw - Daily Energy'!A69</f>
        <v>45914</v>
      </c>
      <c r="B74" s="13" t="n">
        <f aca="false">COUNTIF('Raw - Sessions'!$R$5:$R$292,A74)</f>
        <v>0</v>
      </c>
      <c r="C74" s="30" t="n">
        <f aca="false">SUMIF('Raw - Sessions'!$R$5:$R$292,A74,'Raw - Sessions'!$D$5:$D$292)</f>
        <v>0</v>
      </c>
      <c r="D74" s="30" t="n">
        <f aca="false">SUMIF('Raw - Sessions'!$R$5:$R$292,A74,'Raw - Sessions'!$E$5:$E$292)</f>
        <v>0</v>
      </c>
      <c r="E74" s="30" t="n">
        <f aca="false">'Raw - Daily Energy'!B69</f>
        <v>0</v>
      </c>
      <c r="F74" s="35" t="n">
        <f aca="false">SUMIF('Raw - Sessions'!$R$5:$R$292,A74,'Raw - Sessions'!$P$5:$P$292)</f>
        <v>0</v>
      </c>
    </row>
    <row r="75" customFormat="false" ht="15" hidden="false" customHeight="false" outlineLevel="0" collapsed="false">
      <c r="A75" s="47" t="n">
        <f aca="false">'Raw - Daily Energy'!A70</f>
        <v>45915</v>
      </c>
      <c r="B75" s="15" t="n">
        <f aca="false">COUNTIF('Raw - Sessions'!$R$5:$R$292,A75)</f>
        <v>0</v>
      </c>
      <c r="C75" s="31" t="n">
        <f aca="false">SUMIF('Raw - Sessions'!$R$5:$R$292,A75,'Raw - Sessions'!$D$5:$D$292)</f>
        <v>0</v>
      </c>
      <c r="D75" s="31" t="n">
        <f aca="false">SUMIF('Raw - Sessions'!$R$5:$R$292,A75,'Raw - Sessions'!$E$5:$E$292)</f>
        <v>0</v>
      </c>
      <c r="E75" s="31" t="n">
        <f aca="false">'Raw - Daily Energy'!B70</f>
        <v>0</v>
      </c>
      <c r="F75" s="37" t="n">
        <f aca="false">SUMIF('Raw - Sessions'!$R$5:$R$292,A75,'Raw - Sessions'!$P$5:$P$292)</f>
        <v>0</v>
      </c>
    </row>
    <row r="76" customFormat="false" ht="15" hidden="false" customHeight="false" outlineLevel="0" collapsed="false">
      <c r="A76" s="46" t="n">
        <f aca="false">'Raw - Daily Energy'!A71</f>
        <v>45916</v>
      </c>
      <c r="B76" s="13" t="n">
        <f aca="false">COUNTIF('Raw - Sessions'!$R$5:$R$292,A76)</f>
        <v>0</v>
      </c>
      <c r="C76" s="30" t="n">
        <f aca="false">SUMIF('Raw - Sessions'!$R$5:$R$292,A76,'Raw - Sessions'!$D$5:$D$292)</f>
        <v>0</v>
      </c>
      <c r="D76" s="30" t="n">
        <f aca="false">SUMIF('Raw - Sessions'!$R$5:$R$292,A76,'Raw - Sessions'!$E$5:$E$292)</f>
        <v>0</v>
      </c>
      <c r="E76" s="30" t="n">
        <f aca="false">'Raw - Daily Energy'!B71</f>
        <v>0</v>
      </c>
      <c r="F76" s="35" t="n">
        <f aca="false">SUMIF('Raw - Sessions'!$R$5:$R$292,A76,'Raw - Sessions'!$P$5:$P$292)</f>
        <v>0</v>
      </c>
    </row>
    <row r="77" customFormat="false" ht="15" hidden="false" customHeight="false" outlineLevel="0" collapsed="false">
      <c r="A77" s="47" t="n">
        <f aca="false">'Raw - Daily Energy'!A72</f>
        <v>45917</v>
      </c>
      <c r="B77" s="15" t="n">
        <f aca="false">COUNTIF('Raw - Sessions'!$R$5:$R$292,A77)</f>
        <v>0</v>
      </c>
      <c r="C77" s="31" t="n">
        <f aca="false">SUMIF('Raw - Sessions'!$R$5:$R$292,A77,'Raw - Sessions'!$D$5:$D$292)</f>
        <v>0</v>
      </c>
      <c r="D77" s="31" t="n">
        <f aca="false">SUMIF('Raw - Sessions'!$R$5:$R$292,A77,'Raw - Sessions'!$E$5:$E$292)</f>
        <v>0</v>
      </c>
      <c r="E77" s="31" t="n">
        <f aca="false">'Raw - Daily Energy'!B72</f>
        <v>0</v>
      </c>
      <c r="F77" s="37" t="n">
        <f aca="false">SUMIF('Raw - Sessions'!$R$5:$R$292,A77,'Raw - Sessions'!$P$5:$P$292)</f>
        <v>0</v>
      </c>
    </row>
    <row r="78" customFormat="false" ht="15" hidden="false" customHeight="false" outlineLevel="0" collapsed="false">
      <c r="A78" s="46" t="n">
        <f aca="false">'Raw - Daily Energy'!A73</f>
        <v>45918</v>
      </c>
      <c r="B78" s="13" t="n">
        <f aca="false">COUNTIF('Raw - Sessions'!$R$5:$R$292,A78)</f>
        <v>0</v>
      </c>
      <c r="C78" s="30" t="n">
        <f aca="false">SUMIF('Raw - Sessions'!$R$5:$R$292,A78,'Raw - Sessions'!$D$5:$D$292)</f>
        <v>0</v>
      </c>
      <c r="D78" s="30" t="n">
        <f aca="false">SUMIF('Raw - Sessions'!$R$5:$R$292,A78,'Raw - Sessions'!$E$5:$E$292)</f>
        <v>0</v>
      </c>
      <c r="E78" s="30" t="n">
        <f aca="false">'Raw - Daily Energy'!B73</f>
        <v>0</v>
      </c>
      <c r="F78" s="35" t="n">
        <f aca="false">SUMIF('Raw - Sessions'!$R$5:$R$292,A78,'Raw - Sessions'!$P$5:$P$292)</f>
        <v>0</v>
      </c>
    </row>
    <row r="79" customFormat="false" ht="15" hidden="false" customHeight="false" outlineLevel="0" collapsed="false">
      <c r="A79" s="47" t="n">
        <f aca="false">'Raw - Daily Energy'!A74</f>
        <v>45919</v>
      </c>
      <c r="B79" s="15" t="n">
        <f aca="false">COUNTIF('Raw - Sessions'!$R$5:$R$292,A79)</f>
        <v>0</v>
      </c>
      <c r="C79" s="31" t="n">
        <f aca="false">SUMIF('Raw - Sessions'!$R$5:$R$292,A79,'Raw - Sessions'!$D$5:$D$292)</f>
        <v>0</v>
      </c>
      <c r="D79" s="31" t="n">
        <f aca="false">SUMIF('Raw - Sessions'!$R$5:$R$292,A79,'Raw - Sessions'!$E$5:$E$292)</f>
        <v>0</v>
      </c>
      <c r="E79" s="31" t="n">
        <f aca="false">'Raw - Daily Energy'!B74</f>
        <v>0</v>
      </c>
      <c r="F79" s="37" t="n">
        <f aca="false">SUMIF('Raw - Sessions'!$R$5:$R$292,A79,'Raw - Sessions'!$P$5:$P$292)</f>
        <v>0</v>
      </c>
    </row>
    <row r="80" customFormat="false" ht="15" hidden="false" customHeight="false" outlineLevel="0" collapsed="false">
      <c r="A80" s="46" t="n">
        <f aca="false">'Raw - Daily Energy'!A75</f>
        <v>45920</v>
      </c>
      <c r="B80" s="13" t="n">
        <f aca="false">COUNTIF('Raw - Sessions'!$R$5:$R$292,A80)</f>
        <v>0</v>
      </c>
      <c r="C80" s="30" t="n">
        <f aca="false">SUMIF('Raw - Sessions'!$R$5:$R$292,A80,'Raw - Sessions'!$D$5:$D$292)</f>
        <v>0</v>
      </c>
      <c r="D80" s="30" t="n">
        <f aca="false">SUMIF('Raw - Sessions'!$R$5:$R$292,A80,'Raw - Sessions'!$E$5:$E$292)</f>
        <v>0</v>
      </c>
      <c r="E80" s="30" t="n">
        <f aca="false">'Raw - Daily Energy'!B75</f>
        <v>0</v>
      </c>
      <c r="F80" s="35" t="n">
        <f aca="false">SUMIF('Raw - Sessions'!$R$5:$R$292,A80,'Raw - Sessions'!$P$5:$P$292)</f>
        <v>0</v>
      </c>
    </row>
    <row r="81" customFormat="false" ht="15" hidden="false" customHeight="false" outlineLevel="0" collapsed="false">
      <c r="A81" s="47" t="n">
        <f aca="false">'Raw - Daily Energy'!A76</f>
        <v>45921</v>
      </c>
      <c r="B81" s="15" t="n">
        <f aca="false">COUNTIF('Raw - Sessions'!$R$5:$R$292,A81)</f>
        <v>0</v>
      </c>
      <c r="C81" s="31" t="n">
        <f aca="false">SUMIF('Raw - Sessions'!$R$5:$R$292,A81,'Raw - Sessions'!$D$5:$D$292)</f>
        <v>0</v>
      </c>
      <c r="D81" s="31" t="n">
        <f aca="false">SUMIF('Raw - Sessions'!$R$5:$R$292,A81,'Raw - Sessions'!$E$5:$E$292)</f>
        <v>0</v>
      </c>
      <c r="E81" s="31" t="n">
        <f aca="false">'Raw - Daily Energy'!B76</f>
        <v>0</v>
      </c>
      <c r="F81" s="37" t="n">
        <f aca="false">SUMIF('Raw - Sessions'!$R$5:$R$292,A81,'Raw - Sessions'!$P$5:$P$292)</f>
        <v>0</v>
      </c>
    </row>
    <row r="82" customFormat="false" ht="15" hidden="false" customHeight="false" outlineLevel="0" collapsed="false">
      <c r="A82" s="46" t="n">
        <f aca="false">'Raw - Daily Energy'!A77</f>
        <v>45922</v>
      </c>
      <c r="B82" s="13" t="n">
        <f aca="false">COUNTIF('Raw - Sessions'!$R$5:$R$292,A82)</f>
        <v>0</v>
      </c>
      <c r="C82" s="30" t="n">
        <f aca="false">SUMIF('Raw - Sessions'!$R$5:$R$292,A82,'Raw - Sessions'!$D$5:$D$292)</f>
        <v>0</v>
      </c>
      <c r="D82" s="30" t="n">
        <f aca="false">SUMIF('Raw - Sessions'!$R$5:$R$292,A82,'Raw - Sessions'!$E$5:$E$292)</f>
        <v>0</v>
      </c>
      <c r="E82" s="30" t="n">
        <f aca="false">'Raw - Daily Energy'!B77</f>
        <v>0</v>
      </c>
      <c r="F82" s="35" t="n">
        <f aca="false">SUMIF('Raw - Sessions'!$R$5:$R$292,A82,'Raw - Sessions'!$P$5:$P$292)</f>
        <v>0</v>
      </c>
    </row>
    <row r="83" customFormat="false" ht="15" hidden="false" customHeight="false" outlineLevel="0" collapsed="false">
      <c r="A83" s="47" t="n">
        <f aca="false">'Raw - Daily Energy'!A78</f>
        <v>45923</v>
      </c>
      <c r="B83" s="15" t="n">
        <f aca="false">COUNTIF('Raw - Sessions'!$R$5:$R$292,A83)</f>
        <v>0</v>
      </c>
      <c r="C83" s="31" t="n">
        <f aca="false">SUMIF('Raw - Sessions'!$R$5:$R$292,A83,'Raw - Sessions'!$D$5:$D$292)</f>
        <v>0</v>
      </c>
      <c r="D83" s="31" t="n">
        <f aca="false">SUMIF('Raw - Sessions'!$R$5:$R$292,A83,'Raw - Sessions'!$E$5:$E$292)</f>
        <v>0</v>
      </c>
      <c r="E83" s="31" t="n">
        <f aca="false">'Raw - Daily Energy'!B78</f>
        <v>0</v>
      </c>
      <c r="F83" s="37" t="n">
        <f aca="false">SUMIF('Raw - Sessions'!$R$5:$R$292,A83,'Raw - Sessions'!$P$5:$P$292)</f>
        <v>0</v>
      </c>
    </row>
    <row r="84" customFormat="false" ht="15" hidden="false" customHeight="false" outlineLevel="0" collapsed="false">
      <c r="A84" s="46" t="n">
        <f aca="false">'Raw - Daily Energy'!A79</f>
        <v>45924</v>
      </c>
      <c r="B84" s="13" t="n">
        <f aca="false">COUNTIF('Raw - Sessions'!$R$5:$R$292,A84)</f>
        <v>0</v>
      </c>
      <c r="C84" s="30" t="n">
        <f aca="false">SUMIF('Raw - Sessions'!$R$5:$R$292,A84,'Raw - Sessions'!$D$5:$D$292)</f>
        <v>0</v>
      </c>
      <c r="D84" s="30" t="n">
        <f aca="false">SUMIF('Raw - Sessions'!$R$5:$R$292,A84,'Raw - Sessions'!$E$5:$E$292)</f>
        <v>0</v>
      </c>
      <c r="E84" s="30" t="n">
        <f aca="false">'Raw - Daily Energy'!B79</f>
        <v>0</v>
      </c>
      <c r="F84" s="35" t="n">
        <f aca="false">SUMIF('Raw - Sessions'!$R$5:$R$292,A84,'Raw - Sessions'!$P$5:$P$292)</f>
        <v>0</v>
      </c>
    </row>
    <row r="85" customFormat="false" ht="15" hidden="false" customHeight="false" outlineLevel="0" collapsed="false">
      <c r="A85" s="47" t="n">
        <f aca="false">'Raw - Daily Energy'!A80</f>
        <v>45925</v>
      </c>
      <c r="B85" s="15" t="n">
        <f aca="false">COUNTIF('Raw - Sessions'!$R$5:$R$292,A85)</f>
        <v>0</v>
      </c>
      <c r="C85" s="31" t="n">
        <f aca="false">SUMIF('Raw - Sessions'!$R$5:$R$292,A85,'Raw - Sessions'!$D$5:$D$292)</f>
        <v>0</v>
      </c>
      <c r="D85" s="31" t="n">
        <f aca="false">SUMIF('Raw - Sessions'!$R$5:$R$292,A85,'Raw - Sessions'!$E$5:$E$292)</f>
        <v>0</v>
      </c>
      <c r="E85" s="31" t="n">
        <f aca="false">'Raw - Daily Energy'!B80</f>
        <v>0</v>
      </c>
      <c r="F85" s="37" t="n">
        <f aca="false">SUMIF('Raw - Sessions'!$R$5:$R$292,A85,'Raw - Sessions'!$P$5:$P$292)</f>
        <v>0</v>
      </c>
    </row>
    <row r="86" customFormat="false" ht="15" hidden="false" customHeight="false" outlineLevel="0" collapsed="false">
      <c r="A86" s="46" t="n">
        <f aca="false">'Raw - Daily Energy'!A81</f>
        <v>45926</v>
      </c>
      <c r="B86" s="13" t="n">
        <f aca="false">COUNTIF('Raw - Sessions'!$R$5:$R$292,A86)</f>
        <v>0</v>
      </c>
      <c r="C86" s="30" t="n">
        <f aca="false">SUMIF('Raw - Sessions'!$R$5:$R$292,A86,'Raw - Sessions'!$D$5:$D$292)</f>
        <v>0</v>
      </c>
      <c r="D86" s="30" t="n">
        <f aca="false">SUMIF('Raw - Sessions'!$R$5:$R$292,A86,'Raw - Sessions'!$E$5:$E$292)</f>
        <v>0</v>
      </c>
      <c r="E86" s="30" t="n">
        <f aca="false">'Raw - Daily Energy'!B81</f>
        <v>0</v>
      </c>
      <c r="F86" s="35" t="n">
        <f aca="false">SUMIF('Raw - Sessions'!$R$5:$R$292,A86,'Raw - Sessions'!$P$5:$P$292)</f>
        <v>0</v>
      </c>
    </row>
    <row r="87" customFormat="false" ht="15" hidden="false" customHeight="false" outlineLevel="0" collapsed="false">
      <c r="A87" s="47" t="n">
        <f aca="false">'Raw - Daily Energy'!A82</f>
        <v>45927</v>
      </c>
      <c r="B87" s="15" t="n">
        <f aca="false">COUNTIF('Raw - Sessions'!$R$5:$R$292,A87)</f>
        <v>0</v>
      </c>
      <c r="C87" s="31" t="n">
        <f aca="false">SUMIF('Raw - Sessions'!$R$5:$R$292,A87,'Raw - Sessions'!$D$5:$D$292)</f>
        <v>0</v>
      </c>
      <c r="D87" s="31" t="n">
        <f aca="false">SUMIF('Raw - Sessions'!$R$5:$R$292,A87,'Raw - Sessions'!$E$5:$E$292)</f>
        <v>0</v>
      </c>
      <c r="E87" s="31" t="n">
        <f aca="false">'Raw - Daily Energy'!B82</f>
        <v>0</v>
      </c>
      <c r="F87" s="37" t="n">
        <f aca="false">SUMIF('Raw - Sessions'!$R$5:$R$292,A87,'Raw - Sessions'!$P$5:$P$292)</f>
        <v>0</v>
      </c>
    </row>
    <row r="88" customFormat="false" ht="15" hidden="false" customHeight="false" outlineLevel="0" collapsed="false">
      <c r="A88" s="46" t="n">
        <f aca="false">'Raw - Daily Energy'!A83</f>
        <v>45928</v>
      </c>
      <c r="B88" s="13" t="n">
        <f aca="false">COUNTIF('Raw - Sessions'!$R$5:$R$292,A88)</f>
        <v>0</v>
      </c>
      <c r="C88" s="30" t="n">
        <f aca="false">SUMIF('Raw - Sessions'!$R$5:$R$292,A88,'Raw - Sessions'!$D$5:$D$292)</f>
        <v>0</v>
      </c>
      <c r="D88" s="30" t="n">
        <f aca="false">SUMIF('Raw - Sessions'!$R$5:$R$292,A88,'Raw - Sessions'!$E$5:$E$292)</f>
        <v>0</v>
      </c>
      <c r="E88" s="30" t="n">
        <f aca="false">'Raw - Daily Energy'!B83</f>
        <v>0</v>
      </c>
      <c r="F88" s="35" t="n">
        <f aca="false">SUMIF('Raw - Sessions'!$R$5:$R$292,A88,'Raw - Sessions'!$P$5:$P$292)</f>
        <v>0</v>
      </c>
    </row>
    <row r="89" customFormat="false" ht="15" hidden="false" customHeight="false" outlineLevel="0" collapsed="false">
      <c r="A89" s="47" t="n">
        <f aca="false">'Raw - Daily Energy'!A84</f>
        <v>45929</v>
      </c>
      <c r="B89" s="15" t="n">
        <f aca="false">COUNTIF('Raw - Sessions'!$R$5:$R$292,A89)</f>
        <v>0</v>
      </c>
      <c r="C89" s="31" t="n">
        <f aca="false">SUMIF('Raw - Sessions'!$R$5:$R$292,A89,'Raw - Sessions'!$D$5:$D$292)</f>
        <v>0</v>
      </c>
      <c r="D89" s="31" t="n">
        <f aca="false">SUMIF('Raw - Sessions'!$R$5:$R$292,A89,'Raw - Sessions'!$E$5:$E$292)</f>
        <v>0</v>
      </c>
      <c r="E89" s="31" t="n">
        <f aca="false">'Raw - Daily Energy'!B84</f>
        <v>0</v>
      </c>
      <c r="F89" s="37" t="n">
        <f aca="false">SUMIF('Raw - Sessions'!$R$5:$R$292,A89,'Raw - Sessions'!$P$5:$P$292)</f>
        <v>0</v>
      </c>
    </row>
    <row r="90" customFormat="false" ht="15" hidden="false" customHeight="false" outlineLevel="0" collapsed="false">
      <c r="A90" s="46" t="n">
        <f aca="false">'Raw - Daily Energy'!A85</f>
        <v>45930</v>
      </c>
      <c r="B90" s="13" t="n">
        <f aca="false">COUNTIF('Raw - Sessions'!$R$5:$R$292,A90)</f>
        <v>0</v>
      </c>
      <c r="C90" s="30" t="n">
        <f aca="false">SUMIF('Raw - Sessions'!$R$5:$R$292,A90,'Raw - Sessions'!$D$5:$D$292)</f>
        <v>0</v>
      </c>
      <c r="D90" s="30" t="n">
        <f aca="false">SUMIF('Raw - Sessions'!$R$5:$R$292,A90,'Raw - Sessions'!$E$5:$E$292)</f>
        <v>0</v>
      </c>
      <c r="E90" s="30" t="n">
        <f aca="false">'Raw - Daily Energy'!B85</f>
        <v>0</v>
      </c>
      <c r="F90" s="35" t="n">
        <f aca="false">SUMIF('Raw - Sessions'!$R$5:$R$292,A90,'Raw - Sessions'!$P$5:$P$292)</f>
        <v>0</v>
      </c>
    </row>
    <row r="91" customFormat="false" ht="15" hidden="false" customHeight="false" outlineLevel="0" collapsed="false">
      <c r="A91" s="47" t="n">
        <f aca="false">'Raw - Daily Energy'!A86</f>
        <v>45931</v>
      </c>
      <c r="B91" s="15" t="n">
        <f aca="false">COUNTIF('Raw - Sessions'!$R$5:$R$292,A91)</f>
        <v>0</v>
      </c>
      <c r="C91" s="31" t="n">
        <f aca="false">SUMIF('Raw - Sessions'!$R$5:$R$292,A91,'Raw - Sessions'!$D$5:$D$292)</f>
        <v>0</v>
      </c>
      <c r="D91" s="31" t="n">
        <f aca="false">SUMIF('Raw - Sessions'!$R$5:$R$292,A91,'Raw - Sessions'!$E$5:$E$292)</f>
        <v>0</v>
      </c>
      <c r="E91" s="31" t="n">
        <f aca="false">'Raw - Daily Energy'!B86</f>
        <v>0</v>
      </c>
      <c r="F91" s="37" t="n">
        <f aca="false">SUMIF('Raw - Sessions'!$R$5:$R$292,A91,'Raw - Sessions'!$P$5:$P$292)</f>
        <v>0</v>
      </c>
    </row>
    <row r="92" customFormat="false" ht="15" hidden="false" customHeight="false" outlineLevel="0" collapsed="false">
      <c r="A92" s="46" t="n">
        <f aca="false">'Raw - Daily Energy'!A87</f>
        <v>45932</v>
      </c>
      <c r="B92" s="13" t="n">
        <f aca="false">COUNTIF('Raw - Sessions'!$R$5:$R$292,A92)</f>
        <v>0</v>
      </c>
      <c r="C92" s="30" t="n">
        <f aca="false">SUMIF('Raw - Sessions'!$R$5:$R$292,A92,'Raw - Sessions'!$D$5:$D$292)</f>
        <v>0</v>
      </c>
      <c r="D92" s="30" t="n">
        <f aca="false">SUMIF('Raw - Sessions'!$R$5:$R$292,A92,'Raw - Sessions'!$E$5:$E$292)</f>
        <v>0</v>
      </c>
      <c r="E92" s="30" t="n">
        <f aca="false">'Raw - Daily Energy'!B87</f>
        <v>0</v>
      </c>
      <c r="F92" s="35" t="n">
        <f aca="false">SUMIF('Raw - Sessions'!$R$5:$R$292,A92,'Raw - Sessions'!$P$5:$P$292)</f>
        <v>0</v>
      </c>
    </row>
    <row r="93" customFormat="false" ht="15" hidden="false" customHeight="false" outlineLevel="0" collapsed="false">
      <c r="A93" s="47" t="n">
        <f aca="false">'Raw - Daily Energy'!A88</f>
        <v>45933</v>
      </c>
      <c r="B93" s="15" t="n">
        <f aca="false">COUNTIF('Raw - Sessions'!$R$5:$R$292,A93)</f>
        <v>0</v>
      </c>
      <c r="C93" s="31" t="n">
        <f aca="false">SUMIF('Raw - Sessions'!$R$5:$R$292,A93,'Raw - Sessions'!$D$5:$D$292)</f>
        <v>0</v>
      </c>
      <c r="D93" s="31" t="n">
        <f aca="false">SUMIF('Raw - Sessions'!$R$5:$R$292,A93,'Raw - Sessions'!$E$5:$E$292)</f>
        <v>0</v>
      </c>
      <c r="E93" s="31" t="n">
        <f aca="false">'Raw - Daily Energy'!B88</f>
        <v>0</v>
      </c>
      <c r="F93" s="37" t="n">
        <f aca="false">SUMIF('Raw - Sessions'!$R$5:$R$292,A93,'Raw - Sessions'!$P$5:$P$292)</f>
        <v>0</v>
      </c>
    </row>
    <row r="94" customFormat="false" ht="15" hidden="false" customHeight="false" outlineLevel="0" collapsed="false">
      <c r="A94" s="46" t="n">
        <f aca="false">'Raw - Daily Energy'!A89</f>
        <v>45934</v>
      </c>
      <c r="B94" s="13" t="n">
        <f aca="false">COUNTIF('Raw - Sessions'!$R$5:$R$292,A94)</f>
        <v>0</v>
      </c>
      <c r="C94" s="30" t="n">
        <f aca="false">SUMIF('Raw - Sessions'!$R$5:$R$292,A94,'Raw - Sessions'!$D$5:$D$292)</f>
        <v>0</v>
      </c>
      <c r="D94" s="30" t="n">
        <f aca="false">SUMIF('Raw - Sessions'!$R$5:$R$292,A94,'Raw - Sessions'!$E$5:$E$292)</f>
        <v>0</v>
      </c>
      <c r="E94" s="30" t="n">
        <f aca="false">'Raw - Daily Energy'!B89</f>
        <v>0</v>
      </c>
      <c r="F94" s="35" t="n">
        <f aca="false">SUMIF('Raw - Sessions'!$R$5:$R$292,A94,'Raw - Sessions'!$P$5:$P$292)</f>
        <v>0</v>
      </c>
    </row>
    <row r="95" customFormat="false" ht="15" hidden="false" customHeight="false" outlineLevel="0" collapsed="false">
      <c r="A95" s="47" t="n">
        <f aca="false">'Raw - Daily Energy'!A90</f>
        <v>45935</v>
      </c>
      <c r="B95" s="15" t="n">
        <f aca="false">COUNTIF('Raw - Sessions'!$R$5:$R$292,A95)</f>
        <v>0</v>
      </c>
      <c r="C95" s="31" t="n">
        <f aca="false">SUMIF('Raw - Sessions'!$R$5:$R$292,A95,'Raw - Sessions'!$D$5:$D$292)</f>
        <v>0</v>
      </c>
      <c r="D95" s="31" t="n">
        <f aca="false">SUMIF('Raw - Sessions'!$R$5:$R$292,A95,'Raw - Sessions'!$E$5:$E$292)</f>
        <v>0</v>
      </c>
      <c r="E95" s="31" t="n">
        <f aca="false">'Raw - Daily Energy'!B90</f>
        <v>0</v>
      </c>
      <c r="F95" s="37" t="n">
        <f aca="false">SUMIF('Raw - Sessions'!$R$5:$R$292,A95,'Raw - Sessions'!$P$5:$P$292)</f>
        <v>0</v>
      </c>
    </row>
    <row r="96" customFormat="false" ht="15" hidden="false" customHeight="false" outlineLevel="0" collapsed="false">
      <c r="A96" s="46" t="n">
        <f aca="false">'Raw - Daily Energy'!A91</f>
        <v>45936</v>
      </c>
      <c r="B96" s="13" t="n">
        <f aca="false">COUNTIF('Raw - Sessions'!$R$5:$R$292,A96)</f>
        <v>0</v>
      </c>
      <c r="C96" s="30" t="n">
        <f aca="false">SUMIF('Raw - Sessions'!$R$5:$R$292,A96,'Raw - Sessions'!$D$5:$D$292)</f>
        <v>0</v>
      </c>
      <c r="D96" s="30" t="n">
        <f aca="false">SUMIF('Raw - Sessions'!$R$5:$R$292,A96,'Raw - Sessions'!$E$5:$E$292)</f>
        <v>0</v>
      </c>
      <c r="E96" s="30" t="n">
        <f aca="false">'Raw - Daily Energy'!B91</f>
        <v>0</v>
      </c>
      <c r="F96" s="35" t="n">
        <f aca="false">SUMIF('Raw - Sessions'!$R$5:$R$292,A96,'Raw - Sessions'!$P$5:$P$292)</f>
        <v>0</v>
      </c>
    </row>
    <row r="97" customFormat="false" ht="15" hidden="false" customHeight="false" outlineLevel="0" collapsed="false">
      <c r="A97" s="47" t="n">
        <f aca="false">'Raw - Daily Energy'!A92</f>
        <v>45937</v>
      </c>
      <c r="B97" s="15" t="n">
        <f aca="false">COUNTIF('Raw - Sessions'!$R$5:$R$292,A97)</f>
        <v>0</v>
      </c>
      <c r="C97" s="31" t="n">
        <f aca="false">SUMIF('Raw - Sessions'!$R$5:$R$292,A97,'Raw - Sessions'!$D$5:$D$292)</f>
        <v>0</v>
      </c>
      <c r="D97" s="31" t="n">
        <f aca="false">SUMIF('Raw - Sessions'!$R$5:$R$292,A97,'Raw - Sessions'!$E$5:$E$292)</f>
        <v>0</v>
      </c>
      <c r="E97" s="31" t="n">
        <f aca="false">'Raw - Daily Energy'!B92</f>
        <v>0</v>
      </c>
      <c r="F97" s="37" t="n">
        <f aca="false">SUMIF('Raw - Sessions'!$R$5:$R$292,A97,'Raw - Sessions'!$P$5:$P$292)</f>
        <v>0</v>
      </c>
    </row>
    <row r="98" customFormat="false" ht="15" hidden="false" customHeight="false" outlineLevel="0" collapsed="false">
      <c r="A98" s="46" t="n">
        <f aca="false">'Raw - Daily Energy'!A93</f>
        <v>45938</v>
      </c>
      <c r="B98" s="13" t="n">
        <f aca="false">COUNTIF('Raw - Sessions'!$R$5:$R$292,A98)</f>
        <v>0</v>
      </c>
      <c r="C98" s="30" t="n">
        <f aca="false">SUMIF('Raw - Sessions'!$R$5:$R$292,A98,'Raw - Sessions'!$D$5:$D$292)</f>
        <v>0</v>
      </c>
      <c r="D98" s="30" t="n">
        <f aca="false">SUMIF('Raw - Sessions'!$R$5:$R$292,A98,'Raw - Sessions'!$E$5:$E$292)</f>
        <v>0</v>
      </c>
      <c r="E98" s="30" t="n">
        <f aca="false">'Raw - Daily Energy'!B93</f>
        <v>0</v>
      </c>
      <c r="F98" s="35" t="n">
        <f aca="false">SUMIF('Raw - Sessions'!$R$5:$R$292,A98,'Raw - Sessions'!$P$5:$P$292)</f>
        <v>0</v>
      </c>
    </row>
    <row r="99" customFormat="false" ht="15" hidden="false" customHeight="false" outlineLevel="0" collapsed="false">
      <c r="A99" s="47" t="n">
        <f aca="false">'Raw - Daily Energy'!A94</f>
        <v>45939</v>
      </c>
      <c r="B99" s="15" t="n">
        <f aca="false">COUNTIF('Raw - Sessions'!$R$5:$R$292,A99)</f>
        <v>0</v>
      </c>
      <c r="C99" s="31" t="n">
        <f aca="false">SUMIF('Raw - Sessions'!$R$5:$R$292,A99,'Raw - Sessions'!$D$5:$D$292)</f>
        <v>0</v>
      </c>
      <c r="D99" s="31" t="n">
        <f aca="false">SUMIF('Raw - Sessions'!$R$5:$R$292,A99,'Raw - Sessions'!$E$5:$E$292)</f>
        <v>0</v>
      </c>
      <c r="E99" s="31" t="n">
        <f aca="false">'Raw - Daily Energy'!B94</f>
        <v>0</v>
      </c>
      <c r="F99" s="37" t="n">
        <f aca="false">SUMIF('Raw - Sessions'!$R$5:$R$292,A99,'Raw - Sessions'!$P$5:$P$292)</f>
        <v>0</v>
      </c>
    </row>
    <row r="100" customFormat="false" ht="15" hidden="false" customHeight="false" outlineLevel="0" collapsed="false">
      <c r="A100" s="46" t="n">
        <f aca="false">'Raw - Daily Energy'!A95</f>
        <v>45940</v>
      </c>
      <c r="B100" s="13" t="n">
        <f aca="false">COUNTIF('Raw - Sessions'!$R$5:$R$292,A100)</f>
        <v>0</v>
      </c>
      <c r="C100" s="30" t="n">
        <f aca="false">SUMIF('Raw - Sessions'!$R$5:$R$292,A100,'Raw - Sessions'!$D$5:$D$292)</f>
        <v>0</v>
      </c>
      <c r="D100" s="30" t="n">
        <f aca="false">SUMIF('Raw - Sessions'!$R$5:$R$292,A100,'Raw - Sessions'!$E$5:$E$292)</f>
        <v>0</v>
      </c>
      <c r="E100" s="30" t="n">
        <f aca="false">'Raw - Daily Energy'!B95</f>
        <v>0</v>
      </c>
      <c r="F100" s="35" t="n">
        <f aca="false">SUMIF('Raw - Sessions'!$R$5:$R$292,A100,'Raw - Sessions'!$P$5:$P$292)</f>
        <v>0</v>
      </c>
    </row>
    <row r="101" customFormat="false" ht="15" hidden="false" customHeight="false" outlineLevel="0" collapsed="false">
      <c r="A101" s="47" t="n">
        <f aca="false">'Raw - Daily Energy'!A96</f>
        <v>45941</v>
      </c>
      <c r="B101" s="15" t="n">
        <f aca="false">COUNTIF('Raw - Sessions'!$R$5:$R$292,A101)</f>
        <v>0</v>
      </c>
      <c r="C101" s="31" t="n">
        <f aca="false">SUMIF('Raw - Sessions'!$R$5:$R$292,A101,'Raw - Sessions'!$D$5:$D$292)</f>
        <v>0</v>
      </c>
      <c r="D101" s="31" t="n">
        <f aca="false">SUMIF('Raw - Sessions'!$R$5:$R$292,A101,'Raw - Sessions'!$E$5:$E$292)</f>
        <v>0</v>
      </c>
      <c r="E101" s="31" t="n">
        <f aca="false">'Raw - Daily Energy'!B96</f>
        <v>0</v>
      </c>
      <c r="F101" s="37" t="n">
        <f aca="false">SUMIF('Raw - Sessions'!$R$5:$R$292,A101,'Raw - Sessions'!$P$5:$P$292)</f>
        <v>0</v>
      </c>
    </row>
    <row r="102" customFormat="false" ht="15" hidden="false" customHeight="false" outlineLevel="0" collapsed="false">
      <c r="A102" s="46" t="n">
        <f aca="false">'Raw - Daily Energy'!A97</f>
        <v>45942</v>
      </c>
      <c r="B102" s="13" t="n">
        <f aca="false">COUNTIF('Raw - Sessions'!$R$5:$R$292,A102)</f>
        <v>0</v>
      </c>
      <c r="C102" s="30" t="n">
        <f aca="false">SUMIF('Raw - Sessions'!$R$5:$R$292,A102,'Raw - Sessions'!$D$5:$D$292)</f>
        <v>0</v>
      </c>
      <c r="D102" s="30" t="n">
        <f aca="false">SUMIF('Raw - Sessions'!$R$5:$R$292,A102,'Raw - Sessions'!$E$5:$E$292)</f>
        <v>0</v>
      </c>
      <c r="E102" s="30" t="n">
        <f aca="false">'Raw - Daily Energy'!B97</f>
        <v>0</v>
      </c>
      <c r="F102" s="35" t="n">
        <f aca="false">SUMIF('Raw - Sessions'!$R$5:$R$292,A102,'Raw - Sessions'!$P$5:$P$292)</f>
        <v>0</v>
      </c>
    </row>
    <row r="103" customFormat="false" ht="15" hidden="false" customHeight="false" outlineLevel="0" collapsed="false">
      <c r="A103" s="47" t="n">
        <f aca="false">'Raw - Daily Energy'!A98</f>
        <v>45943</v>
      </c>
      <c r="B103" s="15" t="n">
        <f aca="false">COUNTIF('Raw - Sessions'!$R$5:$R$292,A103)</f>
        <v>0</v>
      </c>
      <c r="C103" s="31" t="n">
        <f aca="false">SUMIF('Raw - Sessions'!$R$5:$R$292,A103,'Raw - Sessions'!$D$5:$D$292)</f>
        <v>0</v>
      </c>
      <c r="D103" s="31" t="n">
        <f aca="false">SUMIF('Raw - Sessions'!$R$5:$R$292,A103,'Raw - Sessions'!$E$5:$E$292)</f>
        <v>0</v>
      </c>
      <c r="E103" s="31" t="n">
        <f aca="false">'Raw - Daily Energy'!B98</f>
        <v>0</v>
      </c>
      <c r="F103" s="37" t="n">
        <f aca="false">SUMIF('Raw - Sessions'!$R$5:$R$292,A103,'Raw - Sessions'!$P$5:$P$292)</f>
        <v>0</v>
      </c>
    </row>
    <row r="104" customFormat="false" ht="15" hidden="false" customHeight="false" outlineLevel="0" collapsed="false">
      <c r="A104" s="46" t="n">
        <f aca="false">'Raw - Daily Energy'!A99</f>
        <v>45944</v>
      </c>
      <c r="B104" s="13" t="n">
        <f aca="false">COUNTIF('Raw - Sessions'!$R$5:$R$292,A104)</f>
        <v>0</v>
      </c>
      <c r="C104" s="30" t="n">
        <f aca="false">SUMIF('Raw - Sessions'!$R$5:$R$292,A104,'Raw - Sessions'!$D$5:$D$292)</f>
        <v>0</v>
      </c>
      <c r="D104" s="30" t="n">
        <f aca="false">SUMIF('Raw - Sessions'!$R$5:$R$292,A104,'Raw - Sessions'!$E$5:$E$292)</f>
        <v>0</v>
      </c>
      <c r="E104" s="30" t="n">
        <f aca="false">'Raw - Daily Energy'!B99</f>
        <v>0</v>
      </c>
      <c r="F104" s="35" t="n">
        <f aca="false">SUMIF('Raw - Sessions'!$R$5:$R$292,A104,'Raw - Sessions'!$P$5:$P$292)</f>
        <v>0</v>
      </c>
    </row>
    <row r="105" customFormat="false" ht="15" hidden="false" customHeight="false" outlineLevel="0" collapsed="false">
      <c r="A105" s="47" t="n">
        <f aca="false">'Raw - Daily Energy'!A100</f>
        <v>45945</v>
      </c>
      <c r="B105" s="15" t="n">
        <f aca="false">COUNTIF('Raw - Sessions'!$R$5:$R$292,A105)</f>
        <v>1</v>
      </c>
      <c r="C105" s="31" t="n">
        <f aca="false">SUMIF('Raw - Sessions'!$R$5:$R$292,A105,'Raw - Sessions'!$D$5:$D$292)</f>
        <v>1.21027777777778</v>
      </c>
      <c r="D105" s="31" t="n">
        <f aca="false">SUMIF('Raw - Sessions'!$R$5:$R$292,A105,'Raw - Sessions'!$E$5:$E$292)</f>
        <v>8.483508</v>
      </c>
      <c r="E105" s="31" t="n">
        <f aca="false">'Raw - Daily Energy'!B100</f>
        <v>8.484</v>
      </c>
      <c r="F105" s="37" t="n">
        <f aca="false">SUMIF('Raw - Sessions'!$R$5:$R$292,A105,'Raw - Sessions'!$P$5:$P$292)</f>
        <v>2.25</v>
      </c>
    </row>
    <row r="106" customFormat="false" ht="15" hidden="false" customHeight="false" outlineLevel="0" collapsed="false">
      <c r="A106" s="46" t="n">
        <f aca="false">'Raw - Daily Energy'!A101</f>
        <v>45946</v>
      </c>
      <c r="B106" s="13" t="n">
        <f aca="false">COUNTIF('Raw - Sessions'!$R$5:$R$292,A106)</f>
        <v>0</v>
      </c>
      <c r="C106" s="30" t="n">
        <f aca="false">SUMIF('Raw - Sessions'!$R$5:$R$292,A106,'Raw - Sessions'!$D$5:$D$292)</f>
        <v>0</v>
      </c>
      <c r="D106" s="30" t="n">
        <f aca="false">SUMIF('Raw - Sessions'!$R$5:$R$292,A106,'Raw - Sessions'!$E$5:$E$292)</f>
        <v>0</v>
      </c>
      <c r="E106" s="30" t="n">
        <f aca="false">'Raw - Daily Energy'!B101</f>
        <v>0</v>
      </c>
      <c r="F106" s="35" t="n">
        <f aca="false">SUMIF('Raw - Sessions'!$R$5:$R$292,A106,'Raw - Sessions'!$P$5:$P$292)</f>
        <v>0</v>
      </c>
    </row>
    <row r="107" customFormat="false" ht="15" hidden="false" customHeight="false" outlineLevel="0" collapsed="false">
      <c r="A107" s="47" t="n">
        <f aca="false">'Raw - Daily Energy'!A102</f>
        <v>45947</v>
      </c>
      <c r="B107" s="15" t="n">
        <f aca="false">COUNTIF('Raw - Sessions'!$R$5:$R$292,A107)</f>
        <v>0</v>
      </c>
      <c r="C107" s="31" t="n">
        <f aca="false">SUMIF('Raw - Sessions'!$R$5:$R$292,A107,'Raw - Sessions'!$D$5:$D$292)</f>
        <v>0</v>
      </c>
      <c r="D107" s="31" t="n">
        <f aca="false">SUMIF('Raw - Sessions'!$R$5:$R$292,A107,'Raw - Sessions'!$E$5:$E$292)</f>
        <v>0</v>
      </c>
      <c r="E107" s="31" t="n">
        <f aca="false">'Raw - Daily Energy'!B102</f>
        <v>0</v>
      </c>
      <c r="F107" s="37" t="n">
        <f aca="false">SUMIF('Raw - Sessions'!$R$5:$R$292,A107,'Raw - Sessions'!$P$5:$P$292)</f>
        <v>0</v>
      </c>
    </row>
    <row r="108" customFormat="false" ht="15" hidden="false" customHeight="false" outlineLevel="0" collapsed="false">
      <c r="A108" s="46" t="n">
        <f aca="false">'Raw - Daily Energy'!A103</f>
        <v>45948</v>
      </c>
      <c r="B108" s="13" t="n">
        <f aca="false">COUNTIF('Raw - Sessions'!$R$5:$R$292,A108)</f>
        <v>0</v>
      </c>
      <c r="C108" s="30" t="n">
        <f aca="false">SUMIF('Raw - Sessions'!$R$5:$R$292,A108,'Raw - Sessions'!$D$5:$D$292)</f>
        <v>0</v>
      </c>
      <c r="D108" s="30" t="n">
        <f aca="false">SUMIF('Raw - Sessions'!$R$5:$R$292,A108,'Raw - Sessions'!$E$5:$E$292)</f>
        <v>0</v>
      </c>
      <c r="E108" s="30" t="n">
        <f aca="false">'Raw - Daily Energy'!B103</f>
        <v>0</v>
      </c>
      <c r="F108" s="35" t="n">
        <f aca="false">SUMIF('Raw - Sessions'!$R$5:$R$292,A108,'Raw - Sessions'!$P$5:$P$292)</f>
        <v>0</v>
      </c>
    </row>
    <row r="109" customFormat="false" ht="15" hidden="false" customHeight="false" outlineLevel="0" collapsed="false">
      <c r="A109" s="47" t="n">
        <f aca="false">'Raw - Daily Energy'!A104</f>
        <v>45949</v>
      </c>
      <c r="B109" s="15" t="n">
        <f aca="false">COUNTIF('Raw - Sessions'!$R$5:$R$292,A109)</f>
        <v>2</v>
      </c>
      <c r="C109" s="31" t="n">
        <f aca="false">SUMIF('Raw - Sessions'!$R$5:$R$292,A109,'Raw - Sessions'!$D$5:$D$292)</f>
        <v>0.328611111111111</v>
      </c>
      <c r="D109" s="31" t="n">
        <f aca="false">SUMIF('Raw - Sessions'!$R$5:$R$292,A109,'Raw - Sessions'!$E$5:$E$292)</f>
        <v>14.0876</v>
      </c>
      <c r="E109" s="31" t="n">
        <f aca="false">'Raw - Daily Energy'!B104</f>
        <v>14.088</v>
      </c>
      <c r="F109" s="37" t="n">
        <f aca="false">SUMIF('Raw - Sessions'!$R$5:$R$292,A109,'Raw - Sessions'!$P$5:$P$292)</f>
        <v>1.28</v>
      </c>
    </row>
    <row r="110" customFormat="false" ht="15" hidden="false" customHeight="false" outlineLevel="0" collapsed="false">
      <c r="A110" s="46" t="n">
        <f aca="false">'Raw - Daily Energy'!A105</f>
        <v>45950</v>
      </c>
      <c r="B110" s="13" t="n">
        <f aca="false">COUNTIF('Raw - Sessions'!$R$5:$R$292,A110)</f>
        <v>2</v>
      </c>
      <c r="C110" s="30" t="n">
        <f aca="false">SUMIF('Raw - Sessions'!$R$5:$R$292,A110,'Raw - Sessions'!$D$5:$D$292)</f>
        <v>1.17888888888889</v>
      </c>
      <c r="D110" s="30" t="n">
        <f aca="false">SUMIF('Raw - Sessions'!$R$5:$R$292,A110,'Raw - Sessions'!$E$5:$E$292)</f>
        <v>26.1175</v>
      </c>
      <c r="E110" s="30" t="n">
        <f aca="false">'Raw - Daily Energy'!B105</f>
        <v>26.118</v>
      </c>
      <c r="F110" s="35" t="n">
        <f aca="false">SUMIF('Raw - Sessions'!$R$5:$R$292,A110,'Raw - Sessions'!$P$5:$P$292)</f>
        <v>6.92</v>
      </c>
    </row>
    <row r="111" customFormat="false" ht="15" hidden="false" customHeight="false" outlineLevel="0" collapsed="false">
      <c r="A111" s="47" t="n">
        <f aca="false">'Raw - Daily Energy'!A106</f>
        <v>45951</v>
      </c>
      <c r="B111" s="15" t="n">
        <f aca="false">COUNTIF('Raw - Sessions'!$R$5:$R$292,A111)</f>
        <v>5</v>
      </c>
      <c r="C111" s="31" t="n">
        <f aca="false">SUMIF('Raw - Sessions'!$R$5:$R$292,A111,'Raw - Sessions'!$D$5:$D$292)</f>
        <v>6.51416666666667</v>
      </c>
      <c r="D111" s="31" t="n">
        <f aca="false">SUMIF('Raw - Sessions'!$R$5:$R$292,A111,'Raw - Sessions'!$E$5:$E$292)</f>
        <v>55.605362</v>
      </c>
      <c r="E111" s="31" t="n">
        <f aca="false">'Raw - Daily Energy'!B106</f>
        <v>55.605</v>
      </c>
      <c r="F111" s="37" t="n">
        <f aca="false">SUMIF('Raw - Sessions'!$R$5:$R$292,A111,'Raw - Sessions'!$P$5:$P$292)</f>
        <v>14.73</v>
      </c>
    </row>
    <row r="112" customFormat="false" ht="15" hidden="false" customHeight="false" outlineLevel="0" collapsed="false">
      <c r="A112" s="46" t="n">
        <f aca="false">'Raw - Daily Energy'!A107</f>
        <v>45952</v>
      </c>
      <c r="B112" s="13" t="n">
        <f aca="false">COUNTIF('Raw - Sessions'!$R$5:$R$292,A112)</f>
        <v>1</v>
      </c>
      <c r="C112" s="30" t="n">
        <f aca="false">SUMIF('Raw - Sessions'!$R$5:$R$292,A112,'Raw - Sessions'!$D$5:$D$292)</f>
        <v>1.31333333333333</v>
      </c>
      <c r="D112" s="30" t="n">
        <f aca="false">SUMIF('Raw - Sessions'!$R$5:$R$292,A112,'Raw - Sessions'!$E$5:$E$292)</f>
        <v>42.079498</v>
      </c>
      <c r="E112" s="30" t="n">
        <f aca="false">'Raw - Daily Energy'!B107</f>
        <v>42.079</v>
      </c>
      <c r="F112" s="35" t="n">
        <f aca="false">SUMIF('Raw - Sessions'!$R$5:$R$292,A112,'Raw - Sessions'!$P$5:$P$292)</f>
        <v>23.09</v>
      </c>
    </row>
    <row r="113" customFormat="false" ht="15" hidden="false" customHeight="false" outlineLevel="0" collapsed="false">
      <c r="A113" s="47" t="n">
        <f aca="false">'Raw - Daily Energy'!A108</f>
        <v>45953</v>
      </c>
      <c r="B113" s="15" t="n">
        <f aca="false">COUNTIF('Raw - Sessions'!$R$5:$R$292,A113)</f>
        <v>0</v>
      </c>
      <c r="C113" s="31" t="n">
        <f aca="false">SUMIF('Raw - Sessions'!$R$5:$R$292,A113,'Raw - Sessions'!$D$5:$D$292)</f>
        <v>0</v>
      </c>
      <c r="D113" s="31" t="n">
        <f aca="false">SUMIF('Raw - Sessions'!$R$5:$R$292,A113,'Raw - Sessions'!$E$5:$E$292)</f>
        <v>0</v>
      </c>
      <c r="E113" s="31" t="n">
        <f aca="false">'Raw - Daily Energy'!B108</f>
        <v>0</v>
      </c>
      <c r="F113" s="37" t="n">
        <f aca="false">SUMIF('Raw - Sessions'!$R$5:$R$292,A113,'Raw - Sessions'!$P$5:$P$292)</f>
        <v>0</v>
      </c>
    </row>
    <row r="114" customFormat="false" ht="15" hidden="false" customHeight="false" outlineLevel="0" collapsed="false">
      <c r="A114" s="46" t="n">
        <f aca="false">'Raw - Daily Energy'!A109</f>
        <v>45954</v>
      </c>
      <c r="B114" s="13" t="n">
        <f aca="false">COUNTIF('Raw - Sessions'!$R$5:$R$292,A114)</f>
        <v>6</v>
      </c>
      <c r="C114" s="30" t="n">
        <f aca="false">SUMIF('Raw - Sessions'!$R$5:$R$292,A114,'Raw - Sessions'!$D$5:$D$292)</f>
        <v>2.33444444444444</v>
      </c>
      <c r="D114" s="30" t="n">
        <f aca="false">SUMIF('Raw - Sessions'!$R$5:$R$292,A114,'Raw - Sessions'!$E$5:$E$292)</f>
        <v>90.459401</v>
      </c>
      <c r="E114" s="30" t="n">
        <f aca="false">'Raw - Daily Energy'!B109</f>
        <v>90.459</v>
      </c>
      <c r="F114" s="35" t="n">
        <f aca="false">SUMIF('Raw - Sessions'!$R$5:$R$292,A114,'Raw - Sessions'!$P$5:$P$292)</f>
        <v>47.6</v>
      </c>
    </row>
    <row r="115" customFormat="false" ht="15" hidden="false" customHeight="false" outlineLevel="0" collapsed="false">
      <c r="A115" s="47" t="n">
        <f aca="false">'Raw - Daily Energy'!A110</f>
        <v>45955</v>
      </c>
      <c r="B115" s="15" t="n">
        <f aca="false">COUNTIF('Raw - Sessions'!$R$5:$R$292,A115)</f>
        <v>1</v>
      </c>
      <c r="C115" s="31" t="n">
        <f aca="false">SUMIF('Raw - Sessions'!$R$5:$R$292,A115,'Raw - Sessions'!$D$5:$D$292)</f>
        <v>0.202222222222222</v>
      </c>
      <c r="D115" s="31" t="n">
        <f aca="false">SUMIF('Raw - Sessions'!$R$5:$R$292,A115,'Raw - Sessions'!$E$5:$E$292)</f>
        <v>5.3031</v>
      </c>
      <c r="E115" s="31" t="n">
        <f aca="false">'Raw - Daily Energy'!B110</f>
        <v>5.303</v>
      </c>
      <c r="F115" s="37" t="n">
        <f aca="false">SUMIF('Raw - Sessions'!$R$5:$R$292,A115,'Raw - Sessions'!$P$5:$P$292)</f>
        <v>3.06</v>
      </c>
    </row>
    <row r="116" customFormat="false" ht="15" hidden="false" customHeight="false" outlineLevel="0" collapsed="false">
      <c r="A116" s="46" t="n">
        <f aca="false">'Raw - Daily Energy'!A111</f>
        <v>45956</v>
      </c>
      <c r="B116" s="13" t="n">
        <f aca="false">COUNTIF('Raw - Sessions'!$R$5:$R$292,A116)</f>
        <v>2</v>
      </c>
      <c r="C116" s="30" t="n">
        <f aca="false">SUMIF('Raw - Sessions'!$R$5:$R$292,A116,'Raw - Sessions'!$D$5:$D$292)</f>
        <v>0.12</v>
      </c>
      <c r="D116" s="30" t="n">
        <f aca="false">SUMIF('Raw - Sessions'!$R$5:$R$292,A116,'Raw - Sessions'!$E$5:$E$292)</f>
        <v>5.4966</v>
      </c>
      <c r="E116" s="30" t="n">
        <f aca="false">'Raw - Daily Energy'!B111</f>
        <v>5.497</v>
      </c>
      <c r="F116" s="35" t="n">
        <f aca="false">SUMIF('Raw - Sessions'!$R$5:$R$292,A116,'Raw - Sessions'!$P$5:$P$292)</f>
        <v>2.76</v>
      </c>
    </row>
    <row r="117" customFormat="false" ht="15" hidden="false" customHeight="false" outlineLevel="0" collapsed="false">
      <c r="A117" s="47" t="n">
        <f aca="false">'Raw - Daily Energy'!A112</f>
        <v>45957</v>
      </c>
      <c r="B117" s="15" t="n">
        <f aca="false">COUNTIF('Raw - Sessions'!$R$5:$R$292,A117)</f>
        <v>1</v>
      </c>
      <c r="C117" s="31" t="n">
        <f aca="false">SUMIF('Raw - Sessions'!$R$5:$R$292,A117,'Raw - Sessions'!$D$5:$D$292)</f>
        <v>0.368888888888889</v>
      </c>
      <c r="D117" s="31" t="n">
        <f aca="false">SUMIF('Raw - Sessions'!$R$5:$R$292,A117,'Raw - Sessions'!$E$5:$E$292)</f>
        <v>22.2493</v>
      </c>
      <c r="E117" s="31" t="n">
        <f aca="false">'Raw - Daily Energy'!B112</f>
        <v>50.316</v>
      </c>
      <c r="F117" s="37" t="n">
        <f aca="false">SUMIF('Raw - Sessions'!$R$5:$R$292,A117,'Raw - Sessions'!$P$5:$P$292)</f>
        <v>10.91</v>
      </c>
    </row>
    <row r="118" customFormat="false" ht="15" hidden="false" customHeight="false" outlineLevel="0" collapsed="false">
      <c r="A118" s="46" t="n">
        <f aca="false">'Raw - Daily Energy'!A113</f>
        <v>45958</v>
      </c>
      <c r="B118" s="13" t="n">
        <f aca="false">COUNTIF('Raw - Sessions'!$R$5:$R$292,A118)</f>
        <v>3</v>
      </c>
      <c r="C118" s="30" t="n">
        <f aca="false">SUMIF('Raw - Sessions'!$R$5:$R$292,A118,'Raw - Sessions'!$D$5:$D$292)</f>
        <v>2.66583333333333</v>
      </c>
      <c r="D118" s="30" t="n">
        <f aca="false">SUMIF('Raw - Sessions'!$R$5:$R$292,A118,'Raw - Sessions'!$E$5:$E$292)</f>
        <v>94.216701</v>
      </c>
      <c r="E118" s="30" t="n">
        <f aca="false">'Raw - Daily Energy'!B113</f>
        <v>66.15</v>
      </c>
      <c r="F118" s="35" t="n">
        <f aca="false">SUMIF('Raw - Sessions'!$R$5:$R$292,A118,'Raw - Sessions'!$P$5:$P$292)</f>
        <v>50.57</v>
      </c>
    </row>
    <row r="119" customFormat="false" ht="15" hidden="false" customHeight="false" outlineLevel="0" collapsed="false">
      <c r="A119" s="47" t="n">
        <f aca="false">'Raw - Daily Energy'!A114</f>
        <v>45959</v>
      </c>
      <c r="B119" s="15" t="n">
        <f aca="false">COUNTIF('Raw - Sessions'!$R$5:$R$292,A119)</f>
        <v>0</v>
      </c>
      <c r="C119" s="31" t="n">
        <f aca="false">SUMIF('Raw - Sessions'!$R$5:$R$292,A119,'Raw - Sessions'!$D$5:$D$292)</f>
        <v>0</v>
      </c>
      <c r="D119" s="31" t="n">
        <f aca="false">SUMIF('Raw - Sessions'!$R$5:$R$292,A119,'Raw - Sessions'!$E$5:$E$292)</f>
        <v>0</v>
      </c>
      <c r="E119" s="31" t="n">
        <f aca="false">'Raw - Daily Energy'!B114</f>
        <v>0</v>
      </c>
      <c r="F119" s="37" t="n">
        <f aca="false">SUMIF('Raw - Sessions'!$R$5:$R$292,A119,'Raw - Sessions'!$P$5:$P$292)</f>
        <v>0</v>
      </c>
    </row>
    <row r="120" customFormat="false" ht="15" hidden="false" customHeight="false" outlineLevel="0" collapsed="false">
      <c r="A120" s="46" t="n">
        <f aca="false">'Raw - Daily Energy'!A115</f>
        <v>45960</v>
      </c>
      <c r="B120" s="13" t="n">
        <f aca="false">COUNTIF('Raw - Sessions'!$R$5:$R$292,A120)</f>
        <v>1</v>
      </c>
      <c r="C120" s="30" t="n">
        <f aca="false">SUMIF('Raw - Sessions'!$R$5:$R$292,A120,'Raw - Sessions'!$D$5:$D$292)</f>
        <v>1.34583333333333</v>
      </c>
      <c r="D120" s="30" t="n">
        <f aca="false">SUMIF('Raw - Sessions'!$R$5:$R$292,A120,'Raw - Sessions'!$E$5:$E$292)</f>
        <v>20.0424</v>
      </c>
      <c r="E120" s="30" t="n">
        <f aca="false">'Raw - Daily Energy'!B115</f>
        <v>20.042</v>
      </c>
      <c r="F120" s="35" t="n">
        <f aca="false">SUMIF('Raw - Sessions'!$R$5:$R$292,A120,'Raw - Sessions'!$P$5:$P$292)</f>
        <v>13.88</v>
      </c>
    </row>
    <row r="121" customFormat="false" ht="15" hidden="false" customHeight="false" outlineLevel="0" collapsed="false">
      <c r="A121" s="47" t="n">
        <f aca="false">'Raw - Daily Energy'!A116</f>
        <v>45961</v>
      </c>
      <c r="B121" s="15" t="n">
        <f aca="false">COUNTIF('Raw - Sessions'!$R$5:$R$292,A121)</f>
        <v>2</v>
      </c>
      <c r="C121" s="31" t="n">
        <f aca="false">SUMIF('Raw - Sessions'!$R$5:$R$292,A121,'Raw - Sessions'!$D$5:$D$292)</f>
        <v>0.442777777777778</v>
      </c>
      <c r="D121" s="31" t="n">
        <f aca="false">SUMIF('Raw - Sessions'!$R$5:$R$292,A121,'Raw - Sessions'!$E$5:$E$292)</f>
        <v>22.979</v>
      </c>
      <c r="E121" s="31" t="n">
        <f aca="false">'Raw - Daily Energy'!B116</f>
        <v>87.582</v>
      </c>
      <c r="F121" s="37" t="n">
        <f aca="false">SUMIF('Raw - Sessions'!$R$5:$R$292,A121,'Raw - Sessions'!$P$5:$P$292)</f>
        <v>11.51</v>
      </c>
    </row>
    <row r="122" customFormat="false" ht="15" hidden="false" customHeight="false" outlineLevel="0" collapsed="false">
      <c r="A122" s="46" t="n">
        <f aca="false">'Raw - Daily Energy'!A117</f>
        <v>45962</v>
      </c>
      <c r="B122" s="13" t="n">
        <f aca="false">COUNTIF('Raw - Sessions'!$R$5:$R$292,A122)</f>
        <v>4</v>
      </c>
      <c r="C122" s="30" t="n">
        <f aca="false">SUMIF('Raw - Sessions'!$R$5:$R$292,A122,'Raw - Sessions'!$D$5:$D$292)</f>
        <v>1.81388888888889</v>
      </c>
      <c r="D122" s="30" t="n">
        <f aca="false">SUMIF('Raw - Sessions'!$R$5:$R$292,A122,'Raw - Sessions'!$E$5:$E$292)</f>
        <v>75.803902</v>
      </c>
      <c r="E122" s="30" t="n">
        <f aca="false">'Raw - Daily Energy'!B117</f>
        <v>11.201</v>
      </c>
      <c r="F122" s="35" t="n">
        <f aca="false">SUMIF('Raw - Sessions'!$R$5:$R$292,A122,'Raw - Sessions'!$P$5:$P$292)</f>
        <v>39.27</v>
      </c>
    </row>
    <row r="123" customFormat="false" ht="15" hidden="false" customHeight="false" outlineLevel="0" collapsed="false">
      <c r="A123" s="47" t="n">
        <f aca="false">'Raw - Daily Energy'!A118</f>
        <v>45963</v>
      </c>
      <c r="B123" s="15" t="n">
        <f aca="false">COUNTIF('Raw - Sessions'!$R$5:$R$292,A123)</f>
        <v>0</v>
      </c>
      <c r="C123" s="31" t="n">
        <f aca="false">SUMIF('Raw - Sessions'!$R$5:$R$292,A123,'Raw - Sessions'!$D$5:$D$292)</f>
        <v>0</v>
      </c>
      <c r="D123" s="31" t="n">
        <f aca="false">SUMIF('Raw - Sessions'!$R$5:$R$292,A123,'Raw - Sessions'!$E$5:$E$292)</f>
        <v>0</v>
      </c>
      <c r="E123" s="31" t="n">
        <f aca="false">'Raw - Daily Energy'!B118</f>
        <v>0</v>
      </c>
      <c r="F123" s="37" t="n">
        <f aca="false">SUMIF('Raw - Sessions'!$R$5:$R$292,A123,'Raw - Sessions'!$P$5:$P$292)</f>
        <v>0</v>
      </c>
    </row>
    <row r="124" customFormat="false" ht="15" hidden="false" customHeight="false" outlineLevel="0" collapsed="false">
      <c r="A124" s="46" t="n">
        <f aca="false">'Raw - Daily Energy'!A119</f>
        <v>45964</v>
      </c>
      <c r="B124" s="13" t="n">
        <f aca="false">COUNTIF('Raw - Sessions'!$R$5:$R$292,A124)</f>
        <v>0</v>
      </c>
      <c r="C124" s="30" t="n">
        <f aca="false">SUMIF('Raw - Sessions'!$R$5:$R$292,A124,'Raw - Sessions'!$D$5:$D$292)</f>
        <v>0</v>
      </c>
      <c r="D124" s="30" t="n">
        <f aca="false">SUMIF('Raw - Sessions'!$R$5:$R$292,A124,'Raw - Sessions'!$E$5:$E$292)</f>
        <v>0</v>
      </c>
      <c r="E124" s="30" t="n">
        <f aca="false">'Raw - Daily Energy'!B119</f>
        <v>0</v>
      </c>
      <c r="F124" s="35" t="n">
        <f aca="false">SUMIF('Raw - Sessions'!$R$5:$R$292,A124,'Raw - Sessions'!$P$5:$P$292)</f>
        <v>0</v>
      </c>
    </row>
    <row r="125" customFormat="false" ht="15" hidden="false" customHeight="false" outlineLevel="0" collapsed="false">
      <c r="A125" s="47" t="n">
        <f aca="false">'Raw - Daily Energy'!A120</f>
        <v>45965</v>
      </c>
      <c r="B125" s="15" t="n">
        <f aca="false">COUNTIF('Raw - Sessions'!$R$5:$R$292,A125)</f>
        <v>1</v>
      </c>
      <c r="C125" s="31" t="n">
        <f aca="false">SUMIF('Raw - Sessions'!$R$5:$R$292,A125,'Raw - Sessions'!$D$5:$D$292)</f>
        <v>0.744722222222222</v>
      </c>
      <c r="D125" s="31" t="n">
        <f aca="false">SUMIF('Raw - Sessions'!$R$5:$R$292,A125,'Raw - Sessions'!$E$5:$E$292)</f>
        <v>41.457901</v>
      </c>
      <c r="E125" s="31" t="n">
        <f aca="false">'Raw - Daily Energy'!B120</f>
        <v>41.458</v>
      </c>
      <c r="F125" s="37" t="n">
        <f aca="false">SUMIF('Raw - Sessions'!$R$5:$R$292,A125,'Raw - Sessions'!$P$5:$P$292)</f>
        <v>20.55</v>
      </c>
    </row>
    <row r="126" customFormat="false" ht="15" hidden="false" customHeight="false" outlineLevel="0" collapsed="false">
      <c r="A126" s="46" t="n">
        <f aca="false">'Raw - Daily Energy'!A121</f>
        <v>45966</v>
      </c>
      <c r="B126" s="13" t="n">
        <f aca="false">COUNTIF('Raw - Sessions'!$R$5:$R$292,A126)</f>
        <v>0</v>
      </c>
      <c r="C126" s="30" t="n">
        <f aca="false">SUMIF('Raw - Sessions'!$R$5:$R$292,A126,'Raw - Sessions'!$D$5:$D$292)</f>
        <v>0</v>
      </c>
      <c r="D126" s="30" t="n">
        <f aca="false">SUMIF('Raw - Sessions'!$R$5:$R$292,A126,'Raw - Sessions'!$E$5:$E$292)</f>
        <v>0</v>
      </c>
      <c r="E126" s="30" t="n">
        <f aca="false">'Raw - Daily Energy'!B121</f>
        <v>0</v>
      </c>
      <c r="F126" s="35" t="n">
        <f aca="false">SUMIF('Raw - Sessions'!$R$5:$R$292,A126,'Raw - Sessions'!$P$5:$P$292)</f>
        <v>0</v>
      </c>
    </row>
    <row r="127" customFormat="false" ht="15" hidden="false" customHeight="false" outlineLevel="0" collapsed="false">
      <c r="A127" s="47" t="n">
        <f aca="false">'Raw - Daily Energy'!A122</f>
        <v>45967</v>
      </c>
      <c r="B127" s="15" t="n">
        <f aca="false">COUNTIF('Raw - Sessions'!$R$5:$R$292,A127)</f>
        <v>0</v>
      </c>
      <c r="C127" s="31" t="n">
        <f aca="false">SUMIF('Raw - Sessions'!$R$5:$R$292,A127,'Raw - Sessions'!$D$5:$D$292)</f>
        <v>0</v>
      </c>
      <c r="D127" s="31" t="n">
        <f aca="false">SUMIF('Raw - Sessions'!$R$5:$R$292,A127,'Raw - Sessions'!$E$5:$E$292)</f>
        <v>0</v>
      </c>
      <c r="E127" s="31" t="n">
        <f aca="false">'Raw - Daily Energy'!B122</f>
        <v>0</v>
      </c>
      <c r="F127" s="37" t="n">
        <f aca="false">SUMIF('Raw - Sessions'!$R$5:$R$292,A127,'Raw - Sessions'!$P$5:$P$292)</f>
        <v>0</v>
      </c>
    </row>
    <row r="128" customFormat="false" ht="15" hidden="false" customHeight="false" outlineLevel="0" collapsed="false">
      <c r="A128" s="46" t="n">
        <f aca="false">'Raw - Daily Energy'!A123</f>
        <v>45968</v>
      </c>
      <c r="B128" s="13" t="n">
        <f aca="false">COUNTIF('Raw - Sessions'!$R$5:$R$292,A128)</f>
        <v>2</v>
      </c>
      <c r="C128" s="30" t="n">
        <f aca="false">SUMIF('Raw - Sessions'!$R$5:$R$292,A128,'Raw - Sessions'!$D$5:$D$292)</f>
        <v>1.215</v>
      </c>
      <c r="D128" s="30" t="n">
        <f aca="false">SUMIF('Raw - Sessions'!$R$5:$R$292,A128,'Raw - Sessions'!$E$5:$E$292)</f>
        <v>64.847601</v>
      </c>
      <c r="E128" s="30" t="n">
        <f aca="false">'Raw - Daily Energy'!B123</f>
        <v>64.848</v>
      </c>
      <c r="F128" s="35" t="n">
        <f aca="false">SUMIF('Raw - Sessions'!$R$5:$R$292,A128,'Raw - Sessions'!$P$5:$P$292)</f>
        <v>32.34</v>
      </c>
    </row>
    <row r="129" customFormat="false" ht="15" hidden="false" customHeight="false" outlineLevel="0" collapsed="false">
      <c r="A129" s="47" t="n">
        <f aca="false">'Raw - Daily Energy'!A124</f>
        <v>45969</v>
      </c>
      <c r="B129" s="15" t="n">
        <f aca="false">COUNTIF('Raw - Sessions'!$R$5:$R$292,A129)</f>
        <v>2</v>
      </c>
      <c r="C129" s="31" t="n">
        <f aca="false">SUMIF('Raw - Sessions'!$R$5:$R$292,A129,'Raw - Sessions'!$D$5:$D$292)</f>
        <v>0.380555555555556</v>
      </c>
      <c r="D129" s="31" t="n">
        <f aca="false">SUMIF('Raw - Sessions'!$R$5:$R$292,A129,'Raw - Sessions'!$E$5:$E$292)</f>
        <v>16.5644</v>
      </c>
      <c r="E129" s="31" t="n">
        <f aca="false">'Raw - Daily Energy'!B124</f>
        <v>16.564</v>
      </c>
      <c r="F129" s="37" t="n">
        <f aca="false">SUMIF('Raw - Sessions'!$R$5:$R$292,A129,'Raw - Sessions'!$P$5:$P$292)</f>
        <v>8.55</v>
      </c>
    </row>
    <row r="130" customFormat="false" ht="15" hidden="false" customHeight="false" outlineLevel="0" collapsed="false">
      <c r="A130" s="46" t="n">
        <f aca="false">'Raw - Daily Energy'!A125</f>
        <v>45970</v>
      </c>
      <c r="B130" s="13" t="n">
        <f aca="false">COUNTIF('Raw - Sessions'!$R$5:$R$292,A130)</f>
        <v>1</v>
      </c>
      <c r="C130" s="30" t="n">
        <f aca="false">SUMIF('Raw - Sessions'!$R$5:$R$292,A130,'Raw - Sessions'!$D$5:$D$292)</f>
        <v>1.435</v>
      </c>
      <c r="D130" s="30" t="n">
        <f aca="false">SUMIF('Raw - Sessions'!$R$5:$R$292,A130,'Raw - Sessions'!$E$5:$E$292)</f>
        <v>63.373699</v>
      </c>
      <c r="E130" s="30" t="n">
        <f aca="false">'Raw - Daily Energy'!B125</f>
        <v>63.374</v>
      </c>
      <c r="F130" s="35" t="n">
        <f aca="false">SUMIF('Raw - Sessions'!$R$5:$R$292,A130,'Raw - Sessions'!$P$5:$P$292)</f>
        <v>32.61</v>
      </c>
    </row>
    <row r="131" customFormat="false" ht="15" hidden="false" customHeight="false" outlineLevel="0" collapsed="false">
      <c r="A131" s="47" t="n">
        <f aca="false">'Raw - Daily Energy'!A126</f>
        <v>45971</v>
      </c>
      <c r="B131" s="15" t="n">
        <f aca="false">COUNTIF('Raw - Sessions'!$R$5:$R$292,A131)</f>
        <v>1</v>
      </c>
      <c r="C131" s="31" t="n">
        <f aca="false">SUMIF('Raw - Sessions'!$R$5:$R$292,A131,'Raw - Sessions'!$D$5:$D$292)</f>
        <v>0.627777777777778</v>
      </c>
      <c r="D131" s="31" t="n">
        <f aca="false">SUMIF('Raw - Sessions'!$R$5:$R$292,A131,'Raw - Sessions'!$E$5:$E$292)</f>
        <v>36.359001</v>
      </c>
      <c r="E131" s="31" t="n">
        <f aca="false">'Raw - Daily Energy'!B126</f>
        <v>36.359</v>
      </c>
      <c r="F131" s="37" t="n">
        <f aca="false">SUMIF('Raw - Sessions'!$R$5:$R$292,A131,'Raw - Sessions'!$P$5:$P$292)</f>
        <v>17.92</v>
      </c>
    </row>
    <row r="132" customFormat="false" ht="15" hidden="false" customHeight="false" outlineLevel="0" collapsed="false">
      <c r="A132" s="46" t="n">
        <f aca="false">'Raw - Daily Energy'!A127</f>
        <v>45972</v>
      </c>
      <c r="B132" s="13" t="n">
        <f aca="false">COUNTIF('Raw - Sessions'!$R$5:$R$292,A132)</f>
        <v>0</v>
      </c>
      <c r="C132" s="30" t="n">
        <f aca="false">SUMIF('Raw - Sessions'!$R$5:$R$292,A132,'Raw - Sessions'!$D$5:$D$292)</f>
        <v>0</v>
      </c>
      <c r="D132" s="30" t="n">
        <f aca="false">SUMIF('Raw - Sessions'!$R$5:$R$292,A132,'Raw - Sessions'!$E$5:$E$292)</f>
        <v>0</v>
      </c>
      <c r="E132" s="30" t="n">
        <f aca="false">'Raw - Daily Energy'!B127</f>
        <v>0</v>
      </c>
      <c r="F132" s="35" t="n">
        <f aca="false">SUMIF('Raw - Sessions'!$R$5:$R$292,A132,'Raw - Sessions'!$P$5:$P$292)</f>
        <v>0</v>
      </c>
    </row>
    <row r="133" customFormat="false" ht="15" hidden="false" customHeight="false" outlineLevel="0" collapsed="false">
      <c r="A133" s="47" t="n">
        <f aca="false">'Raw - Daily Energy'!A128</f>
        <v>45973</v>
      </c>
      <c r="B133" s="15" t="n">
        <f aca="false">COUNTIF('Raw - Sessions'!$R$5:$R$292,A133)</f>
        <v>0</v>
      </c>
      <c r="C133" s="31" t="n">
        <f aca="false">SUMIF('Raw - Sessions'!$R$5:$R$292,A133,'Raw - Sessions'!$D$5:$D$292)</f>
        <v>0</v>
      </c>
      <c r="D133" s="31" t="n">
        <f aca="false">SUMIF('Raw - Sessions'!$R$5:$R$292,A133,'Raw - Sessions'!$E$5:$E$292)</f>
        <v>0</v>
      </c>
      <c r="E133" s="31" t="n">
        <f aca="false">'Raw - Daily Energy'!B128</f>
        <v>0</v>
      </c>
      <c r="F133" s="37" t="n">
        <f aca="false">SUMIF('Raw - Sessions'!$R$5:$R$292,A133,'Raw - Sessions'!$P$5:$P$292)</f>
        <v>0</v>
      </c>
    </row>
    <row r="134" customFormat="false" ht="15" hidden="false" customHeight="false" outlineLevel="0" collapsed="false">
      <c r="A134" s="46" t="n">
        <f aca="false">'Raw - Daily Energy'!A129</f>
        <v>45974</v>
      </c>
      <c r="B134" s="13" t="n">
        <f aca="false">COUNTIF('Raw - Sessions'!$R$5:$R$292,A134)</f>
        <v>0</v>
      </c>
      <c r="C134" s="30" t="n">
        <f aca="false">SUMIF('Raw - Sessions'!$R$5:$R$292,A134,'Raw - Sessions'!$D$5:$D$292)</f>
        <v>0</v>
      </c>
      <c r="D134" s="30" t="n">
        <f aca="false">SUMIF('Raw - Sessions'!$R$5:$R$292,A134,'Raw - Sessions'!$E$5:$E$292)</f>
        <v>0</v>
      </c>
      <c r="E134" s="30" t="n">
        <f aca="false">'Raw - Daily Energy'!B129</f>
        <v>0</v>
      </c>
      <c r="F134" s="35" t="n">
        <f aca="false">SUMIF('Raw - Sessions'!$R$5:$R$292,A134,'Raw - Sessions'!$P$5:$P$292)</f>
        <v>0</v>
      </c>
    </row>
    <row r="135" customFormat="false" ht="15" hidden="false" customHeight="false" outlineLevel="0" collapsed="false">
      <c r="A135" s="47" t="n">
        <f aca="false">'Raw - Daily Energy'!A130</f>
        <v>45975</v>
      </c>
      <c r="B135" s="15" t="n">
        <f aca="false">COUNTIF('Raw - Sessions'!$R$5:$R$292,A135)</f>
        <v>1</v>
      </c>
      <c r="C135" s="31" t="n">
        <f aca="false">SUMIF('Raw - Sessions'!$R$5:$R$292,A135,'Raw - Sessions'!$D$5:$D$292)</f>
        <v>1.06111111111111</v>
      </c>
      <c r="D135" s="31" t="n">
        <f aca="false">SUMIF('Raw - Sessions'!$R$5:$R$292,A135,'Raw - Sessions'!$E$5:$E$292)</f>
        <v>62.974098</v>
      </c>
      <c r="E135" s="31" t="n">
        <f aca="false">'Raw - Daily Energy'!B130</f>
        <v>62.974</v>
      </c>
      <c r="F135" s="37" t="n">
        <f aca="false">SUMIF('Raw - Sessions'!$R$5:$R$292,A135,'Raw - Sessions'!$P$5:$P$292)</f>
        <v>30.94</v>
      </c>
    </row>
    <row r="136" customFormat="false" ht="15" hidden="false" customHeight="false" outlineLevel="0" collapsed="false">
      <c r="A136" s="46" t="n">
        <f aca="false">'Raw - Daily Energy'!A131</f>
        <v>45976</v>
      </c>
      <c r="B136" s="13" t="n">
        <f aca="false">COUNTIF('Raw - Sessions'!$R$5:$R$292,A136)</f>
        <v>1</v>
      </c>
      <c r="C136" s="30" t="n">
        <f aca="false">SUMIF('Raw - Sessions'!$R$5:$R$292,A136,'Raw - Sessions'!$D$5:$D$292)</f>
        <v>0.916666666666667</v>
      </c>
      <c r="D136" s="30" t="n">
        <f aca="false">SUMIF('Raw - Sessions'!$R$5:$R$292,A136,'Raw - Sessions'!$E$5:$E$292)</f>
        <v>48.506901</v>
      </c>
      <c r="E136" s="30" t="n">
        <f aca="false">'Raw - Daily Energy'!B131</f>
        <v>48.507</v>
      </c>
      <c r="F136" s="35" t="n">
        <f aca="false">SUMIF('Raw - Sessions'!$R$5:$R$292,A136,'Raw - Sessions'!$P$5:$P$292)</f>
        <v>24.23</v>
      </c>
    </row>
    <row r="137" customFormat="false" ht="15" hidden="false" customHeight="false" outlineLevel="0" collapsed="false">
      <c r="A137" s="47" t="n">
        <f aca="false">'Raw - Daily Energy'!A132</f>
        <v>45977</v>
      </c>
      <c r="B137" s="15" t="n">
        <f aca="false">COUNTIF('Raw - Sessions'!$R$5:$R$292,A137)</f>
        <v>4</v>
      </c>
      <c r="C137" s="31" t="n">
        <f aca="false">SUMIF('Raw - Sessions'!$R$5:$R$292,A137,'Raw - Sessions'!$D$5:$D$292)</f>
        <v>1.29166666666667</v>
      </c>
      <c r="D137" s="31" t="n">
        <f aca="false">SUMIF('Raw - Sessions'!$R$5:$R$292,A137,'Raw - Sessions'!$E$5:$E$292)</f>
        <v>34.246062</v>
      </c>
      <c r="E137" s="31" t="n">
        <f aca="false">'Raw - Daily Energy'!B132</f>
        <v>34.246</v>
      </c>
      <c r="F137" s="37" t="n">
        <f aca="false">SUMIF('Raw - Sessions'!$R$5:$R$292,A137,'Raw - Sessions'!$P$5:$P$292)</f>
        <v>19.55</v>
      </c>
    </row>
    <row r="138" customFormat="false" ht="15" hidden="false" customHeight="false" outlineLevel="0" collapsed="false">
      <c r="A138" s="46" t="n">
        <f aca="false">'Raw - Daily Energy'!A133</f>
        <v>45978</v>
      </c>
      <c r="B138" s="13" t="n">
        <f aca="false">COUNTIF('Raw - Sessions'!$R$5:$R$292,A138)</f>
        <v>0</v>
      </c>
      <c r="C138" s="30" t="n">
        <f aca="false">SUMIF('Raw - Sessions'!$R$5:$R$292,A138,'Raw - Sessions'!$D$5:$D$292)</f>
        <v>0</v>
      </c>
      <c r="D138" s="30" t="n">
        <f aca="false">SUMIF('Raw - Sessions'!$R$5:$R$292,A138,'Raw - Sessions'!$E$5:$E$292)</f>
        <v>0</v>
      </c>
      <c r="E138" s="30" t="n">
        <f aca="false">'Raw - Daily Energy'!B133</f>
        <v>0</v>
      </c>
      <c r="F138" s="35" t="n">
        <f aca="false">SUMIF('Raw - Sessions'!$R$5:$R$292,A138,'Raw - Sessions'!$P$5:$P$292)</f>
        <v>0</v>
      </c>
    </row>
    <row r="139" customFormat="false" ht="15" hidden="false" customHeight="false" outlineLevel="0" collapsed="false">
      <c r="A139" s="47" t="n">
        <f aca="false">'Raw - Daily Energy'!A134</f>
        <v>45979</v>
      </c>
      <c r="B139" s="15" t="n">
        <f aca="false">COUNTIF('Raw - Sessions'!$R$5:$R$292,A139)</f>
        <v>1</v>
      </c>
      <c r="C139" s="31" t="n">
        <f aca="false">SUMIF('Raw - Sessions'!$R$5:$R$292,A139,'Raw - Sessions'!$D$5:$D$292)</f>
        <v>1.405</v>
      </c>
      <c r="D139" s="31" t="n">
        <f aca="false">SUMIF('Raw - Sessions'!$R$5:$R$292,A139,'Raw - Sessions'!$E$5:$E$292)</f>
        <v>72.0289</v>
      </c>
      <c r="E139" s="31" t="n">
        <f aca="false">'Raw - Daily Energy'!B134</f>
        <v>72.029</v>
      </c>
      <c r="F139" s="37" t="n">
        <f aca="false">SUMIF('Raw - Sessions'!$R$5:$R$292,A139,'Raw - Sessions'!$P$5:$P$292)</f>
        <v>36.16</v>
      </c>
    </row>
    <row r="140" customFormat="false" ht="15" hidden="false" customHeight="false" outlineLevel="0" collapsed="false">
      <c r="A140" s="46" t="n">
        <f aca="false">'Raw - Daily Energy'!A135</f>
        <v>45980</v>
      </c>
      <c r="B140" s="13" t="n">
        <f aca="false">COUNTIF('Raw - Sessions'!$R$5:$R$292,A140)</f>
        <v>2</v>
      </c>
      <c r="C140" s="30" t="n">
        <f aca="false">SUMIF('Raw - Sessions'!$R$5:$R$292,A140,'Raw - Sessions'!$D$5:$D$292)</f>
        <v>1.99611111111111</v>
      </c>
      <c r="D140" s="30" t="n">
        <f aca="false">SUMIF('Raw - Sessions'!$R$5:$R$292,A140,'Raw - Sessions'!$E$5:$E$292)</f>
        <v>62.127401</v>
      </c>
      <c r="E140" s="30" t="n">
        <f aca="false">'Raw - Daily Energy'!B135</f>
        <v>62.127</v>
      </c>
      <c r="F140" s="35" t="n">
        <f aca="false">SUMIF('Raw - Sessions'!$R$5:$R$292,A140,'Raw - Sessions'!$P$5:$P$292)</f>
        <v>34.34</v>
      </c>
    </row>
    <row r="141" customFormat="false" ht="15" hidden="false" customHeight="false" outlineLevel="0" collapsed="false">
      <c r="A141" s="47" t="n">
        <f aca="false">'Raw - Daily Energy'!A136</f>
        <v>45981</v>
      </c>
      <c r="B141" s="15" t="n">
        <f aca="false">COUNTIF('Raw - Sessions'!$R$5:$R$292,A141)</f>
        <v>0</v>
      </c>
      <c r="C141" s="31" t="n">
        <f aca="false">SUMIF('Raw - Sessions'!$R$5:$R$292,A141,'Raw - Sessions'!$D$5:$D$292)</f>
        <v>0</v>
      </c>
      <c r="D141" s="31" t="n">
        <f aca="false">SUMIF('Raw - Sessions'!$R$5:$R$292,A141,'Raw - Sessions'!$E$5:$E$292)</f>
        <v>0</v>
      </c>
      <c r="E141" s="31" t="n">
        <f aca="false">'Raw - Daily Energy'!B136</f>
        <v>0</v>
      </c>
      <c r="F141" s="37" t="n">
        <f aca="false">SUMIF('Raw - Sessions'!$R$5:$R$292,A141,'Raw - Sessions'!$P$5:$P$292)</f>
        <v>0</v>
      </c>
    </row>
    <row r="142" customFormat="false" ht="15" hidden="false" customHeight="false" outlineLevel="0" collapsed="false">
      <c r="A142" s="46" t="n">
        <f aca="false">'Raw - Daily Energy'!A137</f>
        <v>45982</v>
      </c>
      <c r="B142" s="13" t="n">
        <f aca="false">COUNTIF('Raw - Sessions'!$R$5:$R$292,A142)</f>
        <v>0</v>
      </c>
      <c r="C142" s="30" t="n">
        <f aca="false">SUMIF('Raw - Sessions'!$R$5:$R$292,A142,'Raw - Sessions'!$D$5:$D$292)</f>
        <v>0</v>
      </c>
      <c r="D142" s="30" t="n">
        <f aca="false">SUMIF('Raw - Sessions'!$R$5:$R$292,A142,'Raw - Sessions'!$E$5:$E$292)</f>
        <v>0</v>
      </c>
      <c r="E142" s="30" t="n">
        <f aca="false">'Raw - Daily Energy'!B137</f>
        <v>0</v>
      </c>
      <c r="F142" s="35" t="n">
        <f aca="false">SUMIF('Raw - Sessions'!$R$5:$R$292,A142,'Raw - Sessions'!$P$5:$P$292)</f>
        <v>0</v>
      </c>
    </row>
    <row r="143" customFormat="false" ht="15" hidden="false" customHeight="false" outlineLevel="0" collapsed="false">
      <c r="A143" s="47" t="n">
        <f aca="false">'Raw - Daily Energy'!A138</f>
        <v>45983</v>
      </c>
      <c r="B143" s="15" t="n">
        <f aca="false">COUNTIF('Raw - Sessions'!$R$5:$R$292,A143)</f>
        <v>0</v>
      </c>
      <c r="C143" s="31" t="n">
        <f aca="false">SUMIF('Raw - Sessions'!$R$5:$R$292,A143,'Raw - Sessions'!$D$5:$D$292)</f>
        <v>0</v>
      </c>
      <c r="D143" s="31" t="n">
        <f aca="false">SUMIF('Raw - Sessions'!$R$5:$R$292,A143,'Raw - Sessions'!$E$5:$E$292)</f>
        <v>0</v>
      </c>
      <c r="E143" s="31" t="n">
        <f aca="false">'Raw - Daily Energy'!B138</f>
        <v>0</v>
      </c>
      <c r="F143" s="37" t="n">
        <f aca="false">SUMIF('Raw - Sessions'!$R$5:$R$292,A143,'Raw - Sessions'!$P$5:$P$292)</f>
        <v>0</v>
      </c>
    </row>
    <row r="144" customFormat="false" ht="15" hidden="false" customHeight="false" outlineLevel="0" collapsed="false">
      <c r="A144" s="46" t="n">
        <f aca="false">'Raw - Daily Energy'!A139</f>
        <v>45984</v>
      </c>
      <c r="B144" s="13" t="n">
        <f aca="false">COUNTIF('Raw - Sessions'!$R$5:$R$292,A144)</f>
        <v>0</v>
      </c>
      <c r="C144" s="30" t="n">
        <f aca="false">SUMIF('Raw - Sessions'!$R$5:$R$292,A144,'Raw - Sessions'!$D$5:$D$292)</f>
        <v>0</v>
      </c>
      <c r="D144" s="30" t="n">
        <f aca="false">SUMIF('Raw - Sessions'!$R$5:$R$292,A144,'Raw - Sessions'!$E$5:$E$292)</f>
        <v>0</v>
      </c>
      <c r="E144" s="30" t="n">
        <f aca="false">'Raw - Daily Energy'!B139</f>
        <v>0</v>
      </c>
      <c r="F144" s="35" t="n">
        <f aca="false">SUMIF('Raw - Sessions'!$R$5:$R$292,A144,'Raw - Sessions'!$P$5:$P$292)</f>
        <v>0</v>
      </c>
    </row>
    <row r="145" customFormat="false" ht="15" hidden="false" customHeight="false" outlineLevel="0" collapsed="false">
      <c r="A145" s="47" t="n">
        <f aca="false">'Raw - Daily Energy'!A140</f>
        <v>45985</v>
      </c>
      <c r="B145" s="15" t="n">
        <f aca="false">COUNTIF('Raw - Sessions'!$R$5:$R$292,A145)</f>
        <v>0</v>
      </c>
      <c r="C145" s="31" t="n">
        <f aca="false">SUMIF('Raw - Sessions'!$R$5:$R$292,A145,'Raw - Sessions'!$D$5:$D$292)</f>
        <v>0</v>
      </c>
      <c r="D145" s="31" t="n">
        <f aca="false">SUMIF('Raw - Sessions'!$R$5:$R$292,A145,'Raw - Sessions'!$E$5:$E$292)</f>
        <v>0</v>
      </c>
      <c r="E145" s="31" t="n">
        <f aca="false">'Raw - Daily Energy'!B140</f>
        <v>0</v>
      </c>
      <c r="F145" s="37" t="n">
        <f aca="false">SUMIF('Raw - Sessions'!$R$5:$R$292,A145,'Raw - Sessions'!$P$5:$P$292)</f>
        <v>0</v>
      </c>
    </row>
    <row r="146" customFormat="false" ht="15" hidden="false" customHeight="false" outlineLevel="0" collapsed="false">
      <c r="A146" s="46" t="n">
        <f aca="false">'Raw - Daily Energy'!A141</f>
        <v>45986</v>
      </c>
      <c r="B146" s="13" t="n">
        <f aca="false">COUNTIF('Raw - Sessions'!$R$5:$R$292,A146)</f>
        <v>0</v>
      </c>
      <c r="C146" s="30" t="n">
        <f aca="false">SUMIF('Raw - Sessions'!$R$5:$R$292,A146,'Raw - Sessions'!$D$5:$D$292)</f>
        <v>0</v>
      </c>
      <c r="D146" s="30" t="n">
        <f aca="false">SUMIF('Raw - Sessions'!$R$5:$R$292,A146,'Raw - Sessions'!$E$5:$E$292)</f>
        <v>0</v>
      </c>
      <c r="E146" s="30" t="n">
        <f aca="false">'Raw - Daily Energy'!B141</f>
        <v>0</v>
      </c>
      <c r="F146" s="35" t="n">
        <f aca="false">SUMIF('Raw - Sessions'!$R$5:$R$292,A146,'Raw - Sessions'!$P$5:$P$292)</f>
        <v>0</v>
      </c>
    </row>
    <row r="147" customFormat="false" ht="15" hidden="false" customHeight="false" outlineLevel="0" collapsed="false">
      <c r="A147" s="47" t="n">
        <f aca="false">'Raw - Daily Energy'!A142</f>
        <v>45987</v>
      </c>
      <c r="B147" s="15" t="n">
        <f aca="false">COUNTIF('Raw - Sessions'!$R$5:$R$292,A147)</f>
        <v>1</v>
      </c>
      <c r="C147" s="31" t="n">
        <f aca="false">SUMIF('Raw - Sessions'!$R$5:$R$292,A147,'Raw - Sessions'!$D$5:$D$292)</f>
        <v>0.0319444444444444</v>
      </c>
      <c r="D147" s="31" t="n">
        <f aca="false">SUMIF('Raw - Sessions'!$R$5:$R$292,A147,'Raw - Sessions'!$E$5:$E$292)</f>
        <v>0</v>
      </c>
      <c r="E147" s="31" t="n">
        <f aca="false">'Raw - Daily Energy'!B142</f>
        <v>0</v>
      </c>
      <c r="F147" s="37" t="n">
        <f aca="false">SUMIF('Raw - Sessions'!$R$5:$R$292,A147,'Raw - Sessions'!$P$5:$P$292)</f>
        <v>0</v>
      </c>
    </row>
    <row r="148" customFormat="false" ht="15" hidden="false" customHeight="false" outlineLevel="0" collapsed="false">
      <c r="A148" s="46" t="n">
        <f aca="false">'Raw - Daily Energy'!A143</f>
        <v>45988</v>
      </c>
      <c r="B148" s="13" t="n">
        <f aca="false">COUNTIF('Raw - Sessions'!$R$5:$R$292,A148)</f>
        <v>0</v>
      </c>
      <c r="C148" s="30" t="n">
        <f aca="false">SUMIF('Raw - Sessions'!$R$5:$R$292,A148,'Raw - Sessions'!$D$5:$D$292)</f>
        <v>0</v>
      </c>
      <c r="D148" s="30" t="n">
        <f aca="false">SUMIF('Raw - Sessions'!$R$5:$R$292,A148,'Raw - Sessions'!$E$5:$E$292)</f>
        <v>0</v>
      </c>
      <c r="E148" s="30" t="n">
        <f aca="false">'Raw - Daily Energy'!B143</f>
        <v>0</v>
      </c>
      <c r="F148" s="35" t="n">
        <f aca="false">SUMIF('Raw - Sessions'!$R$5:$R$292,A148,'Raw - Sessions'!$P$5:$P$292)</f>
        <v>0</v>
      </c>
    </row>
    <row r="149" customFormat="false" ht="15" hidden="false" customHeight="false" outlineLevel="0" collapsed="false">
      <c r="A149" s="47" t="n">
        <f aca="false">'Raw - Daily Energy'!A144</f>
        <v>45989</v>
      </c>
      <c r="B149" s="15" t="n">
        <f aca="false">COUNTIF('Raw - Sessions'!$R$5:$R$292,A149)</f>
        <v>3</v>
      </c>
      <c r="C149" s="31" t="n">
        <f aca="false">SUMIF('Raw - Sessions'!$R$5:$R$292,A149,'Raw - Sessions'!$D$5:$D$292)</f>
        <v>2.04194444444445</v>
      </c>
      <c r="D149" s="31" t="n">
        <f aca="false">SUMIF('Raw - Sessions'!$R$5:$R$292,A149,'Raw - Sessions'!$E$5:$E$292)</f>
        <v>119.159198</v>
      </c>
      <c r="E149" s="31" t="n">
        <f aca="false">'Raw - Daily Energy'!B144</f>
        <v>119.159</v>
      </c>
      <c r="F149" s="37" t="n">
        <f aca="false">SUMIF('Raw - Sessions'!$R$5:$R$292,A149,'Raw - Sessions'!$P$5:$P$292)</f>
        <v>58.69</v>
      </c>
    </row>
    <row r="150" customFormat="false" ht="15" hidden="false" customHeight="false" outlineLevel="0" collapsed="false">
      <c r="A150" s="46" t="n">
        <f aca="false">'Raw - Daily Energy'!A145</f>
        <v>45990</v>
      </c>
      <c r="B150" s="13" t="n">
        <f aca="false">COUNTIF('Raw - Sessions'!$R$5:$R$292,A150)</f>
        <v>2</v>
      </c>
      <c r="C150" s="30" t="n">
        <f aca="false">SUMIF('Raw - Sessions'!$R$5:$R$292,A150,'Raw - Sessions'!$D$5:$D$292)</f>
        <v>0.346666666666667</v>
      </c>
      <c r="D150" s="30" t="n">
        <f aca="false">SUMIF('Raw - Sessions'!$R$5:$R$292,A150,'Raw - Sessions'!$E$5:$E$292)</f>
        <v>2.312983</v>
      </c>
      <c r="E150" s="30" t="n">
        <f aca="false">'Raw - Daily Energy'!B145</f>
        <v>59.001</v>
      </c>
      <c r="F150" s="35" t="n">
        <f aca="false">SUMIF('Raw - Sessions'!$R$5:$R$292,A150,'Raw - Sessions'!$P$5:$P$292)</f>
        <v>2.29</v>
      </c>
    </row>
    <row r="151" customFormat="false" ht="15" hidden="false" customHeight="false" outlineLevel="0" collapsed="false">
      <c r="A151" s="47" t="n">
        <f aca="false">'Raw - Daily Energy'!A146</f>
        <v>45991</v>
      </c>
      <c r="B151" s="15" t="n">
        <f aca="false">COUNTIF('Raw - Sessions'!$R$5:$R$292,A151)</f>
        <v>3</v>
      </c>
      <c r="C151" s="31" t="n">
        <f aca="false">SUMIF('Raw - Sessions'!$R$5:$R$292,A151,'Raw - Sessions'!$D$5:$D$292)</f>
        <v>2.13388888888889</v>
      </c>
      <c r="D151" s="31" t="n">
        <f aca="false">SUMIF('Raw - Sessions'!$R$5:$R$292,A151,'Raw - Sessions'!$E$5:$E$292)</f>
        <v>83.410601</v>
      </c>
      <c r="E151" s="31" t="n">
        <f aca="false">'Raw - Daily Energy'!B146</f>
        <v>26.723</v>
      </c>
      <c r="F151" s="37" t="n">
        <f aca="false">SUMIF('Raw - Sessions'!$R$5:$R$292,A151,'Raw - Sessions'!$P$5:$P$292)</f>
        <v>43.91</v>
      </c>
    </row>
    <row r="152" customFormat="false" ht="15" hidden="false" customHeight="false" outlineLevel="0" collapsed="false">
      <c r="A152" s="46" t="n">
        <f aca="false">'Raw - Daily Energy'!A147</f>
        <v>45992</v>
      </c>
      <c r="B152" s="13" t="n">
        <f aca="false">COUNTIF('Raw - Sessions'!$R$5:$R$292,A152)</f>
        <v>2</v>
      </c>
      <c r="C152" s="30" t="n">
        <f aca="false">SUMIF('Raw - Sessions'!$R$5:$R$292,A152,'Raw - Sessions'!$D$5:$D$292)</f>
        <v>0.433055555555556</v>
      </c>
      <c r="D152" s="30" t="n">
        <f aca="false">SUMIF('Raw - Sessions'!$R$5:$R$292,A152,'Raw - Sessions'!$E$5:$E$292)</f>
        <v>25.139</v>
      </c>
      <c r="E152" s="30" t="n">
        <f aca="false">'Raw - Daily Energy'!B147</f>
        <v>25.139</v>
      </c>
      <c r="F152" s="35" t="n">
        <f aca="false">SUMIF('Raw - Sessions'!$R$5:$R$292,A152,'Raw - Sessions'!$P$5:$P$292)</f>
        <v>12.34</v>
      </c>
    </row>
    <row r="153" customFormat="false" ht="15" hidden="false" customHeight="false" outlineLevel="0" collapsed="false">
      <c r="A153" s="47" t="n">
        <f aca="false">'Raw - Daily Energy'!A148</f>
        <v>45993</v>
      </c>
      <c r="B153" s="15" t="n">
        <f aca="false">COUNTIF('Raw - Sessions'!$R$5:$R$292,A153)</f>
        <v>0</v>
      </c>
      <c r="C153" s="31" t="n">
        <f aca="false">SUMIF('Raw - Sessions'!$R$5:$R$292,A153,'Raw - Sessions'!$D$5:$D$292)</f>
        <v>0</v>
      </c>
      <c r="D153" s="31" t="n">
        <f aca="false">SUMIF('Raw - Sessions'!$R$5:$R$292,A153,'Raw - Sessions'!$E$5:$E$292)</f>
        <v>0</v>
      </c>
      <c r="E153" s="31" t="n">
        <f aca="false">'Raw - Daily Energy'!B148</f>
        <v>0</v>
      </c>
      <c r="F153" s="37" t="n">
        <f aca="false">SUMIF('Raw - Sessions'!$R$5:$R$292,A153,'Raw - Sessions'!$P$5:$P$292)</f>
        <v>0</v>
      </c>
    </row>
    <row r="154" customFormat="false" ht="15" hidden="false" customHeight="false" outlineLevel="0" collapsed="false">
      <c r="A154" s="46" t="n">
        <f aca="false">'Raw - Daily Energy'!A149</f>
        <v>45994</v>
      </c>
      <c r="B154" s="13" t="n">
        <f aca="false">COUNTIF('Raw - Sessions'!$R$5:$R$292,A154)</f>
        <v>0</v>
      </c>
      <c r="C154" s="30" t="n">
        <f aca="false">SUMIF('Raw - Sessions'!$R$5:$R$292,A154,'Raw - Sessions'!$D$5:$D$292)</f>
        <v>0</v>
      </c>
      <c r="D154" s="30" t="n">
        <f aca="false">SUMIF('Raw - Sessions'!$R$5:$R$292,A154,'Raw - Sessions'!$E$5:$E$292)</f>
        <v>0</v>
      </c>
      <c r="E154" s="30" t="n">
        <f aca="false">'Raw - Daily Energy'!B149</f>
        <v>0</v>
      </c>
      <c r="F154" s="35" t="n">
        <f aca="false">SUMIF('Raw - Sessions'!$R$5:$R$292,A154,'Raw - Sessions'!$P$5:$P$292)</f>
        <v>0</v>
      </c>
    </row>
    <row r="155" customFormat="false" ht="15" hidden="false" customHeight="false" outlineLevel="0" collapsed="false">
      <c r="A155" s="47" t="n">
        <f aca="false">'Raw - Daily Energy'!A150</f>
        <v>45995</v>
      </c>
      <c r="B155" s="15" t="n">
        <f aca="false">COUNTIF('Raw - Sessions'!$R$5:$R$292,A155)</f>
        <v>0</v>
      </c>
      <c r="C155" s="31" t="n">
        <f aca="false">SUMIF('Raw - Sessions'!$R$5:$R$292,A155,'Raw - Sessions'!$D$5:$D$292)</f>
        <v>0</v>
      </c>
      <c r="D155" s="31" t="n">
        <f aca="false">SUMIF('Raw - Sessions'!$R$5:$R$292,A155,'Raw - Sessions'!$E$5:$E$292)</f>
        <v>0</v>
      </c>
      <c r="E155" s="31" t="n">
        <f aca="false">'Raw - Daily Energy'!B150</f>
        <v>20.333</v>
      </c>
      <c r="F155" s="37" t="n">
        <f aca="false">SUMIF('Raw - Sessions'!$R$5:$R$292,A155,'Raw - Sessions'!$P$5:$P$292)</f>
        <v>0</v>
      </c>
    </row>
    <row r="156" customFormat="false" ht="15" hidden="false" customHeight="false" outlineLevel="0" collapsed="false">
      <c r="A156" s="46" t="n">
        <f aca="false">'Raw - Daily Energy'!A151</f>
        <v>45996</v>
      </c>
      <c r="B156" s="13" t="n">
        <f aca="false">COUNTIF('Raw - Sessions'!$R$5:$R$292,A156)</f>
        <v>1</v>
      </c>
      <c r="C156" s="30" t="n">
        <f aca="false">SUMIF('Raw - Sessions'!$R$5:$R$292,A156,'Raw - Sessions'!$D$5:$D$292)</f>
        <v>0.551666666666667</v>
      </c>
      <c r="D156" s="30" t="n">
        <f aca="false">SUMIF('Raw - Sessions'!$R$5:$R$292,A156,'Raw - Sessions'!$E$5:$E$292)</f>
        <v>20.3325</v>
      </c>
      <c r="E156" s="30" t="n">
        <f aca="false">'Raw - Daily Energy'!B151</f>
        <v>0</v>
      </c>
      <c r="F156" s="35" t="n">
        <f aca="false">SUMIF('Raw - Sessions'!$R$5:$R$292,A156,'Raw - Sessions'!$P$5:$P$292)</f>
        <v>10.83</v>
      </c>
    </row>
    <row r="157" customFormat="false" ht="15" hidden="false" customHeight="false" outlineLevel="0" collapsed="false">
      <c r="A157" s="47" t="n">
        <f aca="false">'Raw - Daily Energy'!A152</f>
        <v>45997</v>
      </c>
      <c r="B157" s="15" t="n">
        <f aca="false">COUNTIF('Raw - Sessions'!$R$5:$R$292,A157)</f>
        <v>0</v>
      </c>
      <c r="C157" s="31" t="n">
        <f aca="false">SUMIF('Raw - Sessions'!$R$5:$R$292,A157,'Raw - Sessions'!$D$5:$D$292)</f>
        <v>0</v>
      </c>
      <c r="D157" s="31" t="n">
        <f aca="false">SUMIF('Raw - Sessions'!$R$5:$R$292,A157,'Raw - Sessions'!$E$5:$E$292)</f>
        <v>0</v>
      </c>
      <c r="E157" s="31" t="n">
        <f aca="false">'Raw - Daily Energy'!B152</f>
        <v>0</v>
      </c>
      <c r="F157" s="37" t="n">
        <f aca="false">SUMIF('Raw - Sessions'!$R$5:$R$292,A157,'Raw - Sessions'!$P$5:$P$292)</f>
        <v>0</v>
      </c>
    </row>
    <row r="158" customFormat="false" ht="15" hidden="false" customHeight="false" outlineLevel="0" collapsed="false">
      <c r="A158" s="46" t="n">
        <f aca="false">'Raw - Daily Energy'!A153</f>
        <v>45998</v>
      </c>
      <c r="B158" s="13" t="n">
        <f aca="false">COUNTIF('Raw - Sessions'!$R$5:$R$292,A158)</f>
        <v>0</v>
      </c>
      <c r="C158" s="30" t="n">
        <f aca="false">SUMIF('Raw - Sessions'!$R$5:$R$292,A158,'Raw - Sessions'!$D$5:$D$292)</f>
        <v>0</v>
      </c>
      <c r="D158" s="30" t="n">
        <f aca="false">SUMIF('Raw - Sessions'!$R$5:$R$292,A158,'Raw - Sessions'!$E$5:$E$292)</f>
        <v>0</v>
      </c>
      <c r="E158" s="30" t="n">
        <f aca="false">'Raw - Daily Energy'!B153</f>
        <v>0</v>
      </c>
      <c r="F158" s="35" t="n">
        <f aca="false">SUMIF('Raw - Sessions'!$R$5:$R$292,A158,'Raw - Sessions'!$P$5:$P$292)</f>
        <v>0</v>
      </c>
    </row>
    <row r="159" customFormat="false" ht="15" hidden="false" customHeight="false" outlineLevel="0" collapsed="false">
      <c r="A159" s="47" t="n">
        <f aca="false">'Raw - Daily Energy'!A154</f>
        <v>45999</v>
      </c>
      <c r="B159" s="15" t="n">
        <f aca="false">COUNTIF('Raw - Sessions'!$R$5:$R$292,A159)</f>
        <v>0</v>
      </c>
      <c r="C159" s="31" t="n">
        <f aca="false">SUMIF('Raw - Sessions'!$R$5:$R$292,A159,'Raw - Sessions'!$D$5:$D$292)</f>
        <v>0</v>
      </c>
      <c r="D159" s="31" t="n">
        <f aca="false">SUMIF('Raw - Sessions'!$R$5:$R$292,A159,'Raw - Sessions'!$E$5:$E$292)</f>
        <v>0</v>
      </c>
      <c r="E159" s="31" t="n">
        <f aca="false">'Raw - Daily Energy'!B154</f>
        <v>0</v>
      </c>
      <c r="F159" s="37" t="n">
        <f aca="false">SUMIF('Raw - Sessions'!$R$5:$R$292,A159,'Raw - Sessions'!$P$5:$P$292)</f>
        <v>0</v>
      </c>
    </row>
    <row r="160" customFormat="false" ht="15" hidden="false" customHeight="false" outlineLevel="0" collapsed="false">
      <c r="A160" s="46" t="n">
        <f aca="false">'Raw - Daily Energy'!A155</f>
        <v>46000</v>
      </c>
      <c r="B160" s="13" t="n">
        <f aca="false">COUNTIF('Raw - Sessions'!$R$5:$R$292,A160)</f>
        <v>0</v>
      </c>
      <c r="C160" s="30" t="n">
        <f aca="false">SUMIF('Raw - Sessions'!$R$5:$R$292,A160,'Raw - Sessions'!$D$5:$D$292)</f>
        <v>0</v>
      </c>
      <c r="D160" s="30" t="n">
        <f aca="false">SUMIF('Raw - Sessions'!$R$5:$R$292,A160,'Raw - Sessions'!$E$5:$E$292)</f>
        <v>0</v>
      </c>
      <c r="E160" s="30" t="n">
        <f aca="false">'Raw - Daily Energy'!B155</f>
        <v>49.421</v>
      </c>
      <c r="F160" s="35" t="n">
        <f aca="false">SUMIF('Raw - Sessions'!$R$5:$R$292,A160,'Raw - Sessions'!$P$5:$P$292)</f>
        <v>0</v>
      </c>
    </row>
    <row r="161" customFormat="false" ht="15" hidden="false" customHeight="false" outlineLevel="0" collapsed="false">
      <c r="A161" s="47" t="n">
        <f aca="false">'Raw - Daily Energy'!A156</f>
        <v>46001</v>
      </c>
      <c r="B161" s="15" t="n">
        <f aca="false">COUNTIF('Raw - Sessions'!$R$5:$R$292,A161)</f>
        <v>1</v>
      </c>
      <c r="C161" s="31" t="n">
        <f aca="false">SUMIF('Raw - Sessions'!$R$5:$R$292,A161,'Raw - Sessions'!$D$5:$D$292)</f>
        <v>0.824722222222222</v>
      </c>
      <c r="D161" s="31" t="n">
        <f aca="false">SUMIF('Raw - Sessions'!$R$5:$R$292,A161,'Raw - Sessions'!$E$5:$E$292)</f>
        <v>49.4212</v>
      </c>
      <c r="E161" s="31" t="n">
        <f aca="false">'Raw - Daily Energy'!B156</f>
        <v>29.438</v>
      </c>
      <c r="F161" s="37" t="n">
        <f aca="false">SUMIF('Raw - Sessions'!$R$5:$R$292,A161,'Raw - Sessions'!$P$5:$P$292)</f>
        <v>24.26</v>
      </c>
    </row>
    <row r="162" customFormat="false" ht="15" hidden="false" customHeight="false" outlineLevel="0" collapsed="false">
      <c r="A162" s="46" t="n">
        <f aca="false">'Raw - Daily Energy'!A157</f>
        <v>46002</v>
      </c>
      <c r="B162" s="13" t="n">
        <f aca="false">COUNTIF('Raw - Sessions'!$R$5:$R$292,A162)</f>
        <v>1</v>
      </c>
      <c r="C162" s="30" t="n">
        <f aca="false">SUMIF('Raw - Sessions'!$R$5:$R$292,A162,'Raw - Sessions'!$D$5:$D$292)</f>
        <v>0.508611111111111</v>
      </c>
      <c r="D162" s="30" t="n">
        <f aca="false">SUMIF('Raw - Sessions'!$R$5:$R$292,A162,'Raw - Sessions'!$E$5:$E$292)</f>
        <v>29.437799</v>
      </c>
      <c r="E162" s="30" t="n">
        <f aca="false">'Raw - Daily Energy'!B157</f>
        <v>0</v>
      </c>
      <c r="F162" s="35" t="n">
        <f aca="false">SUMIF('Raw - Sessions'!$R$5:$R$292,A162,'Raw - Sessions'!$P$5:$P$292)</f>
        <v>14.52</v>
      </c>
    </row>
    <row r="163" customFormat="false" ht="15" hidden="false" customHeight="false" outlineLevel="0" collapsed="false">
      <c r="A163" s="47" t="n">
        <f aca="false">'Raw - Daily Energy'!A158</f>
        <v>46003</v>
      </c>
      <c r="B163" s="15" t="n">
        <f aca="false">COUNTIF('Raw - Sessions'!$R$5:$R$292,A163)</f>
        <v>1</v>
      </c>
      <c r="C163" s="31" t="n">
        <f aca="false">SUMIF('Raw - Sessions'!$R$5:$R$292,A163,'Raw - Sessions'!$D$5:$D$292)</f>
        <v>0.0769444444444444</v>
      </c>
      <c r="D163" s="31" t="n">
        <f aca="false">SUMIF('Raw - Sessions'!$R$5:$R$292,A163,'Raw - Sessions'!$E$5:$E$292)</f>
        <v>3.4989</v>
      </c>
      <c r="E163" s="31" t="n">
        <f aca="false">'Raw - Daily Energy'!B158</f>
        <v>3.499</v>
      </c>
      <c r="F163" s="37" t="n">
        <f aca="false">SUMIF('Raw - Sessions'!$R$5:$R$292,A163,'Raw - Sessions'!$P$5:$P$292)</f>
        <v>1.79</v>
      </c>
    </row>
    <row r="164" customFormat="false" ht="15" hidden="false" customHeight="false" outlineLevel="0" collapsed="false">
      <c r="A164" s="46" t="n">
        <f aca="false">'Raw - Daily Energy'!A159</f>
        <v>46004</v>
      </c>
      <c r="B164" s="13" t="n">
        <f aca="false">COUNTIF('Raw - Sessions'!$R$5:$R$292,A164)</f>
        <v>1</v>
      </c>
      <c r="C164" s="30" t="n">
        <f aca="false">SUMIF('Raw - Sessions'!$R$5:$R$292,A164,'Raw - Sessions'!$D$5:$D$292)</f>
        <v>9.05888888888889</v>
      </c>
      <c r="D164" s="30" t="n">
        <f aca="false">SUMIF('Raw - Sessions'!$R$5:$R$292,A164,'Raw - Sessions'!$E$5:$E$292)</f>
        <v>62.976509</v>
      </c>
      <c r="E164" s="30" t="n">
        <f aca="false">'Raw - Daily Energy'!B159</f>
        <v>62.977</v>
      </c>
      <c r="F164" s="35" t="n">
        <f aca="false">SUMIF('Raw - Sessions'!$R$5:$R$292,A164,'Raw - Sessions'!$P$5:$P$292)</f>
        <v>63.93</v>
      </c>
    </row>
    <row r="165" customFormat="false" ht="15" hidden="false" customHeight="false" outlineLevel="0" collapsed="false">
      <c r="A165" s="47" t="n">
        <f aca="false">'Raw - Daily Energy'!A160</f>
        <v>46005</v>
      </c>
      <c r="B165" s="15" t="n">
        <f aca="false">COUNTIF('Raw - Sessions'!$R$5:$R$292,A165)</f>
        <v>0</v>
      </c>
      <c r="C165" s="31" t="n">
        <f aca="false">SUMIF('Raw - Sessions'!$R$5:$R$292,A165,'Raw - Sessions'!$D$5:$D$292)</f>
        <v>0</v>
      </c>
      <c r="D165" s="31" t="n">
        <f aca="false">SUMIF('Raw - Sessions'!$R$5:$R$292,A165,'Raw - Sessions'!$E$5:$E$292)</f>
        <v>0</v>
      </c>
      <c r="E165" s="31" t="n">
        <f aca="false">'Raw - Daily Energy'!B160</f>
        <v>22.838</v>
      </c>
      <c r="F165" s="37" t="n">
        <f aca="false">SUMIF('Raw - Sessions'!$R$5:$R$292,A165,'Raw - Sessions'!$P$5:$P$292)</f>
        <v>0</v>
      </c>
    </row>
    <row r="166" customFormat="false" ht="15" hidden="false" customHeight="false" outlineLevel="0" collapsed="false">
      <c r="A166" s="46" t="n">
        <f aca="false">'Raw - Daily Energy'!A161</f>
        <v>46006</v>
      </c>
      <c r="B166" s="13" t="n">
        <f aca="false">COUNTIF('Raw - Sessions'!$R$5:$R$292,A166)</f>
        <v>2</v>
      </c>
      <c r="C166" s="30" t="n">
        <f aca="false">SUMIF('Raw - Sessions'!$R$5:$R$292,A166,'Raw - Sessions'!$D$5:$D$292)</f>
        <v>0.578055555555556</v>
      </c>
      <c r="D166" s="30" t="n">
        <f aca="false">SUMIF('Raw - Sessions'!$R$5:$R$292,A166,'Raw - Sessions'!$E$5:$E$292)</f>
        <v>24.203601</v>
      </c>
      <c r="E166" s="30" t="n">
        <f aca="false">'Raw - Daily Energy'!B161</f>
        <v>1.366</v>
      </c>
      <c r="F166" s="35" t="n">
        <f aca="false">SUMIF('Raw - Sessions'!$R$5:$R$292,A166,'Raw - Sessions'!$P$5:$P$292)</f>
        <v>12.58</v>
      </c>
    </row>
    <row r="167" customFormat="false" ht="15" hidden="false" customHeight="false" outlineLevel="0" collapsed="false">
      <c r="A167" s="47" t="n">
        <f aca="false">'Raw - Daily Energy'!A162</f>
        <v>46007</v>
      </c>
      <c r="B167" s="15" t="n">
        <f aca="false">COUNTIF('Raw - Sessions'!$R$5:$R$292,A167)</f>
        <v>0</v>
      </c>
      <c r="C167" s="31" t="n">
        <f aca="false">SUMIF('Raw - Sessions'!$R$5:$R$292,A167,'Raw - Sessions'!$D$5:$D$292)</f>
        <v>0</v>
      </c>
      <c r="D167" s="31" t="n">
        <f aca="false">SUMIF('Raw - Sessions'!$R$5:$R$292,A167,'Raw - Sessions'!$E$5:$E$292)</f>
        <v>0</v>
      </c>
      <c r="E167" s="31" t="n">
        <f aca="false">'Raw - Daily Energy'!B162</f>
        <v>39.279</v>
      </c>
      <c r="F167" s="37" t="n">
        <f aca="false">SUMIF('Raw - Sessions'!$R$5:$R$292,A167,'Raw - Sessions'!$P$5:$P$292)</f>
        <v>0</v>
      </c>
    </row>
    <row r="168" customFormat="false" ht="15" hidden="false" customHeight="false" outlineLevel="0" collapsed="false">
      <c r="A168" s="46" t="n">
        <f aca="false">'Raw - Daily Energy'!A163</f>
        <v>46008</v>
      </c>
      <c r="B168" s="13" t="n">
        <f aca="false">COUNTIF('Raw - Sessions'!$R$5:$R$292,A168)</f>
        <v>1</v>
      </c>
      <c r="C168" s="30" t="n">
        <f aca="false">SUMIF('Raw - Sessions'!$R$5:$R$292,A168,'Raw - Sessions'!$D$5:$D$292)</f>
        <v>0.839722222222222</v>
      </c>
      <c r="D168" s="30" t="n">
        <f aca="false">SUMIF('Raw - Sessions'!$R$5:$R$292,A168,'Raw - Sessions'!$E$5:$E$292)</f>
        <v>39.279499</v>
      </c>
      <c r="E168" s="30" t="n">
        <f aca="false">'Raw - Daily Energy'!B163</f>
        <v>0</v>
      </c>
      <c r="F168" s="35" t="n">
        <f aca="false">SUMIF('Raw - Sessions'!$R$5:$R$292,A168,'Raw - Sessions'!$P$5:$P$292)</f>
        <v>20.01</v>
      </c>
    </row>
    <row r="169" customFormat="false" ht="15" hidden="false" customHeight="false" outlineLevel="0" collapsed="false">
      <c r="A169" s="47" t="n">
        <f aca="false">'Raw - Daily Energy'!A164</f>
        <v>46009</v>
      </c>
      <c r="B169" s="15" t="n">
        <f aca="false">COUNTIF('Raw - Sessions'!$R$5:$R$292,A169)</f>
        <v>1</v>
      </c>
      <c r="C169" s="31" t="n">
        <f aca="false">SUMIF('Raw - Sessions'!$R$5:$R$292,A169,'Raw - Sessions'!$D$5:$D$292)</f>
        <v>0.399722222222222</v>
      </c>
      <c r="D169" s="31" t="n">
        <f aca="false">SUMIF('Raw - Sessions'!$R$5:$R$292,A169,'Raw - Sessions'!$E$5:$E$292)</f>
        <v>18.4666</v>
      </c>
      <c r="E169" s="31" t="n">
        <f aca="false">'Raw - Daily Energy'!B164</f>
        <v>18.467</v>
      </c>
      <c r="F169" s="37" t="n">
        <f aca="false">SUMIF('Raw - Sessions'!$R$5:$R$292,A169,'Raw - Sessions'!$P$5:$P$292)</f>
        <v>9.43</v>
      </c>
    </row>
    <row r="170" customFormat="false" ht="15" hidden="false" customHeight="false" outlineLevel="0" collapsed="false">
      <c r="A170" s="46" t="n">
        <f aca="false">'Raw - Daily Energy'!A165</f>
        <v>46010</v>
      </c>
      <c r="B170" s="13" t="n">
        <f aca="false">COUNTIF('Raw - Sessions'!$R$5:$R$292,A170)</f>
        <v>0</v>
      </c>
      <c r="C170" s="30" t="n">
        <f aca="false">SUMIF('Raw - Sessions'!$R$5:$R$292,A170,'Raw - Sessions'!$D$5:$D$292)</f>
        <v>0</v>
      </c>
      <c r="D170" s="30" t="n">
        <f aca="false">SUMIF('Raw - Sessions'!$R$5:$R$292,A170,'Raw - Sessions'!$E$5:$E$292)</f>
        <v>0</v>
      </c>
      <c r="E170" s="30" t="n">
        <f aca="false">'Raw - Daily Energy'!B165</f>
        <v>0</v>
      </c>
      <c r="F170" s="35" t="n">
        <f aca="false">SUMIF('Raw - Sessions'!$R$5:$R$292,A170,'Raw - Sessions'!$P$5:$P$292)</f>
        <v>0</v>
      </c>
    </row>
    <row r="171" customFormat="false" ht="15" hidden="false" customHeight="false" outlineLevel="0" collapsed="false">
      <c r="A171" s="47" t="n">
        <f aca="false">'Raw - Daily Energy'!A166</f>
        <v>46011</v>
      </c>
      <c r="B171" s="15" t="n">
        <f aca="false">COUNTIF('Raw - Sessions'!$R$5:$R$292,A171)</f>
        <v>3</v>
      </c>
      <c r="C171" s="31" t="n">
        <f aca="false">SUMIF('Raw - Sessions'!$R$5:$R$292,A171,'Raw - Sessions'!$D$5:$D$292)</f>
        <v>1.94388888888889</v>
      </c>
      <c r="D171" s="31" t="n">
        <f aca="false">SUMIF('Raw - Sessions'!$R$5:$R$292,A171,'Raw - Sessions'!$E$5:$E$292)</f>
        <v>43.572829</v>
      </c>
      <c r="E171" s="31" t="n">
        <f aca="false">'Raw - Daily Energy'!B166</f>
        <v>43.573</v>
      </c>
      <c r="F171" s="37" t="n">
        <f aca="false">SUMIF('Raw - Sessions'!$R$5:$R$292,A171,'Raw - Sessions'!$P$5:$P$292)</f>
        <v>27.25</v>
      </c>
    </row>
    <row r="172" customFormat="false" ht="15" hidden="false" customHeight="false" outlineLevel="0" collapsed="false">
      <c r="A172" s="46" t="n">
        <f aca="false">'Raw - Daily Energy'!A167</f>
        <v>46012</v>
      </c>
      <c r="B172" s="13" t="n">
        <f aca="false">COUNTIF('Raw - Sessions'!$R$5:$R$292,A172)</f>
        <v>4</v>
      </c>
      <c r="C172" s="30" t="n">
        <f aca="false">SUMIF('Raw - Sessions'!$R$5:$R$292,A172,'Raw - Sessions'!$D$5:$D$292)</f>
        <v>7.59888888888889</v>
      </c>
      <c r="D172" s="30" t="n">
        <f aca="false">SUMIF('Raw - Sessions'!$R$5:$R$292,A172,'Raw - Sessions'!$E$5:$E$292)</f>
        <v>91.667467</v>
      </c>
      <c r="E172" s="30" t="n">
        <f aca="false">'Raw - Daily Energy'!B167</f>
        <v>168.423</v>
      </c>
      <c r="F172" s="35" t="n">
        <f aca="false">SUMIF('Raw - Sessions'!$R$5:$R$292,A172,'Raw - Sessions'!$P$5:$P$292)</f>
        <v>69.15</v>
      </c>
    </row>
    <row r="173" customFormat="false" ht="15" hidden="false" customHeight="false" outlineLevel="0" collapsed="false">
      <c r="A173" s="47" t="n">
        <f aca="false">'Raw - Daily Energy'!A168</f>
        <v>46013</v>
      </c>
      <c r="B173" s="15" t="n">
        <f aca="false">COUNTIF('Raw - Sessions'!$R$5:$R$292,A173)</f>
        <v>6</v>
      </c>
      <c r="C173" s="31" t="n">
        <f aca="false">SUMIF('Raw - Sessions'!$R$5:$R$292,A173,'Raw - Sessions'!$D$5:$D$292)</f>
        <v>7.88444444444444</v>
      </c>
      <c r="D173" s="31" t="n">
        <f aca="false">SUMIF('Raw - Sessions'!$R$5:$R$292,A173,'Raw - Sessions'!$E$5:$E$292)</f>
        <v>156.570455</v>
      </c>
      <c r="E173" s="31" t="n">
        <f aca="false">'Raw - Daily Energy'!B168</f>
        <v>79.815</v>
      </c>
      <c r="F173" s="37" t="n">
        <f aca="false">SUMIF('Raw - Sessions'!$R$5:$R$292,A173,'Raw - Sessions'!$P$5:$P$292)</f>
        <v>98.63</v>
      </c>
    </row>
    <row r="174" customFormat="false" ht="15" hidden="false" customHeight="false" outlineLevel="0" collapsed="false">
      <c r="A174" s="46" t="n">
        <f aca="false">'Raw - Daily Energy'!A169</f>
        <v>46014</v>
      </c>
      <c r="B174" s="13" t="n">
        <f aca="false">COUNTIF('Raw - Sessions'!$R$5:$R$292,A174)</f>
        <v>1</v>
      </c>
      <c r="C174" s="30" t="n">
        <f aca="false">SUMIF('Raw - Sessions'!$R$5:$R$292,A174,'Raw - Sessions'!$D$5:$D$292)</f>
        <v>4.57</v>
      </c>
      <c r="D174" s="30" t="n">
        <f aca="false">SUMIF('Raw - Sessions'!$R$5:$R$292,A174,'Raw - Sessions'!$E$5:$E$292)</f>
        <v>50.118999</v>
      </c>
      <c r="E174" s="30" t="n">
        <f aca="false">'Raw - Daily Energy'!B169</f>
        <v>50.119</v>
      </c>
      <c r="F174" s="35" t="n">
        <f aca="false">SUMIF('Raw - Sessions'!$R$5:$R$292,A174,'Raw - Sessions'!$P$5:$P$292)</f>
        <v>39.53</v>
      </c>
    </row>
    <row r="175" customFormat="false" ht="15" hidden="false" customHeight="false" outlineLevel="0" collapsed="false">
      <c r="A175" s="47" t="n">
        <f aca="false">'Raw - Daily Energy'!A170</f>
        <v>46015</v>
      </c>
      <c r="B175" s="15" t="n">
        <f aca="false">COUNTIF('Raw - Sessions'!$R$5:$R$292,A175)</f>
        <v>0</v>
      </c>
      <c r="C175" s="31" t="n">
        <f aca="false">SUMIF('Raw - Sessions'!$R$5:$R$292,A175,'Raw - Sessions'!$D$5:$D$292)</f>
        <v>0</v>
      </c>
      <c r="D175" s="31" t="n">
        <f aca="false">SUMIF('Raw - Sessions'!$R$5:$R$292,A175,'Raw - Sessions'!$E$5:$E$292)</f>
        <v>0</v>
      </c>
      <c r="E175" s="31" t="n">
        <f aca="false">'Raw - Daily Energy'!B170</f>
        <v>0</v>
      </c>
      <c r="F175" s="37" t="n">
        <f aca="false">SUMIF('Raw - Sessions'!$R$5:$R$292,A175,'Raw - Sessions'!$P$5:$P$292)</f>
        <v>0</v>
      </c>
    </row>
    <row r="176" customFormat="false" ht="15" hidden="false" customHeight="false" outlineLevel="0" collapsed="false">
      <c r="A176" s="46" t="n">
        <f aca="false">'Raw - Daily Energy'!A171</f>
        <v>46016</v>
      </c>
      <c r="B176" s="13" t="n">
        <f aca="false">COUNTIF('Raw - Sessions'!$R$5:$R$292,A176)</f>
        <v>0</v>
      </c>
      <c r="C176" s="30" t="n">
        <f aca="false">SUMIF('Raw - Sessions'!$R$5:$R$292,A176,'Raw - Sessions'!$D$5:$D$292)</f>
        <v>0</v>
      </c>
      <c r="D176" s="30" t="n">
        <f aca="false">SUMIF('Raw - Sessions'!$R$5:$R$292,A176,'Raw - Sessions'!$E$5:$E$292)</f>
        <v>0</v>
      </c>
      <c r="E176" s="30" t="n">
        <f aca="false">'Raw - Daily Energy'!B171</f>
        <v>0</v>
      </c>
      <c r="F176" s="35" t="n">
        <f aca="false">SUMIF('Raw - Sessions'!$R$5:$R$292,A176,'Raw - Sessions'!$P$5:$P$292)</f>
        <v>0</v>
      </c>
    </row>
    <row r="177" customFormat="false" ht="15" hidden="false" customHeight="false" outlineLevel="0" collapsed="false">
      <c r="A177" s="47" t="n">
        <f aca="false">'Raw - Daily Energy'!A172</f>
        <v>46017</v>
      </c>
      <c r="B177" s="15" t="n">
        <f aca="false">COUNTIF('Raw - Sessions'!$R$5:$R$292,A177)</f>
        <v>4</v>
      </c>
      <c r="C177" s="31" t="n">
        <f aca="false">SUMIF('Raw - Sessions'!$R$5:$R$292,A177,'Raw - Sessions'!$D$5:$D$292)</f>
        <v>0.428611111111111</v>
      </c>
      <c r="D177" s="31" t="n">
        <f aca="false">SUMIF('Raw - Sessions'!$R$5:$R$292,A177,'Raw - Sessions'!$E$5:$E$292)</f>
        <v>19.7619</v>
      </c>
      <c r="E177" s="31" t="n">
        <f aca="false">'Raw - Daily Energy'!B172</f>
        <v>19.762</v>
      </c>
      <c r="F177" s="37" t="n">
        <f aca="false">SUMIF('Raw - Sessions'!$R$5:$R$292,A177,'Raw - Sessions'!$P$5:$P$292)</f>
        <v>9.75</v>
      </c>
    </row>
    <row r="178" customFormat="false" ht="15" hidden="false" customHeight="false" outlineLevel="0" collapsed="false">
      <c r="A178" s="46" t="n">
        <f aca="false">'Raw - Daily Energy'!A173</f>
        <v>46018</v>
      </c>
      <c r="B178" s="13" t="n">
        <f aca="false">COUNTIF('Raw - Sessions'!$R$5:$R$292,A178)</f>
        <v>2</v>
      </c>
      <c r="C178" s="30" t="n">
        <f aca="false">SUMIF('Raw - Sessions'!$R$5:$R$292,A178,'Raw - Sessions'!$D$5:$D$292)</f>
        <v>2.13944444444444</v>
      </c>
      <c r="D178" s="30" t="n">
        <f aca="false">SUMIF('Raw - Sessions'!$R$5:$R$292,A178,'Raw - Sessions'!$E$5:$E$292)</f>
        <v>81.035004</v>
      </c>
      <c r="E178" s="30" t="n">
        <f aca="false">'Raw - Daily Energy'!B173</f>
        <v>81.035</v>
      </c>
      <c r="F178" s="35" t="n">
        <f aca="false">SUMIF('Raw - Sessions'!$R$5:$R$292,A178,'Raw - Sessions'!$P$5:$P$292)</f>
        <v>42.93</v>
      </c>
    </row>
    <row r="179" customFormat="false" ht="15" hidden="false" customHeight="false" outlineLevel="0" collapsed="false">
      <c r="A179" s="47" t="n">
        <f aca="false">'Raw - Daily Energy'!A174</f>
        <v>46019</v>
      </c>
      <c r="B179" s="15" t="n">
        <f aca="false">COUNTIF('Raw - Sessions'!$R$5:$R$292,A179)</f>
        <v>1</v>
      </c>
      <c r="C179" s="31" t="n">
        <f aca="false">SUMIF('Raw - Sessions'!$R$5:$R$292,A179,'Raw - Sessions'!$D$5:$D$292)</f>
        <v>0.756111111111111</v>
      </c>
      <c r="D179" s="31" t="n">
        <f aca="false">SUMIF('Raw - Sessions'!$R$5:$R$292,A179,'Raw - Sessions'!$E$5:$E$292)</f>
        <v>18.436001</v>
      </c>
      <c r="E179" s="31" t="n">
        <f aca="false">'Raw - Daily Energy'!B174</f>
        <v>18.436</v>
      </c>
      <c r="F179" s="37" t="n">
        <f aca="false">SUMIF('Raw - Sessions'!$R$5:$R$292,A179,'Raw - Sessions'!$P$5:$P$292)</f>
        <v>10.83</v>
      </c>
    </row>
    <row r="180" customFormat="false" ht="15" hidden="false" customHeight="false" outlineLevel="0" collapsed="false">
      <c r="A180" s="46" t="n">
        <f aca="false">'Raw - Daily Energy'!A175</f>
        <v>46020</v>
      </c>
      <c r="B180" s="13" t="n">
        <f aca="false">COUNTIF('Raw - Sessions'!$R$5:$R$292,A180)</f>
        <v>1</v>
      </c>
      <c r="C180" s="30" t="n">
        <f aca="false">SUMIF('Raw - Sessions'!$R$5:$R$292,A180,'Raw - Sessions'!$D$5:$D$292)</f>
        <v>0.906666666666667</v>
      </c>
      <c r="D180" s="30" t="n">
        <f aca="false">SUMIF('Raw - Sessions'!$R$5:$R$292,A180,'Raw - Sessions'!$E$5:$E$292)</f>
        <v>30.217699</v>
      </c>
      <c r="E180" s="30" t="n">
        <f aca="false">'Raw - Daily Energy'!B175</f>
        <v>30.218</v>
      </c>
      <c r="F180" s="35" t="n">
        <f aca="false">SUMIF('Raw - Sessions'!$R$5:$R$292,A180,'Raw - Sessions'!$P$5:$P$292)</f>
        <v>11.89</v>
      </c>
    </row>
    <row r="181" customFormat="false" ht="15" hidden="false" customHeight="false" outlineLevel="0" collapsed="false">
      <c r="A181" s="47" t="n">
        <f aca="false">'Raw - Daily Energy'!A176</f>
        <v>46021</v>
      </c>
      <c r="B181" s="15" t="n">
        <f aca="false">COUNTIF('Raw - Sessions'!$R$5:$R$292,A181)</f>
        <v>0</v>
      </c>
      <c r="C181" s="31" t="n">
        <f aca="false">SUMIF('Raw - Sessions'!$R$5:$R$292,A181,'Raw - Sessions'!$D$5:$D$292)</f>
        <v>0</v>
      </c>
      <c r="D181" s="31" t="n">
        <f aca="false">SUMIF('Raw - Sessions'!$R$5:$R$292,A181,'Raw - Sessions'!$E$5:$E$292)</f>
        <v>0</v>
      </c>
      <c r="E181" s="31" t="n">
        <f aca="false">'Raw - Daily Energy'!B176</f>
        <v>0</v>
      </c>
      <c r="F181" s="37" t="n">
        <f aca="false">SUMIF('Raw - Sessions'!$R$5:$R$292,A181,'Raw - Sessions'!$P$5:$P$292)</f>
        <v>0</v>
      </c>
    </row>
    <row r="182" customFormat="false" ht="15" hidden="false" customHeight="false" outlineLevel="0" collapsed="false">
      <c r="A182" s="46" t="n">
        <f aca="false">'Raw - Daily Energy'!A177</f>
        <v>46022</v>
      </c>
      <c r="B182" s="13" t="n">
        <f aca="false">COUNTIF('Raw - Sessions'!$R$5:$R$292,A182)</f>
        <v>0</v>
      </c>
      <c r="C182" s="30" t="n">
        <f aca="false">SUMIF('Raw - Sessions'!$R$5:$R$292,A182,'Raw - Sessions'!$D$5:$D$292)</f>
        <v>0</v>
      </c>
      <c r="D182" s="30" t="n">
        <f aca="false">SUMIF('Raw - Sessions'!$R$5:$R$292,A182,'Raw - Sessions'!$E$5:$E$292)</f>
        <v>0</v>
      </c>
      <c r="E182" s="30" t="n">
        <f aca="false">'Raw - Daily Energy'!B177</f>
        <v>0</v>
      </c>
      <c r="F182" s="35" t="n">
        <f aca="false">SUMIF('Raw - Sessions'!$R$5:$R$292,A182,'Raw - Sessions'!$P$5:$P$292)</f>
        <v>0</v>
      </c>
    </row>
    <row r="183" customFormat="false" ht="15" hidden="false" customHeight="false" outlineLevel="0" collapsed="false">
      <c r="A183" s="47" t="n">
        <f aca="false">'Raw - Daily Energy'!A178</f>
        <v>46023</v>
      </c>
      <c r="B183" s="15" t="n">
        <f aca="false">COUNTIF('Raw - Sessions'!$R$5:$R$292,A183)</f>
        <v>2</v>
      </c>
      <c r="C183" s="31" t="n">
        <f aca="false">SUMIF('Raw - Sessions'!$R$5:$R$292,A183,'Raw - Sessions'!$D$5:$D$292)</f>
        <v>0.279722222222222</v>
      </c>
      <c r="D183" s="31" t="n">
        <f aca="false">SUMIF('Raw - Sessions'!$R$5:$R$292,A183,'Raw - Sessions'!$E$5:$E$292)</f>
        <v>12.3724</v>
      </c>
      <c r="E183" s="31" t="n">
        <f aca="false">'Raw - Daily Energy'!B178</f>
        <v>12.372</v>
      </c>
      <c r="F183" s="37" t="n">
        <f aca="false">SUMIF('Raw - Sessions'!$R$5:$R$292,A183,'Raw - Sessions'!$P$5:$P$292)</f>
        <v>6.36</v>
      </c>
    </row>
    <row r="184" customFormat="false" ht="15" hidden="false" customHeight="false" outlineLevel="0" collapsed="false">
      <c r="A184" s="46" t="n">
        <f aca="false">'Raw - Daily Energy'!A179</f>
        <v>46024</v>
      </c>
      <c r="B184" s="13" t="n">
        <f aca="false">COUNTIF('Raw - Sessions'!$R$5:$R$292,A184)</f>
        <v>0</v>
      </c>
      <c r="C184" s="30" t="n">
        <f aca="false">SUMIF('Raw - Sessions'!$R$5:$R$292,A184,'Raw - Sessions'!$D$5:$D$292)</f>
        <v>0</v>
      </c>
      <c r="D184" s="30" t="n">
        <f aca="false">SUMIF('Raw - Sessions'!$R$5:$R$292,A184,'Raw - Sessions'!$E$5:$E$292)</f>
        <v>0</v>
      </c>
      <c r="E184" s="30" t="n">
        <f aca="false">'Raw - Daily Energy'!B179</f>
        <v>0</v>
      </c>
      <c r="F184" s="35" t="n">
        <f aca="false">SUMIF('Raw - Sessions'!$R$5:$R$292,A184,'Raw - Sessions'!$P$5:$P$292)</f>
        <v>0</v>
      </c>
    </row>
    <row r="185" customFormat="false" ht="15" hidden="false" customHeight="false" outlineLevel="0" collapsed="false">
      <c r="A185" s="47" t="n">
        <f aca="false">'Raw - Daily Energy'!A180</f>
        <v>46025</v>
      </c>
      <c r="B185" s="15" t="n">
        <f aca="false">COUNTIF('Raw - Sessions'!$R$5:$R$292,A185)</f>
        <v>0</v>
      </c>
      <c r="C185" s="31" t="n">
        <f aca="false">SUMIF('Raw - Sessions'!$R$5:$R$292,A185,'Raw - Sessions'!$D$5:$D$292)</f>
        <v>0</v>
      </c>
      <c r="D185" s="31" t="n">
        <f aca="false">SUMIF('Raw - Sessions'!$R$5:$R$292,A185,'Raw - Sessions'!$E$5:$E$292)</f>
        <v>0</v>
      </c>
      <c r="E185" s="31" t="n">
        <f aca="false">'Raw - Daily Energy'!B180</f>
        <v>0</v>
      </c>
      <c r="F185" s="37" t="n">
        <f aca="false">SUMIF('Raw - Sessions'!$R$5:$R$292,A185,'Raw - Sessions'!$P$5:$P$292)</f>
        <v>0</v>
      </c>
    </row>
    <row r="186" customFormat="false" ht="15" hidden="false" customHeight="false" outlineLevel="0" collapsed="false">
      <c r="A186" s="46" t="n">
        <f aca="false">'Raw - Daily Energy'!A181</f>
        <v>46026</v>
      </c>
      <c r="B186" s="13" t="n">
        <f aca="false">COUNTIF('Raw - Sessions'!$R$5:$R$292,A186)</f>
        <v>0</v>
      </c>
      <c r="C186" s="30" t="n">
        <f aca="false">SUMIF('Raw - Sessions'!$R$5:$R$292,A186,'Raw - Sessions'!$D$5:$D$292)</f>
        <v>0</v>
      </c>
      <c r="D186" s="30" t="n">
        <f aca="false">SUMIF('Raw - Sessions'!$R$5:$R$292,A186,'Raw - Sessions'!$E$5:$E$292)</f>
        <v>0</v>
      </c>
      <c r="E186" s="30" t="n">
        <f aca="false">'Raw - Daily Energy'!B181</f>
        <v>13.166</v>
      </c>
      <c r="F186" s="35" t="n">
        <f aca="false">SUMIF('Raw - Sessions'!$R$5:$R$292,A186,'Raw - Sessions'!$P$5:$P$292)</f>
        <v>0</v>
      </c>
    </row>
    <row r="187" customFormat="false" ht="15" hidden="false" customHeight="false" outlineLevel="0" collapsed="false">
      <c r="A187" s="47" t="n">
        <f aca="false">'Raw - Daily Energy'!A182</f>
        <v>46027</v>
      </c>
      <c r="B187" s="15" t="n">
        <f aca="false">COUNTIF('Raw - Sessions'!$R$5:$R$292,A187)</f>
        <v>1</v>
      </c>
      <c r="C187" s="31" t="n">
        <f aca="false">SUMIF('Raw - Sessions'!$R$5:$R$292,A187,'Raw - Sessions'!$D$5:$D$292)</f>
        <v>0.236111111111111</v>
      </c>
      <c r="D187" s="31" t="n">
        <f aca="false">SUMIF('Raw - Sessions'!$R$5:$R$292,A187,'Raw - Sessions'!$E$5:$E$292)</f>
        <v>13.1661</v>
      </c>
      <c r="E187" s="31" t="n">
        <f aca="false">'Raw - Daily Energy'!B182</f>
        <v>0</v>
      </c>
      <c r="F187" s="37" t="n">
        <f aca="false">SUMIF('Raw - Sessions'!$R$5:$R$292,A187,'Raw - Sessions'!$P$5:$P$292)</f>
        <v>6.59</v>
      </c>
    </row>
    <row r="188" customFormat="false" ht="15" hidden="false" customHeight="false" outlineLevel="0" collapsed="false">
      <c r="A188" s="46" t="n">
        <f aca="false">'Raw - Daily Energy'!A183</f>
        <v>46028</v>
      </c>
      <c r="B188" s="13" t="n">
        <f aca="false">COUNTIF('Raw - Sessions'!$R$5:$R$292,A188)</f>
        <v>0</v>
      </c>
      <c r="C188" s="30" t="n">
        <f aca="false">SUMIF('Raw - Sessions'!$R$5:$R$292,A188,'Raw - Sessions'!$D$5:$D$292)</f>
        <v>0</v>
      </c>
      <c r="D188" s="30" t="n">
        <f aca="false">SUMIF('Raw - Sessions'!$R$5:$R$292,A188,'Raw - Sessions'!$E$5:$E$292)</f>
        <v>0</v>
      </c>
      <c r="E188" s="30" t="n">
        <f aca="false">'Raw - Daily Energy'!B183</f>
        <v>0</v>
      </c>
      <c r="F188" s="35" t="n">
        <f aca="false">SUMIF('Raw - Sessions'!$R$5:$R$292,A188,'Raw - Sessions'!$P$5:$P$292)</f>
        <v>0</v>
      </c>
    </row>
    <row r="189" customFormat="false" ht="15" hidden="false" customHeight="false" outlineLevel="0" collapsed="false">
      <c r="A189" s="47" t="n">
        <f aca="false">'Raw - Daily Energy'!A184</f>
        <v>46029</v>
      </c>
      <c r="B189" s="15" t="n">
        <f aca="false">COUNTIF('Raw - Sessions'!$R$5:$R$292,A189)</f>
        <v>0</v>
      </c>
      <c r="C189" s="31" t="n">
        <f aca="false">SUMIF('Raw - Sessions'!$R$5:$R$292,A189,'Raw - Sessions'!$D$5:$D$292)</f>
        <v>0</v>
      </c>
      <c r="D189" s="31" t="n">
        <f aca="false">SUMIF('Raw - Sessions'!$R$5:$R$292,A189,'Raw - Sessions'!$E$5:$E$292)</f>
        <v>0</v>
      </c>
      <c r="E189" s="31" t="n">
        <f aca="false">'Raw - Daily Energy'!B184</f>
        <v>0</v>
      </c>
      <c r="F189" s="37" t="n">
        <f aca="false">SUMIF('Raw - Sessions'!$R$5:$R$292,A189,'Raw - Sessions'!$P$5:$P$292)</f>
        <v>0</v>
      </c>
    </row>
    <row r="190" customFormat="false" ht="15" hidden="false" customHeight="false" outlineLevel="0" collapsed="false">
      <c r="A190" s="46" t="n">
        <f aca="false">'Raw - Daily Energy'!A185</f>
        <v>46030</v>
      </c>
      <c r="B190" s="13" t="n">
        <f aca="false">COUNTIF('Raw - Sessions'!$R$5:$R$292,A190)</f>
        <v>0</v>
      </c>
      <c r="C190" s="30" t="n">
        <f aca="false">SUMIF('Raw - Sessions'!$R$5:$R$292,A190,'Raw - Sessions'!$D$5:$D$292)</f>
        <v>0</v>
      </c>
      <c r="D190" s="30" t="n">
        <f aca="false">SUMIF('Raw - Sessions'!$R$5:$R$292,A190,'Raw - Sessions'!$E$5:$E$292)</f>
        <v>0</v>
      </c>
      <c r="E190" s="30" t="n">
        <f aca="false">'Raw - Daily Energy'!B185</f>
        <v>0</v>
      </c>
      <c r="F190" s="35" t="n">
        <f aca="false">SUMIF('Raw - Sessions'!$R$5:$R$292,A190,'Raw - Sessions'!$P$5:$P$292)</f>
        <v>0</v>
      </c>
    </row>
    <row r="191" customFormat="false" ht="15" hidden="false" customHeight="false" outlineLevel="0" collapsed="false">
      <c r="A191" s="47" t="n">
        <f aca="false">'Raw - Daily Energy'!A186</f>
        <v>46031</v>
      </c>
      <c r="B191" s="15" t="n">
        <f aca="false">COUNTIF('Raw - Sessions'!$R$5:$R$292,A191)</f>
        <v>0</v>
      </c>
      <c r="C191" s="31" t="n">
        <f aca="false">SUMIF('Raw - Sessions'!$R$5:$R$292,A191,'Raw - Sessions'!$D$5:$D$292)</f>
        <v>0</v>
      </c>
      <c r="D191" s="31" t="n">
        <f aca="false">SUMIF('Raw - Sessions'!$R$5:$R$292,A191,'Raw - Sessions'!$E$5:$E$292)</f>
        <v>0</v>
      </c>
      <c r="E191" s="31" t="n">
        <f aca="false">'Raw - Daily Energy'!B186</f>
        <v>0</v>
      </c>
      <c r="F191" s="37" t="n">
        <f aca="false">SUMIF('Raw - Sessions'!$R$5:$R$292,A191,'Raw - Sessions'!$P$5:$P$292)</f>
        <v>0</v>
      </c>
    </row>
    <row r="192" customFormat="false" ht="15" hidden="false" customHeight="false" outlineLevel="0" collapsed="false">
      <c r="A192" s="46" t="n">
        <f aca="false">'Raw - Daily Energy'!A187</f>
        <v>46032</v>
      </c>
      <c r="B192" s="13" t="n">
        <f aca="false">COUNTIF('Raw - Sessions'!$R$5:$R$292,A192)</f>
        <v>0</v>
      </c>
      <c r="C192" s="30" t="n">
        <f aca="false">SUMIF('Raw - Sessions'!$R$5:$R$292,A192,'Raw - Sessions'!$D$5:$D$292)</f>
        <v>0</v>
      </c>
      <c r="D192" s="30" t="n">
        <f aca="false">SUMIF('Raw - Sessions'!$R$5:$R$292,A192,'Raw - Sessions'!$E$5:$E$292)</f>
        <v>0</v>
      </c>
      <c r="E192" s="30" t="n">
        <f aca="false">'Raw - Daily Energy'!B187</f>
        <v>0</v>
      </c>
      <c r="F192" s="35" t="n">
        <f aca="false">SUMIF('Raw - Sessions'!$R$5:$R$292,A192,'Raw - Sessions'!$P$5:$P$292)</f>
        <v>0</v>
      </c>
    </row>
    <row r="193" customFormat="false" ht="15" hidden="false" customHeight="false" outlineLevel="0" collapsed="false">
      <c r="A193" s="47" t="n">
        <f aca="false">'Raw - Daily Energy'!A188</f>
        <v>46033</v>
      </c>
      <c r="B193" s="15" t="n">
        <f aca="false">COUNTIF('Raw - Sessions'!$R$5:$R$292,A193)</f>
        <v>2</v>
      </c>
      <c r="C193" s="31" t="n">
        <f aca="false">SUMIF('Raw - Sessions'!$R$5:$R$292,A193,'Raw - Sessions'!$D$5:$D$292)</f>
        <v>0.803611111111111</v>
      </c>
      <c r="D193" s="31" t="n">
        <f aca="false">SUMIF('Raw - Sessions'!$R$5:$R$292,A193,'Raw - Sessions'!$E$5:$E$292)</f>
        <v>40.663502</v>
      </c>
      <c r="E193" s="31" t="n">
        <f aca="false">'Raw - Daily Energy'!B188</f>
        <v>40.664</v>
      </c>
      <c r="F193" s="37" t="n">
        <f aca="false">SUMIF('Raw - Sessions'!$R$5:$R$292,A193,'Raw - Sessions'!$P$5:$P$292)</f>
        <v>20.64</v>
      </c>
    </row>
    <row r="194" customFormat="false" ht="15" hidden="false" customHeight="false" outlineLevel="0" collapsed="false">
      <c r="A194" s="46" t="n">
        <f aca="false">'Raw - Daily Energy'!A189</f>
        <v>46034</v>
      </c>
      <c r="B194" s="13" t="n">
        <f aca="false">COUNTIF('Raw - Sessions'!$R$5:$R$292,A194)</f>
        <v>0</v>
      </c>
      <c r="C194" s="30" t="n">
        <f aca="false">SUMIF('Raw - Sessions'!$R$5:$R$292,A194,'Raw - Sessions'!$D$5:$D$292)</f>
        <v>0</v>
      </c>
      <c r="D194" s="30" t="n">
        <f aca="false">SUMIF('Raw - Sessions'!$R$5:$R$292,A194,'Raw - Sessions'!$E$5:$E$292)</f>
        <v>0</v>
      </c>
      <c r="E194" s="30" t="n">
        <f aca="false">'Raw - Daily Energy'!B189</f>
        <v>0</v>
      </c>
      <c r="F194" s="35" t="n">
        <f aca="false">SUMIF('Raw - Sessions'!$R$5:$R$292,A194,'Raw - Sessions'!$P$5:$P$292)</f>
        <v>0</v>
      </c>
    </row>
    <row r="195" customFormat="false" ht="15" hidden="false" customHeight="false" outlineLevel="0" collapsed="false">
      <c r="A195" s="47" t="n">
        <f aca="false">'Raw - Daily Energy'!A190</f>
        <v>46035</v>
      </c>
      <c r="B195" s="15" t="n">
        <f aca="false">COUNTIF('Raw - Sessions'!$R$5:$R$292,A195)</f>
        <v>0</v>
      </c>
      <c r="C195" s="31" t="n">
        <f aca="false">SUMIF('Raw - Sessions'!$R$5:$R$292,A195,'Raw - Sessions'!$D$5:$D$292)</f>
        <v>0</v>
      </c>
      <c r="D195" s="31" t="n">
        <f aca="false">SUMIF('Raw - Sessions'!$R$5:$R$292,A195,'Raw - Sessions'!$E$5:$E$292)</f>
        <v>0</v>
      </c>
      <c r="E195" s="31" t="n">
        <f aca="false">'Raw - Daily Energy'!B190</f>
        <v>0</v>
      </c>
      <c r="F195" s="37" t="n">
        <f aca="false">SUMIF('Raw - Sessions'!$R$5:$R$292,A195,'Raw - Sessions'!$P$5:$P$292)</f>
        <v>0</v>
      </c>
    </row>
    <row r="196" customFormat="false" ht="15" hidden="false" customHeight="false" outlineLevel="0" collapsed="false">
      <c r="A196" s="46" t="n">
        <f aca="false">'Raw - Daily Energy'!A191</f>
        <v>46036</v>
      </c>
      <c r="B196" s="13" t="n">
        <f aca="false">COUNTIF('Raw - Sessions'!$R$5:$R$292,A196)</f>
        <v>0</v>
      </c>
      <c r="C196" s="30" t="n">
        <f aca="false">SUMIF('Raw - Sessions'!$R$5:$R$292,A196,'Raw - Sessions'!$D$5:$D$292)</f>
        <v>0</v>
      </c>
      <c r="D196" s="30" t="n">
        <f aca="false">SUMIF('Raw - Sessions'!$R$5:$R$292,A196,'Raw - Sessions'!$E$5:$E$292)</f>
        <v>0</v>
      </c>
      <c r="E196" s="30" t="n">
        <f aca="false">'Raw - Daily Energy'!B191</f>
        <v>0</v>
      </c>
      <c r="F196" s="35" t="n">
        <f aca="false">SUMIF('Raw - Sessions'!$R$5:$R$292,A196,'Raw - Sessions'!$P$5:$P$292)</f>
        <v>0</v>
      </c>
    </row>
    <row r="197" customFormat="false" ht="15" hidden="false" customHeight="false" outlineLevel="0" collapsed="false">
      <c r="A197" s="47" t="n">
        <f aca="false">'Raw - Daily Energy'!A192</f>
        <v>46037</v>
      </c>
      <c r="B197" s="15" t="n">
        <f aca="false">COUNTIF('Raw - Sessions'!$R$5:$R$292,A197)</f>
        <v>0</v>
      </c>
      <c r="C197" s="31" t="n">
        <f aca="false">SUMIF('Raw - Sessions'!$R$5:$R$292,A197,'Raw - Sessions'!$D$5:$D$292)</f>
        <v>0</v>
      </c>
      <c r="D197" s="31" t="n">
        <f aca="false">SUMIF('Raw - Sessions'!$R$5:$R$292,A197,'Raw - Sessions'!$E$5:$E$292)</f>
        <v>0</v>
      </c>
      <c r="E197" s="31" t="n">
        <f aca="false">'Raw - Daily Energy'!B192</f>
        <v>0</v>
      </c>
      <c r="F197" s="37" t="n">
        <f aca="false">SUMIF('Raw - Sessions'!$R$5:$R$292,A197,'Raw - Sessions'!$P$5:$P$292)</f>
        <v>0</v>
      </c>
    </row>
    <row r="198" customFormat="false" ht="15" hidden="false" customHeight="false" outlineLevel="0" collapsed="false">
      <c r="A198" s="46" t="n">
        <f aca="false">'Raw - Daily Energy'!A193</f>
        <v>46038</v>
      </c>
      <c r="B198" s="13" t="n">
        <f aca="false">COUNTIF('Raw - Sessions'!$R$5:$R$292,A198)</f>
        <v>2</v>
      </c>
      <c r="C198" s="30" t="n">
        <f aca="false">SUMIF('Raw - Sessions'!$R$5:$R$292,A198,'Raw - Sessions'!$D$5:$D$292)</f>
        <v>0.211666666666667</v>
      </c>
      <c r="D198" s="30" t="n">
        <f aca="false">SUMIF('Raw - Sessions'!$R$5:$R$292,A198,'Raw - Sessions'!$E$5:$E$292)</f>
        <v>10.404</v>
      </c>
      <c r="E198" s="30" t="n">
        <f aca="false">'Raw - Daily Energy'!B193</f>
        <v>10.404</v>
      </c>
      <c r="F198" s="35" t="n">
        <f aca="false">SUMIF('Raw - Sessions'!$R$5:$R$292,A198,'Raw - Sessions'!$P$5:$P$292)</f>
        <v>5.31</v>
      </c>
    </row>
    <row r="199" customFormat="false" ht="15" hidden="false" customHeight="false" outlineLevel="0" collapsed="false">
      <c r="A199" s="47" t="n">
        <f aca="false">'Raw - Daily Energy'!A194</f>
        <v>46039</v>
      </c>
      <c r="B199" s="15" t="n">
        <f aca="false">COUNTIF('Raw - Sessions'!$R$5:$R$292,A199)</f>
        <v>4</v>
      </c>
      <c r="C199" s="31" t="n">
        <f aca="false">SUMIF('Raw - Sessions'!$R$5:$R$292,A199,'Raw - Sessions'!$D$5:$D$292)</f>
        <v>0.585</v>
      </c>
      <c r="D199" s="31" t="n">
        <f aca="false">SUMIF('Raw - Sessions'!$R$5:$R$292,A199,'Raw - Sessions'!$E$5:$E$292)</f>
        <v>21.7241</v>
      </c>
      <c r="E199" s="31" t="n">
        <f aca="false">'Raw - Daily Energy'!B194</f>
        <v>21.724</v>
      </c>
      <c r="F199" s="37" t="n">
        <f aca="false">SUMIF('Raw - Sessions'!$R$5:$R$292,A199,'Raw - Sessions'!$P$5:$P$292)</f>
        <v>11.59</v>
      </c>
    </row>
    <row r="200" customFormat="false" ht="15" hidden="false" customHeight="false" outlineLevel="0" collapsed="false">
      <c r="A200" s="46" t="n">
        <f aca="false">'Raw - Daily Energy'!A195</f>
        <v>46040</v>
      </c>
      <c r="B200" s="13" t="n">
        <f aca="false">COUNTIF('Raw - Sessions'!$R$5:$R$292,A200)</f>
        <v>0</v>
      </c>
      <c r="C200" s="30" t="n">
        <f aca="false">SUMIF('Raw - Sessions'!$R$5:$R$292,A200,'Raw - Sessions'!$D$5:$D$292)</f>
        <v>0</v>
      </c>
      <c r="D200" s="30" t="n">
        <f aca="false">SUMIF('Raw - Sessions'!$R$5:$R$292,A200,'Raw - Sessions'!$E$5:$E$292)</f>
        <v>0</v>
      </c>
      <c r="E200" s="30" t="n">
        <f aca="false">'Raw - Daily Energy'!B195</f>
        <v>0</v>
      </c>
      <c r="F200" s="35" t="n">
        <f aca="false">SUMIF('Raw - Sessions'!$R$5:$R$292,A200,'Raw - Sessions'!$P$5:$P$292)</f>
        <v>0</v>
      </c>
    </row>
    <row r="201" customFormat="false" ht="15" hidden="false" customHeight="false" outlineLevel="0" collapsed="false">
      <c r="A201" s="47" t="n">
        <f aca="false">'Raw - Daily Energy'!A196</f>
        <v>46041</v>
      </c>
      <c r="B201" s="15" t="n">
        <f aca="false">COUNTIF('Raw - Sessions'!$R$5:$R$292,A201)</f>
        <v>0</v>
      </c>
      <c r="C201" s="31" t="n">
        <f aca="false">SUMIF('Raw - Sessions'!$R$5:$R$292,A201,'Raw - Sessions'!$D$5:$D$292)</f>
        <v>0</v>
      </c>
      <c r="D201" s="31" t="n">
        <f aca="false">SUMIF('Raw - Sessions'!$R$5:$R$292,A201,'Raw - Sessions'!$E$5:$E$292)</f>
        <v>0</v>
      </c>
      <c r="E201" s="31" t="n">
        <f aca="false">'Raw - Daily Energy'!B196</f>
        <v>0</v>
      </c>
      <c r="F201" s="37" t="n">
        <f aca="false">SUMIF('Raw - Sessions'!$R$5:$R$292,A201,'Raw - Sessions'!$P$5:$P$292)</f>
        <v>0</v>
      </c>
    </row>
    <row r="202" customFormat="false" ht="15" hidden="false" customHeight="false" outlineLevel="0" collapsed="false">
      <c r="A202" s="46" t="n">
        <f aca="false">'Raw - Daily Energy'!A197</f>
        <v>46042</v>
      </c>
      <c r="B202" s="13" t="n">
        <f aca="false">COUNTIF('Raw - Sessions'!$R$5:$R$292,A202)</f>
        <v>0</v>
      </c>
      <c r="C202" s="30" t="n">
        <f aca="false">SUMIF('Raw - Sessions'!$R$5:$R$292,A202,'Raw - Sessions'!$D$5:$D$292)</f>
        <v>0</v>
      </c>
      <c r="D202" s="30" t="n">
        <f aca="false">SUMIF('Raw - Sessions'!$R$5:$R$292,A202,'Raw - Sessions'!$E$5:$E$292)</f>
        <v>0</v>
      </c>
      <c r="E202" s="30" t="n">
        <f aca="false">'Raw - Daily Energy'!B197</f>
        <v>0</v>
      </c>
      <c r="F202" s="35" t="n">
        <f aca="false">SUMIF('Raw - Sessions'!$R$5:$R$292,A202,'Raw - Sessions'!$P$5:$P$292)</f>
        <v>0</v>
      </c>
    </row>
    <row r="203" customFormat="false" ht="15" hidden="false" customHeight="false" outlineLevel="0" collapsed="false">
      <c r="A203" s="47" t="n">
        <f aca="false">'Raw - Daily Energy'!A198</f>
        <v>46043</v>
      </c>
      <c r="B203" s="15" t="n">
        <f aca="false">COUNTIF('Raw - Sessions'!$R$5:$R$292,A203)</f>
        <v>0</v>
      </c>
      <c r="C203" s="31" t="n">
        <f aca="false">SUMIF('Raw - Sessions'!$R$5:$R$292,A203,'Raw - Sessions'!$D$5:$D$292)</f>
        <v>0</v>
      </c>
      <c r="D203" s="31" t="n">
        <f aca="false">SUMIF('Raw - Sessions'!$R$5:$R$292,A203,'Raw - Sessions'!$E$5:$E$292)</f>
        <v>0</v>
      </c>
      <c r="E203" s="31" t="n">
        <f aca="false">'Raw - Daily Energy'!B198</f>
        <v>0</v>
      </c>
      <c r="F203" s="37" t="n">
        <f aca="false">SUMIF('Raw - Sessions'!$R$5:$R$292,A203,'Raw - Sessions'!$P$5:$P$292)</f>
        <v>0</v>
      </c>
    </row>
    <row r="204" customFormat="false" ht="15" hidden="false" customHeight="false" outlineLevel="0" collapsed="false">
      <c r="A204" s="46" t="n">
        <f aca="false">'Raw - Daily Energy'!A199</f>
        <v>46044</v>
      </c>
      <c r="B204" s="13" t="n">
        <f aca="false">COUNTIF('Raw - Sessions'!$R$5:$R$292,A204)</f>
        <v>0</v>
      </c>
      <c r="C204" s="30" t="n">
        <f aca="false">SUMIF('Raw - Sessions'!$R$5:$R$292,A204,'Raw - Sessions'!$D$5:$D$292)</f>
        <v>0</v>
      </c>
      <c r="D204" s="30" t="n">
        <f aca="false">SUMIF('Raw - Sessions'!$R$5:$R$292,A204,'Raw - Sessions'!$E$5:$E$292)</f>
        <v>0</v>
      </c>
      <c r="E204" s="30" t="n">
        <f aca="false">'Raw - Daily Energy'!B199</f>
        <v>0</v>
      </c>
      <c r="F204" s="35" t="n">
        <f aca="false">SUMIF('Raw - Sessions'!$R$5:$R$292,A204,'Raw - Sessions'!$P$5:$P$292)</f>
        <v>0</v>
      </c>
    </row>
    <row r="205" customFormat="false" ht="15" hidden="false" customHeight="false" outlineLevel="0" collapsed="false">
      <c r="A205" s="47" t="n">
        <f aca="false">'Raw - Daily Energy'!A200</f>
        <v>46045</v>
      </c>
      <c r="B205" s="15" t="n">
        <f aca="false">COUNTIF('Raw - Sessions'!$R$5:$R$292,A205)</f>
        <v>0</v>
      </c>
      <c r="C205" s="31" t="n">
        <f aca="false">SUMIF('Raw - Sessions'!$R$5:$R$292,A205,'Raw - Sessions'!$D$5:$D$292)</f>
        <v>0</v>
      </c>
      <c r="D205" s="31" t="n">
        <f aca="false">SUMIF('Raw - Sessions'!$R$5:$R$292,A205,'Raw - Sessions'!$E$5:$E$292)</f>
        <v>0</v>
      </c>
      <c r="E205" s="31" t="n">
        <f aca="false">'Raw - Daily Energy'!B200</f>
        <v>0</v>
      </c>
      <c r="F205" s="37" t="n">
        <f aca="false">SUMIF('Raw - Sessions'!$R$5:$R$292,A205,'Raw - Sessions'!$P$5:$P$292)</f>
        <v>0</v>
      </c>
    </row>
    <row r="206" customFormat="false" ht="15" hidden="false" customHeight="false" outlineLevel="0" collapsed="false">
      <c r="A206" s="46" t="n">
        <f aca="false">'Raw - Daily Energy'!A201</f>
        <v>46046</v>
      </c>
      <c r="B206" s="13" t="n">
        <f aca="false">COUNTIF('Raw - Sessions'!$R$5:$R$292,A206)</f>
        <v>0</v>
      </c>
      <c r="C206" s="30" t="n">
        <f aca="false">SUMIF('Raw - Sessions'!$R$5:$R$292,A206,'Raw - Sessions'!$D$5:$D$292)</f>
        <v>0</v>
      </c>
      <c r="D206" s="30" t="n">
        <f aca="false">SUMIF('Raw - Sessions'!$R$5:$R$292,A206,'Raw - Sessions'!$E$5:$E$292)</f>
        <v>0</v>
      </c>
      <c r="E206" s="30" t="n">
        <f aca="false">'Raw - Daily Energy'!B201</f>
        <v>0</v>
      </c>
      <c r="F206" s="35" t="n">
        <f aca="false">SUMIF('Raw - Sessions'!$R$5:$R$292,A206,'Raw - Sessions'!$P$5:$P$292)</f>
        <v>0</v>
      </c>
    </row>
    <row r="207" customFormat="false" ht="15" hidden="false" customHeight="false" outlineLevel="0" collapsed="false">
      <c r="A207" s="47" t="n">
        <f aca="false">'Raw - Daily Energy'!A202</f>
        <v>46047</v>
      </c>
      <c r="B207" s="15" t="n">
        <f aca="false">COUNTIF('Raw - Sessions'!$R$5:$R$292,A207)</f>
        <v>0</v>
      </c>
      <c r="C207" s="31" t="n">
        <f aca="false">SUMIF('Raw - Sessions'!$R$5:$R$292,A207,'Raw - Sessions'!$D$5:$D$292)</f>
        <v>0</v>
      </c>
      <c r="D207" s="31" t="n">
        <f aca="false">SUMIF('Raw - Sessions'!$R$5:$R$292,A207,'Raw - Sessions'!$E$5:$E$292)</f>
        <v>0</v>
      </c>
      <c r="E207" s="31" t="n">
        <f aca="false">'Raw - Daily Energy'!B202</f>
        <v>0</v>
      </c>
      <c r="F207" s="37" t="n">
        <f aca="false">SUMIF('Raw - Sessions'!$R$5:$R$292,A207,'Raw - Sessions'!$P$5:$P$292)</f>
        <v>0</v>
      </c>
    </row>
    <row r="208" customFormat="false" ht="15" hidden="false" customHeight="false" outlineLevel="0" collapsed="false">
      <c r="A208" s="46" t="n">
        <f aca="false">'Raw - Daily Energy'!A203</f>
        <v>46048</v>
      </c>
      <c r="B208" s="13" t="n">
        <f aca="false">COUNTIF('Raw - Sessions'!$R$5:$R$292,A208)</f>
        <v>0</v>
      </c>
      <c r="C208" s="30" t="n">
        <f aca="false">SUMIF('Raw - Sessions'!$R$5:$R$292,A208,'Raw - Sessions'!$D$5:$D$292)</f>
        <v>0</v>
      </c>
      <c r="D208" s="30" t="n">
        <f aca="false">SUMIF('Raw - Sessions'!$R$5:$R$292,A208,'Raw - Sessions'!$E$5:$E$292)</f>
        <v>0</v>
      </c>
      <c r="E208" s="30" t="n">
        <f aca="false">'Raw - Daily Energy'!B203</f>
        <v>0</v>
      </c>
      <c r="F208" s="35" t="n">
        <f aca="false">SUMIF('Raw - Sessions'!$R$5:$R$292,A208,'Raw - Sessions'!$P$5:$P$292)</f>
        <v>0</v>
      </c>
    </row>
    <row r="209" customFormat="false" ht="15" hidden="false" customHeight="false" outlineLevel="0" collapsed="false">
      <c r="A209" s="47" t="n">
        <f aca="false">'Raw - Daily Energy'!A204</f>
        <v>46049</v>
      </c>
      <c r="B209" s="15" t="n">
        <f aca="false">COUNTIF('Raw - Sessions'!$R$5:$R$292,A209)</f>
        <v>0</v>
      </c>
      <c r="C209" s="31" t="n">
        <f aca="false">SUMIF('Raw - Sessions'!$R$5:$R$292,A209,'Raw - Sessions'!$D$5:$D$292)</f>
        <v>0</v>
      </c>
      <c r="D209" s="31" t="n">
        <f aca="false">SUMIF('Raw - Sessions'!$R$5:$R$292,A209,'Raw - Sessions'!$E$5:$E$292)</f>
        <v>0</v>
      </c>
      <c r="E209" s="31" t="n">
        <f aca="false">'Raw - Daily Energy'!B204</f>
        <v>0</v>
      </c>
      <c r="F209" s="37" t="n">
        <f aca="false">SUMIF('Raw - Sessions'!$R$5:$R$292,A209,'Raw - Sessions'!$P$5:$P$292)</f>
        <v>0</v>
      </c>
    </row>
    <row r="210" customFormat="false" ht="15" hidden="false" customHeight="false" outlineLevel="0" collapsed="false">
      <c r="A210" s="46" t="n">
        <f aca="false">'Raw - Daily Energy'!A205</f>
        <v>46050</v>
      </c>
      <c r="B210" s="13" t="n">
        <f aca="false">COUNTIF('Raw - Sessions'!$R$5:$R$292,A210)</f>
        <v>0</v>
      </c>
      <c r="C210" s="30" t="n">
        <f aca="false">SUMIF('Raw - Sessions'!$R$5:$R$292,A210,'Raw - Sessions'!$D$5:$D$292)</f>
        <v>0</v>
      </c>
      <c r="D210" s="30" t="n">
        <f aca="false">SUMIF('Raw - Sessions'!$R$5:$R$292,A210,'Raw - Sessions'!$E$5:$E$292)</f>
        <v>0</v>
      </c>
      <c r="E210" s="30" t="n">
        <f aca="false">'Raw - Daily Energy'!B205</f>
        <v>0</v>
      </c>
      <c r="F210" s="35" t="n">
        <f aca="false">SUMIF('Raw - Sessions'!$R$5:$R$292,A210,'Raw - Sessions'!$P$5:$P$292)</f>
        <v>0</v>
      </c>
    </row>
    <row r="211" customFormat="false" ht="15" hidden="false" customHeight="false" outlineLevel="0" collapsed="false">
      <c r="A211" s="47" t="n">
        <f aca="false">'Raw - Daily Energy'!A206</f>
        <v>46051</v>
      </c>
      <c r="B211" s="15" t="n">
        <f aca="false">COUNTIF('Raw - Sessions'!$R$5:$R$292,A211)</f>
        <v>0</v>
      </c>
      <c r="C211" s="31" t="n">
        <f aca="false">SUMIF('Raw - Sessions'!$R$5:$R$292,A211,'Raw - Sessions'!$D$5:$D$292)</f>
        <v>0</v>
      </c>
      <c r="D211" s="31" t="n">
        <f aca="false">SUMIF('Raw - Sessions'!$R$5:$R$292,A211,'Raw - Sessions'!$E$5:$E$292)</f>
        <v>0</v>
      </c>
      <c r="E211" s="31" t="n">
        <f aca="false">'Raw - Daily Energy'!B206</f>
        <v>0</v>
      </c>
      <c r="F211" s="37" t="n">
        <f aca="false">SUMIF('Raw - Sessions'!$R$5:$R$292,A211,'Raw - Sessions'!$P$5:$P$292)</f>
        <v>0</v>
      </c>
    </row>
    <row r="212" customFormat="false" ht="15" hidden="false" customHeight="false" outlineLevel="0" collapsed="false">
      <c r="A212" s="46" t="n">
        <f aca="false">'Raw - Daily Energy'!A207</f>
        <v>46052</v>
      </c>
      <c r="B212" s="13" t="n">
        <f aca="false">COUNTIF('Raw - Sessions'!$R$5:$R$292,A212)</f>
        <v>0</v>
      </c>
      <c r="C212" s="30" t="n">
        <f aca="false">SUMIF('Raw - Sessions'!$R$5:$R$292,A212,'Raw - Sessions'!$D$5:$D$292)</f>
        <v>0</v>
      </c>
      <c r="D212" s="30" t="n">
        <f aca="false">SUMIF('Raw - Sessions'!$R$5:$R$292,A212,'Raw - Sessions'!$E$5:$E$292)</f>
        <v>0</v>
      </c>
      <c r="E212" s="30" t="n">
        <f aca="false">'Raw - Daily Energy'!B207</f>
        <v>0</v>
      </c>
      <c r="F212" s="35" t="n">
        <f aca="false">SUMIF('Raw - Sessions'!$R$5:$R$292,A212,'Raw - Sessions'!$P$5:$P$292)</f>
        <v>0</v>
      </c>
    </row>
    <row r="213" customFormat="false" ht="15" hidden="false" customHeight="false" outlineLevel="0" collapsed="false">
      <c r="A213" s="47" t="n">
        <f aca="false">'Raw - Daily Energy'!A208</f>
        <v>46053</v>
      </c>
      <c r="B213" s="15" t="n">
        <f aca="false">COUNTIF('Raw - Sessions'!$R$5:$R$292,A213)</f>
        <v>0</v>
      </c>
      <c r="C213" s="31" t="n">
        <f aca="false">SUMIF('Raw - Sessions'!$R$5:$R$292,A213,'Raw - Sessions'!$D$5:$D$292)</f>
        <v>0</v>
      </c>
      <c r="D213" s="31" t="n">
        <f aca="false">SUMIF('Raw - Sessions'!$R$5:$R$292,A213,'Raw - Sessions'!$E$5:$E$292)</f>
        <v>0</v>
      </c>
      <c r="E213" s="31" t="n">
        <f aca="false">'Raw - Daily Energy'!B208</f>
        <v>0</v>
      </c>
      <c r="F213" s="37" t="n">
        <f aca="false">SUMIF('Raw - Sessions'!$R$5:$R$292,A213,'Raw - Sessions'!$P$5:$P$292)</f>
        <v>0</v>
      </c>
    </row>
    <row r="214" customFormat="false" ht="15" hidden="false" customHeight="false" outlineLevel="0" collapsed="false">
      <c r="A214" s="46" t="n">
        <f aca="false">'Raw - Daily Energy'!A209</f>
        <v>46054</v>
      </c>
      <c r="B214" s="13" t="n">
        <f aca="false">COUNTIF('Raw - Sessions'!$R$5:$R$292,A214)</f>
        <v>2</v>
      </c>
      <c r="C214" s="30" t="n">
        <f aca="false">SUMIF('Raw - Sessions'!$R$5:$R$292,A214,'Raw - Sessions'!$D$5:$D$292)</f>
        <v>1.40916666666667</v>
      </c>
      <c r="D214" s="30" t="n">
        <f aca="false">SUMIF('Raw - Sessions'!$R$5:$R$292,A214,'Raw - Sessions'!$E$5:$E$292)</f>
        <v>73.232498</v>
      </c>
      <c r="E214" s="30" t="n">
        <f aca="false">'Raw - Daily Energy'!B209</f>
        <v>73.232</v>
      </c>
      <c r="F214" s="35" t="n">
        <f aca="false">SUMIF('Raw - Sessions'!$R$5:$R$292,A214,'Raw - Sessions'!$P$5:$P$292)</f>
        <v>36.95</v>
      </c>
    </row>
    <row r="215" customFormat="false" ht="15" hidden="false" customHeight="false" outlineLevel="0" collapsed="false">
      <c r="A215" s="47" t="n">
        <f aca="false">'Raw - Daily Energy'!A210</f>
        <v>46055</v>
      </c>
      <c r="B215" s="15" t="n">
        <f aca="false">COUNTIF('Raw - Sessions'!$R$5:$R$292,A215)</f>
        <v>1</v>
      </c>
      <c r="C215" s="31" t="n">
        <f aca="false">SUMIF('Raw - Sessions'!$R$5:$R$292,A215,'Raw - Sessions'!$D$5:$D$292)</f>
        <v>1.16638888888889</v>
      </c>
      <c r="D215" s="31" t="n">
        <f aca="false">SUMIF('Raw - Sessions'!$R$5:$R$292,A215,'Raw - Sessions'!$E$5:$E$292)</f>
        <v>50.064899</v>
      </c>
      <c r="E215" s="31" t="n">
        <f aca="false">'Raw - Daily Energy'!B210</f>
        <v>50.065</v>
      </c>
      <c r="F215" s="37" t="n">
        <f aca="false">SUMIF('Raw - Sessions'!$R$5:$R$292,A215,'Raw - Sessions'!$P$5:$P$292)</f>
        <v>26.18</v>
      </c>
    </row>
    <row r="216" customFormat="false" ht="15" hidden="false" customHeight="false" outlineLevel="0" collapsed="false">
      <c r="A216" s="46" t="n">
        <f aca="false">'Raw - Daily Energy'!A211</f>
        <v>46056</v>
      </c>
      <c r="B216" s="13" t="n">
        <f aca="false">COUNTIF('Raw - Sessions'!$R$5:$R$292,A216)</f>
        <v>0</v>
      </c>
      <c r="C216" s="30" t="n">
        <f aca="false">SUMIF('Raw - Sessions'!$R$5:$R$292,A216,'Raw - Sessions'!$D$5:$D$292)</f>
        <v>0</v>
      </c>
      <c r="D216" s="30" t="n">
        <f aca="false">SUMIF('Raw - Sessions'!$R$5:$R$292,A216,'Raw - Sessions'!$E$5:$E$292)</f>
        <v>0</v>
      </c>
      <c r="E216" s="30" t="n">
        <f aca="false">'Raw - Daily Energy'!B211</f>
        <v>0</v>
      </c>
      <c r="F216" s="35" t="n">
        <f aca="false">SUMIF('Raw - Sessions'!$R$5:$R$292,A216,'Raw - Sessions'!$P$5:$P$292)</f>
        <v>0</v>
      </c>
    </row>
    <row r="217" customFormat="false" ht="15" hidden="false" customHeight="false" outlineLevel="0" collapsed="false">
      <c r="A217" s="47" t="n">
        <f aca="false">'Raw - Daily Energy'!A212</f>
        <v>46057</v>
      </c>
      <c r="B217" s="15" t="n">
        <f aca="false">COUNTIF('Raw - Sessions'!$R$5:$R$292,A217)</f>
        <v>3</v>
      </c>
      <c r="C217" s="31" t="n">
        <f aca="false">SUMIF('Raw - Sessions'!$R$5:$R$292,A217,'Raw - Sessions'!$D$5:$D$292)</f>
        <v>2.66666666666667</v>
      </c>
      <c r="D217" s="31" t="n">
        <f aca="false">SUMIF('Raw - Sessions'!$R$5:$R$292,A217,'Raw - Sessions'!$E$5:$E$292)</f>
        <v>132.774003</v>
      </c>
      <c r="E217" s="31" t="n">
        <f aca="false">'Raw - Daily Energy'!B212</f>
        <v>132.774</v>
      </c>
      <c r="F217" s="37" t="n">
        <f aca="false">SUMIF('Raw - Sessions'!$R$5:$R$292,A217,'Raw - Sessions'!$P$5:$P$292)</f>
        <v>67.6</v>
      </c>
    </row>
    <row r="218" customFormat="false" ht="15" hidden="false" customHeight="false" outlineLevel="0" collapsed="false">
      <c r="A218" s="46" t="n">
        <f aca="false">'Raw - Daily Energy'!A213</f>
        <v>46058</v>
      </c>
      <c r="B218" s="13" t="n">
        <f aca="false">COUNTIF('Raw - Sessions'!$R$5:$R$292,A218)</f>
        <v>0</v>
      </c>
      <c r="C218" s="30" t="n">
        <f aca="false">SUMIF('Raw - Sessions'!$R$5:$R$292,A218,'Raw - Sessions'!$D$5:$D$292)</f>
        <v>0</v>
      </c>
      <c r="D218" s="30" t="n">
        <f aca="false">SUMIF('Raw - Sessions'!$R$5:$R$292,A218,'Raw - Sessions'!$E$5:$E$292)</f>
        <v>0</v>
      </c>
      <c r="E218" s="30" t="n">
        <f aca="false">'Raw - Daily Energy'!B213</f>
        <v>0</v>
      </c>
      <c r="F218" s="35" t="n">
        <f aca="false">SUMIF('Raw - Sessions'!$R$5:$R$292,A218,'Raw - Sessions'!$P$5:$P$292)</f>
        <v>0</v>
      </c>
    </row>
    <row r="219" customFormat="false" ht="15" hidden="false" customHeight="false" outlineLevel="0" collapsed="false">
      <c r="A219" s="47" t="n">
        <f aca="false">'Raw - Daily Energy'!A214</f>
        <v>46059</v>
      </c>
      <c r="B219" s="15" t="n">
        <f aca="false">COUNTIF('Raw - Sessions'!$R$5:$R$292,A219)</f>
        <v>0</v>
      </c>
      <c r="C219" s="31" t="n">
        <f aca="false">SUMIF('Raw - Sessions'!$R$5:$R$292,A219,'Raw - Sessions'!$D$5:$D$292)</f>
        <v>0</v>
      </c>
      <c r="D219" s="31" t="n">
        <f aca="false">SUMIF('Raw - Sessions'!$R$5:$R$292,A219,'Raw - Sessions'!$E$5:$E$292)</f>
        <v>0</v>
      </c>
      <c r="E219" s="31" t="n">
        <f aca="false">'Raw - Daily Energy'!B214</f>
        <v>0</v>
      </c>
      <c r="F219" s="37" t="n">
        <f aca="false">SUMIF('Raw - Sessions'!$R$5:$R$292,A219,'Raw - Sessions'!$P$5:$P$292)</f>
        <v>0</v>
      </c>
    </row>
    <row r="220" customFormat="false" ht="15" hidden="false" customHeight="false" outlineLevel="0" collapsed="false">
      <c r="A220" s="46" t="n">
        <f aca="false">'Raw - Daily Energy'!A215</f>
        <v>46060</v>
      </c>
      <c r="B220" s="13" t="n">
        <f aca="false">COUNTIF('Raw - Sessions'!$R$5:$R$292,A220)</f>
        <v>1</v>
      </c>
      <c r="C220" s="30" t="n">
        <f aca="false">SUMIF('Raw - Sessions'!$R$5:$R$292,A220,'Raw - Sessions'!$D$5:$D$292)</f>
        <v>0.678055555555556</v>
      </c>
      <c r="D220" s="30" t="n">
        <f aca="false">SUMIF('Raw - Sessions'!$R$5:$R$292,A220,'Raw - Sessions'!$E$5:$E$292)</f>
        <v>37.706402</v>
      </c>
      <c r="E220" s="30" t="n">
        <f aca="false">'Raw - Daily Energy'!B215</f>
        <v>82.255</v>
      </c>
      <c r="F220" s="35" t="n">
        <f aca="false">SUMIF('Raw - Sessions'!$R$5:$R$292,A220,'Raw - Sessions'!$P$5:$P$292)</f>
        <v>23.57</v>
      </c>
    </row>
    <row r="221" customFormat="false" ht="15" hidden="false" customHeight="false" outlineLevel="0" collapsed="false">
      <c r="A221" s="47" t="n">
        <f aca="false">'Raw - Daily Energy'!A216</f>
        <v>46061</v>
      </c>
      <c r="B221" s="15" t="n">
        <f aca="false">COUNTIF('Raw - Sessions'!$R$5:$R$292,A221)</f>
        <v>2</v>
      </c>
      <c r="C221" s="31" t="n">
        <f aca="false">SUMIF('Raw - Sessions'!$R$5:$R$292,A221,'Raw - Sessions'!$D$5:$D$292)</f>
        <v>1.44472222222222</v>
      </c>
      <c r="D221" s="31" t="n">
        <f aca="false">SUMIF('Raw - Sessions'!$R$5:$R$292,A221,'Raw - Sessions'!$E$5:$E$292)</f>
        <v>72.369801</v>
      </c>
      <c r="E221" s="31" t="n">
        <f aca="false">'Raw - Daily Energy'!B216</f>
        <v>27.821</v>
      </c>
      <c r="F221" s="37" t="n">
        <f aca="false">SUMIF('Raw - Sessions'!$R$5:$R$292,A221,'Raw - Sessions'!$P$5:$P$292)</f>
        <v>46.02</v>
      </c>
    </row>
    <row r="222" customFormat="false" ht="15" hidden="false" customHeight="false" outlineLevel="0" collapsed="false">
      <c r="A222" s="46" t="n">
        <f aca="false">'Raw - Daily Energy'!A217</f>
        <v>46062</v>
      </c>
      <c r="B222" s="13" t="n">
        <f aca="false">COUNTIF('Raw - Sessions'!$R$5:$R$292,A222)</f>
        <v>1</v>
      </c>
      <c r="C222" s="30" t="n">
        <f aca="false">SUMIF('Raw - Sessions'!$R$5:$R$292,A222,'Raw - Sessions'!$D$5:$D$292)</f>
        <v>1.26444444444444</v>
      </c>
      <c r="D222" s="30" t="n">
        <f aca="false">SUMIF('Raw - Sessions'!$R$5:$R$292,A222,'Raw - Sessions'!$E$5:$E$292)</f>
        <v>55.450699</v>
      </c>
      <c r="E222" s="30" t="n">
        <f aca="false">'Raw - Daily Energy'!B217</f>
        <v>55.451</v>
      </c>
      <c r="F222" s="35" t="n">
        <f aca="false">SUMIF('Raw - Sessions'!$R$5:$R$292,A222,'Raw - Sessions'!$P$5:$P$292)</f>
        <v>36.09</v>
      </c>
    </row>
    <row r="223" customFormat="false" ht="15" hidden="false" customHeight="false" outlineLevel="0" collapsed="false">
      <c r="A223" s="47" t="n">
        <f aca="false">'Raw - Daily Energy'!A218</f>
        <v>46063</v>
      </c>
      <c r="B223" s="15" t="n">
        <f aca="false">COUNTIF('Raw - Sessions'!$R$5:$R$292,A223)</f>
        <v>1</v>
      </c>
      <c r="C223" s="31" t="n">
        <f aca="false">SUMIF('Raw - Sessions'!$R$5:$R$292,A223,'Raw - Sessions'!$D$5:$D$292)</f>
        <v>0.43</v>
      </c>
      <c r="D223" s="31" t="n">
        <f aca="false">SUMIF('Raw - Sessions'!$R$5:$R$292,A223,'Raw - Sessions'!$E$5:$E$292)</f>
        <v>22.3647</v>
      </c>
      <c r="E223" s="31" t="n">
        <f aca="false">'Raw - Daily Energy'!B218</f>
        <v>22.365</v>
      </c>
      <c r="F223" s="37" t="n">
        <f aca="false">SUMIF('Raw - Sessions'!$R$5:$R$292,A223,'Raw - Sessions'!$P$5:$P$292)</f>
        <v>14.13</v>
      </c>
    </row>
    <row r="224" customFormat="false" ht="15" hidden="false" customHeight="false" outlineLevel="0" collapsed="false">
      <c r="A224" s="46" t="n">
        <f aca="false">'Raw - Daily Energy'!A219</f>
        <v>46064</v>
      </c>
      <c r="B224" s="13" t="n">
        <f aca="false">COUNTIF('Raw - Sessions'!$R$5:$R$292,A224)</f>
        <v>0</v>
      </c>
      <c r="C224" s="30" t="n">
        <f aca="false">SUMIF('Raw - Sessions'!$R$5:$R$292,A224,'Raw - Sessions'!$D$5:$D$292)</f>
        <v>0</v>
      </c>
      <c r="D224" s="30" t="n">
        <f aca="false">SUMIF('Raw - Sessions'!$R$5:$R$292,A224,'Raw - Sessions'!$E$5:$E$292)</f>
        <v>0</v>
      </c>
      <c r="E224" s="30" t="n">
        <f aca="false">'Raw - Daily Energy'!B219</f>
        <v>0</v>
      </c>
      <c r="F224" s="35" t="n">
        <f aca="false">SUMIF('Raw - Sessions'!$R$5:$R$292,A224,'Raw - Sessions'!$P$5:$P$292)</f>
        <v>0</v>
      </c>
    </row>
    <row r="225" customFormat="false" ht="15" hidden="false" customHeight="false" outlineLevel="0" collapsed="false">
      <c r="A225" s="47" t="n">
        <f aca="false">'Raw - Daily Energy'!A220</f>
        <v>46065</v>
      </c>
      <c r="B225" s="15" t="n">
        <f aca="false">COUNTIF('Raw - Sessions'!$R$5:$R$292,A225)</f>
        <v>0</v>
      </c>
      <c r="C225" s="31" t="n">
        <f aca="false">SUMIF('Raw - Sessions'!$R$5:$R$292,A225,'Raw - Sessions'!$D$5:$D$292)</f>
        <v>0</v>
      </c>
      <c r="D225" s="31" t="n">
        <f aca="false">SUMIF('Raw - Sessions'!$R$5:$R$292,A225,'Raw - Sessions'!$E$5:$E$292)</f>
        <v>0</v>
      </c>
      <c r="E225" s="31" t="n">
        <f aca="false">'Raw - Daily Energy'!B220</f>
        <v>0</v>
      </c>
      <c r="F225" s="37" t="n">
        <f aca="false">SUMIF('Raw - Sessions'!$R$5:$R$292,A225,'Raw - Sessions'!$P$5:$P$292)</f>
        <v>0</v>
      </c>
    </row>
    <row r="226" customFormat="false" ht="15" hidden="false" customHeight="false" outlineLevel="0" collapsed="false">
      <c r="A226" s="46" t="n">
        <f aca="false">'Raw - Daily Energy'!A221</f>
        <v>46066</v>
      </c>
      <c r="B226" s="13" t="n">
        <f aca="false">COUNTIF('Raw - Sessions'!$R$5:$R$292,A226)</f>
        <v>0</v>
      </c>
      <c r="C226" s="30" t="n">
        <f aca="false">SUMIF('Raw - Sessions'!$R$5:$R$292,A226,'Raw - Sessions'!$D$5:$D$292)</f>
        <v>0</v>
      </c>
      <c r="D226" s="30" t="n">
        <f aca="false">SUMIF('Raw - Sessions'!$R$5:$R$292,A226,'Raw - Sessions'!$E$5:$E$292)</f>
        <v>0</v>
      </c>
      <c r="E226" s="30" t="n">
        <f aca="false">'Raw - Daily Energy'!B221</f>
        <v>0</v>
      </c>
      <c r="F226" s="35" t="n">
        <f aca="false">SUMIF('Raw - Sessions'!$R$5:$R$292,A226,'Raw - Sessions'!$P$5:$P$292)</f>
        <v>0</v>
      </c>
    </row>
    <row r="227" customFormat="false" ht="15" hidden="false" customHeight="false" outlineLevel="0" collapsed="false">
      <c r="A227" s="47" t="n">
        <f aca="false">'Raw - Daily Energy'!A222</f>
        <v>46067</v>
      </c>
      <c r="B227" s="15" t="n">
        <f aca="false">COUNTIF('Raw - Sessions'!$R$5:$R$292,A227)</f>
        <v>0</v>
      </c>
      <c r="C227" s="31" t="n">
        <f aca="false">SUMIF('Raw - Sessions'!$R$5:$R$292,A227,'Raw - Sessions'!$D$5:$D$292)</f>
        <v>0</v>
      </c>
      <c r="D227" s="31" t="n">
        <f aca="false">SUMIF('Raw - Sessions'!$R$5:$R$292,A227,'Raw - Sessions'!$E$5:$E$292)</f>
        <v>0</v>
      </c>
      <c r="E227" s="31" t="n">
        <f aca="false">'Raw - Daily Energy'!B222</f>
        <v>0</v>
      </c>
      <c r="F227" s="37" t="n">
        <f aca="false">SUMIF('Raw - Sessions'!$R$5:$R$292,A227,'Raw - Sessions'!$P$5:$P$292)</f>
        <v>0</v>
      </c>
    </row>
    <row r="228" customFormat="false" ht="15" hidden="false" customHeight="false" outlineLevel="0" collapsed="false">
      <c r="A228" s="46" t="n">
        <f aca="false">'Raw - Daily Energy'!A223</f>
        <v>46068</v>
      </c>
      <c r="B228" s="13" t="n">
        <f aca="false">COUNTIF('Raw - Sessions'!$R$5:$R$292,A228)</f>
        <v>0</v>
      </c>
      <c r="C228" s="30" t="n">
        <f aca="false">SUMIF('Raw - Sessions'!$R$5:$R$292,A228,'Raw - Sessions'!$D$5:$D$292)</f>
        <v>0</v>
      </c>
      <c r="D228" s="30" t="n">
        <f aca="false">SUMIF('Raw - Sessions'!$R$5:$R$292,A228,'Raw - Sessions'!$E$5:$E$292)</f>
        <v>0</v>
      </c>
      <c r="E228" s="30" t="n">
        <f aca="false">'Raw - Daily Energy'!B223</f>
        <v>0</v>
      </c>
      <c r="F228" s="35" t="n">
        <f aca="false">SUMIF('Raw - Sessions'!$R$5:$R$292,A228,'Raw - Sessions'!$P$5:$P$292)</f>
        <v>0</v>
      </c>
    </row>
    <row r="229" customFormat="false" ht="15" hidden="false" customHeight="false" outlineLevel="0" collapsed="false">
      <c r="A229" s="47" t="n">
        <f aca="false">'Raw - Daily Energy'!A224</f>
        <v>46069</v>
      </c>
      <c r="B229" s="15" t="n">
        <f aca="false">COUNTIF('Raw - Sessions'!$R$5:$R$292,A229)</f>
        <v>1</v>
      </c>
      <c r="C229" s="31" t="n">
        <f aca="false">SUMIF('Raw - Sessions'!$R$5:$R$292,A229,'Raw - Sessions'!$D$5:$D$292)</f>
        <v>2.33555555555556</v>
      </c>
      <c r="D229" s="31" t="n">
        <f aca="false">SUMIF('Raw - Sessions'!$R$5:$R$292,A229,'Raw - Sessions'!$E$5:$E$292)</f>
        <v>89.408302</v>
      </c>
      <c r="E229" s="31" t="n">
        <f aca="false">'Raw - Daily Energy'!B224</f>
        <v>89.408</v>
      </c>
      <c r="F229" s="37" t="n">
        <f aca="false">SUMIF('Raw - Sessions'!$R$5:$R$292,A229,'Raw - Sessions'!$P$5:$P$292)</f>
        <v>59.76</v>
      </c>
    </row>
    <row r="230" customFormat="false" ht="15" hidden="false" customHeight="false" outlineLevel="0" collapsed="false">
      <c r="A230" s="46" t="n">
        <f aca="false">'Raw - Daily Energy'!A225</f>
        <v>46070</v>
      </c>
      <c r="B230" s="13" t="n">
        <f aca="false">COUNTIF('Raw - Sessions'!$R$5:$R$292,A230)</f>
        <v>0</v>
      </c>
      <c r="C230" s="30" t="n">
        <f aca="false">SUMIF('Raw - Sessions'!$R$5:$R$292,A230,'Raw - Sessions'!$D$5:$D$292)</f>
        <v>0</v>
      </c>
      <c r="D230" s="30" t="n">
        <f aca="false">SUMIF('Raw - Sessions'!$R$5:$R$292,A230,'Raw - Sessions'!$E$5:$E$292)</f>
        <v>0</v>
      </c>
      <c r="E230" s="30" t="n">
        <f aca="false">'Raw - Daily Energy'!B225</f>
        <v>0</v>
      </c>
      <c r="F230" s="35" t="n">
        <f aca="false">SUMIF('Raw - Sessions'!$R$5:$R$292,A230,'Raw - Sessions'!$P$5:$P$292)</f>
        <v>0</v>
      </c>
    </row>
    <row r="231" customFormat="false" ht="15" hidden="false" customHeight="false" outlineLevel="0" collapsed="false">
      <c r="A231" s="47" t="n">
        <f aca="false">'Raw - Daily Energy'!A226</f>
        <v>46071</v>
      </c>
      <c r="B231" s="15" t="n">
        <f aca="false">COUNTIF('Raw - Sessions'!$R$5:$R$292,A231)</f>
        <v>0</v>
      </c>
      <c r="C231" s="31" t="n">
        <f aca="false">SUMIF('Raw - Sessions'!$R$5:$R$292,A231,'Raw - Sessions'!$D$5:$D$292)</f>
        <v>0</v>
      </c>
      <c r="D231" s="31" t="n">
        <f aca="false">SUMIF('Raw - Sessions'!$R$5:$R$292,A231,'Raw - Sessions'!$E$5:$E$292)</f>
        <v>0</v>
      </c>
      <c r="E231" s="31" t="n">
        <f aca="false">'Raw - Daily Energy'!B226</f>
        <v>14.537</v>
      </c>
      <c r="F231" s="37" t="n">
        <f aca="false">SUMIF('Raw - Sessions'!$R$5:$R$292,A231,'Raw - Sessions'!$P$5:$P$292)</f>
        <v>0</v>
      </c>
    </row>
    <row r="232" customFormat="false" ht="15" hidden="false" customHeight="false" outlineLevel="0" collapsed="false">
      <c r="A232" s="46" t="n">
        <f aca="false">'Raw - Daily Energy'!A227</f>
        <v>46072</v>
      </c>
      <c r="B232" s="13" t="n">
        <f aca="false">COUNTIF('Raw - Sessions'!$R$5:$R$292,A232)</f>
        <v>2</v>
      </c>
      <c r="C232" s="30" t="n">
        <f aca="false">SUMIF('Raw - Sessions'!$R$5:$R$292,A232,'Raw - Sessions'!$D$5:$D$292)</f>
        <v>3.83611111111111</v>
      </c>
      <c r="D232" s="30" t="n">
        <f aca="false">SUMIF('Raw - Sessions'!$R$5:$R$292,A232,'Raw - Sessions'!$E$5:$E$292)</f>
        <v>46.373246</v>
      </c>
      <c r="E232" s="30" t="n">
        <f aca="false">'Raw - Daily Energy'!B227</f>
        <v>31.837</v>
      </c>
      <c r="F232" s="35" t="n">
        <f aca="false">SUMIF('Raw - Sessions'!$R$5:$R$292,A232,'Raw - Sessions'!$P$5:$P$292)</f>
        <v>44.92</v>
      </c>
    </row>
    <row r="233" customFormat="false" ht="15" hidden="false" customHeight="false" outlineLevel="0" collapsed="false">
      <c r="A233" s="47" t="n">
        <f aca="false">'Raw - Daily Energy'!A228</f>
        <v>46073</v>
      </c>
      <c r="B233" s="15" t="n">
        <f aca="false">COUNTIF('Raw - Sessions'!$R$5:$R$292,A233)</f>
        <v>0</v>
      </c>
      <c r="C233" s="31" t="n">
        <f aca="false">SUMIF('Raw - Sessions'!$R$5:$R$292,A233,'Raw - Sessions'!$D$5:$D$292)</f>
        <v>0</v>
      </c>
      <c r="D233" s="31" t="n">
        <f aca="false">SUMIF('Raw - Sessions'!$R$5:$R$292,A233,'Raw - Sessions'!$E$5:$E$292)</f>
        <v>0</v>
      </c>
      <c r="E233" s="31" t="n">
        <f aca="false">'Raw - Daily Energy'!B228</f>
        <v>0</v>
      </c>
      <c r="F233" s="37" t="n">
        <f aca="false">SUMIF('Raw - Sessions'!$R$5:$R$292,A233,'Raw - Sessions'!$P$5:$P$292)</f>
        <v>0</v>
      </c>
    </row>
    <row r="234" customFormat="false" ht="15" hidden="false" customHeight="false" outlineLevel="0" collapsed="false">
      <c r="A234" s="46" t="n">
        <f aca="false">'Raw - Daily Energy'!A229</f>
        <v>46074</v>
      </c>
      <c r="B234" s="13" t="n">
        <f aca="false">COUNTIF('Raw - Sessions'!$R$5:$R$292,A234)</f>
        <v>0</v>
      </c>
      <c r="C234" s="30" t="n">
        <f aca="false">SUMIF('Raw - Sessions'!$R$5:$R$292,A234,'Raw - Sessions'!$D$5:$D$292)</f>
        <v>0</v>
      </c>
      <c r="D234" s="30" t="n">
        <f aca="false">SUMIF('Raw - Sessions'!$R$5:$R$292,A234,'Raw - Sessions'!$E$5:$E$292)</f>
        <v>0</v>
      </c>
      <c r="E234" s="30" t="n">
        <f aca="false">'Raw - Daily Energy'!B229</f>
        <v>17.587</v>
      </c>
      <c r="F234" s="35" t="n">
        <f aca="false">SUMIF('Raw - Sessions'!$R$5:$R$292,A234,'Raw - Sessions'!$P$5:$P$292)</f>
        <v>0</v>
      </c>
    </row>
    <row r="235" customFormat="false" ht="15" hidden="false" customHeight="false" outlineLevel="0" collapsed="false">
      <c r="A235" s="47" t="n">
        <f aca="false">'Raw - Daily Energy'!A230</f>
        <v>46075</v>
      </c>
      <c r="B235" s="15" t="n">
        <f aca="false">COUNTIF('Raw - Sessions'!$R$5:$R$292,A235)</f>
        <v>4</v>
      </c>
      <c r="C235" s="31" t="n">
        <f aca="false">SUMIF('Raw - Sessions'!$R$5:$R$292,A235,'Raw - Sessions'!$D$5:$D$292)</f>
        <v>0.578333333333333</v>
      </c>
      <c r="D235" s="31" t="n">
        <f aca="false">SUMIF('Raw - Sessions'!$R$5:$R$292,A235,'Raw - Sessions'!$E$5:$E$292)</f>
        <v>29.2255</v>
      </c>
      <c r="E235" s="31" t="n">
        <f aca="false">'Raw - Daily Energy'!B230</f>
        <v>11.639</v>
      </c>
      <c r="F235" s="37" t="n">
        <f aca="false">SUMIF('Raw - Sessions'!$R$5:$R$292,A235,'Raw - Sessions'!$P$5:$P$292)</f>
        <v>18.32</v>
      </c>
    </row>
    <row r="236" customFormat="false" ht="15" hidden="false" customHeight="false" outlineLevel="0" collapsed="false">
      <c r="A236" s="46" t="n">
        <f aca="false">'Raw - Daily Energy'!A231</f>
        <v>46076</v>
      </c>
      <c r="B236" s="13" t="n">
        <f aca="false">COUNTIF('Raw - Sessions'!$R$5:$R$292,A236)</f>
        <v>2</v>
      </c>
      <c r="C236" s="30" t="n">
        <f aca="false">SUMIF('Raw - Sessions'!$R$5:$R$292,A236,'Raw - Sessions'!$D$5:$D$292)</f>
        <v>1.40333333333333</v>
      </c>
      <c r="D236" s="30" t="n">
        <f aca="false">SUMIF('Raw - Sessions'!$R$5:$R$292,A236,'Raw - Sessions'!$E$5:$E$292)</f>
        <v>19.791105</v>
      </c>
      <c r="E236" s="30" t="n">
        <f aca="false">'Raw - Daily Energy'!B231</f>
        <v>19.791</v>
      </c>
      <c r="F236" s="35" t="n">
        <f aca="false">SUMIF('Raw - Sessions'!$R$5:$R$292,A236,'Raw - Sessions'!$P$5:$P$292)</f>
        <v>17.92</v>
      </c>
    </row>
    <row r="237" customFormat="false" ht="15" hidden="false" customHeight="false" outlineLevel="0" collapsed="false">
      <c r="A237" s="47" t="n">
        <f aca="false">'Raw - Daily Energy'!A232</f>
        <v>46077</v>
      </c>
      <c r="B237" s="15" t="n">
        <f aca="false">COUNTIF('Raw - Sessions'!$R$5:$R$292,A237)</f>
        <v>2</v>
      </c>
      <c r="C237" s="31" t="n">
        <f aca="false">SUMIF('Raw - Sessions'!$R$5:$R$292,A237,'Raw - Sessions'!$D$5:$D$292)</f>
        <v>1.14666666666667</v>
      </c>
      <c r="D237" s="31" t="n">
        <f aca="false">SUMIF('Raw - Sessions'!$R$5:$R$292,A237,'Raw - Sessions'!$E$5:$E$292)</f>
        <v>62.557197</v>
      </c>
      <c r="E237" s="31" t="n">
        <f aca="false">'Raw - Daily Energy'!B232</f>
        <v>62.557</v>
      </c>
      <c r="F237" s="37" t="n">
        <f aca="false">SUMIF('Raw - Sessions'!$R$5:$R$292,A237,'Raw - Sessions'!$P$5:$P$292)</f>
        <v>39.23</v>
      </c>
    </row>
    <row r="238" customFormat="false" ht="15" hidden="false" customHeight="false" outlineLevel="0" collapsed="false">
      <c r="A238" s="46" t="n">
        <f aca="false">'Raw - Daily Energy'!A233</f>
        <v>46078</v>
      </c>
      <c r="B238" s="13" t="n">
        <f aca="false">COUNTIF('Raw - Sessions'!$R$5:$R$292,A238)</f>
        <v>0</v>
      </c>
      <c r="C238" s="30" t="n">
        <f aca="false">SUMIF('Raw - Sessions'!$R$5:$R$292,A238,'Raw - Sessions'!$D$5:$D$292)</f>
        <v>0</v>
      </c>
      <c r="D238" s="30" t="n">
        <f aca="false">SUMIF('Raw - Sessions'!$R$5:$R$292,A238,'Raw - Sessions'!$E$5:$E$292)</f>
        <v>0</v>
      </c>
      <c r="E238" s="30" t="n">
        <f aca="false">'Raw - Daily Energy'!B233</f>
        <v>0</v>
      </c>
      <c r="F238" s="35" t="n">
        <f aca="false">SUMIF('Raw - Sessions'!$R$5:$R$292,A238,'Raw - Sessions'!$P$5:$P$292)</f>
        <v>0</v>
      </c>
    </row>
    <row r="239" customFormat="false" ht="15" hidden="false" customHeight="false" outlineLevel="0" collapsed="false">
      <c r="A239" s="47" t="n">
        <f aca="false">'Raw - Daily Energy'!A234</f>
        <v>46079</v>
      </c>
      <c r="B239" s="15" t="n">
        <f aca="false">COUNTIF('Raw - Sessions'!$R$5:$R$292,A239)</f>
        <v>0</v>
      </c>
      <c r="C239" s="31" t="n">
        <f aca="false">SUMIF('Raw - Sessions'!$R$5:$R$292,A239,'Raw - Sessions'!$D$5:$D$292)</f>
        <v>0</v>
      </c>
      <c r="D239" s="31" t="n">
        <f aca="false">SUMIF('Raw - Sessions'!$R$5:$R$292,A239,'Raw - Sessions'!$E$5:$E$292)</f>
        <v>0</v>
      </c>
      <c r="E239" s="31" t="n">
        <f aca="false">'Raw - Daily Energy'!B234</f>
        <v>0</v>
      </c>
      <c r="F239" s="37" t="n">
        <f aca="false">SUMIF('Raw - Sessions'!$R$5:$R$292,A239,'Raw - Sessions'!$P$5:$P$292)</f>
        <v>0</v>
      </c>
    </row>
    <row r="240" customFormat="false" ht="15" hidden="false" customHeight="false" outlineLevel="0" collapsed="false">
      <c r="A240" s="46" t="n">
        <f aca="false">'Raw - Daily Energy'!A235</f>
        <v>46080</v>
      </c>
      <c r="B240" s="13" t="n">
        <f aca="false">COUNTIF('Raw - Sessions'!$R$5:$R$292,A240)</f>
        <v>3</v>
      </c>
      <c r="C240" s="30" t="n">
        <f aca="false">SUMIF('Raw - Sessions'!$R$5:$R$292,A240,'Raw - Sessions'!$D$5:$D$292)</f>
        <v>1.50583333333333</v>
      </c>
      <c r="D240" s="30" t="n">
        <f aca="false">SUMIF('Raw - Sessions'!$R$5:$R$292,A240,'Raw - Sessions'!$E$5:$E$292)</f>
        <v>77.4358</v>
      </c>
      <c r="E240" s="30" t="n">
        <f aca="false">'Raw - Daily Energy'!B235</f>
        <v>77.436</v>
      </c>
      <c r="F240" s="35" t="n">
        <f aca="false">SUMIF('Raw - Sessions'!$R$5:$R$292,A240,'Raw - Sessions'!$P$5:$P$292)</f>
        <v>48.84</v>
      </c>
    </row>
    <row r="241" customFormat="false" ht="15" hidden="false" customHeight="false" outlineLevel="0" collapsed="false">
      <c r="A241" s="47" t="n">
        <f aca="false">'Raw - Daily Energy'!A236</f>
        <v>46081</v>
      </c>
      <c r="B241" s="15" t="n">
        <f aca="false">COUNTIF('Raw - Sessions'!$R$5:$R$292,A241)</f>
        <v>2</v>
      </c>
      <c r="C241" s="31" t="n">
        <f aca="false">SUMIF('Raw - Sessions'!$R$5:$R$292,A241,'Raw - Sessions'!$D$5:$D$292)</f>
        <v>0.69</v>
      </c>
      <c r="D241" s="31" t="n">
        <f aca="false">SUMIF('Raw - Sessions'!$R$5:$R$292,A241,'Raw - Sessions'!$E$5:$E$292)</f>
        <v>38.551199</v>
      </c>
      <c r="E241" s="31" t="n">
        <f aca="false">'Raw - Daily Energy'!B236</f>
        <v>38.551</v>
      </c>
      <c r="F241" s="37" t="n">
        <f aca="false">SUMIF('Raw - Sessions'!$R$5:$R$292,A241,'Raw - Sessions'!$P$5:$P$292)</f>
        <v>23.86</v>
      </c>
    </row>
    <row r="242" customFormat="false" ht="15" hidden="false" customHeight="false" outlineLevel="0" collapsed="false">
      <c r="A242" s="46" t="n">
        <f aca="false">'Raw - Daily Energy'!A237</f>
        <v>46082</v>
      </c>
      <c r="B242" s="13" t="n">
        <f aca="false">COUNTIF('Raw - Sessions'!$R$5:$R$292,A242)</f>
        <v>0</v>
      </c>
      <c r="C242" s="30" t="n">
        <f aca="false">SUMIF('Raw - Sessions'!$R$5:$R$292,A242,'Raw - Sessions'!$D$5:$D$292)</f>
        <v>0</v>
      </c>
      <c r="D242" s="30" t="n">
        <f aca="false">SUMIF('Raw - Sessions'!$R$5:$R$292,A242,'Raw - Sessions'!$E$5:$E$292)</f>
        <v>0</v>
      </c>
      <c r="E242" s="30" t="n">
        <f aca="false">'Raw - Daily Energy'!B237</f>
        <v>0</v>
      </c>
      <c r="F242" s="35" t="n">
        <f aca="false">SUMIF('Raw - Sessions'!$R$5:$R$292,A242,'Raw - Sessions'!$P$5:$P$292)</f>
        <v>0</v>
      </c>
    </row>
    <row r="243" customFormat="false" ht="15" hidden="false" customHeight="false" outlineLevel="0" collapsed="false">
      <c r="A243" s="47" t="n">
        <f aca="false">'Raw - Daily Energy'!A238</f>
        <v>46083</v>
      </c>
      <c r="B243" s="15" t="n">
        <f aca="false">COUNTIF('Raw - Sessions'!$R$5:$R$292,A243)</f>
        <v>0</v>
      </c>
      <c r="C243" s="31" t="n">
        <f aca="false">SUMIF('Raw - Sessions'!$R$5:$R$292,A243,'Raw - Sessions'!$D$5:$D$292)</f>
        <v>0</v>
      </c>
      <c r="D243" s="31" t="n">
        <f aca="false">SUMIF('Raw - Sessions'!$R$5:$R$292,A243,'Raw - Sessions'!$E$5:$E$292)</f>
        <v>0</v>
      </c>
      <c r="E243" s="31" t="n">
        <f aca="false">'Raw - Daily Energy'!B238</f>
        <v>67.745</v>
      </c>
      <c r="F243" s="37" t="n">
        <f aca="false">SUMIF('Raw - Sessions'!$R$5:$R$292,A243,'Raw - Sessions'!$P$5:$P$292)</f>
        <v>0</v>
      </c>
    </row>
    <row r="244" customFormat="false" ht="15" hidden="false" customHeight="false" outlineLevel="0" collapsed="false">
      <c r="A244" s="46" t="n">
        <f aca="false">'Raw - Daily Energy'!A239</f>
        <v>46084</v>
      </c>
      <c r="B244" s="13" t="n">
        <f aca="false">COUNTIF('Raw - Sessions'!$R$5:$R$292,A244)</f>
        <v>1</v>
      </c>
      <c r="C244" s="30" t="n">
        <f aca="false">SUMIF('Raw - Sessions'!$R$5:$R$292,A244,'Raw - Sessions'!$D$5:$D$292)</f>
        <v>1.47555555555556</v>
      </c>
      <c r="D244" s="30" t="n">
        <f aca="false">SUMIF('Raw - Sessions'!$R$5:$R$292,A244,'Raw - Sessions'!$E$5:$E$292)</f>
        <v>67.7453</v>
      </c>
      <c r="E244" s="30" t="n">
        <f aca="false">'Raw - Daily Energy'!B239</f>
        <v>0</v>
      </c>
      <c r="F244" s="35" t="n">
        <f aca="false">SUMIF('Raw - Sessions'!$R$5:$R$292,A244,'Raw - Sessions'!$P$5:$P$292)</f>
        <v>43.72</v>
      </c>
    </row>
    <row r="245" customFormat="false" ht="15" hidden="false" customHeight="false" outlineLevel="0" collapsed="false">
      <c r="A245" s="47" t="n">
        <f aca="false">'Raw - Daily Energy'!A240</f>
        <v>46085</v>
      </c>
      <c r="B245" s="15" t="n">
        <f aca="false">COUNTIF('Raw - Sessions'!$R$5:$R$292,A245)</f>
        <v>0</v>
      </c>
      <c r="C245" s="31" t="n">
        <f aca="false">SUMIF('Raw - Sessions'!$R$5:$R$292,A245,'Raw - Sessions'!$D$5:$D$292)</f>
        <v>0</v>
      </c>
      <c r="D245" s="31" t="n">
        <f aca="false">SUMIF('Raw - Sessions'!$R$5:$R$292,A245,'Raw - Sessions'!$E$5:$E$292)</f>
        <v>0</v>
      </c>
      <c r="E245" s="31" t="n">
        <f aca="false">'Raw - Daily Energy'!B240</f>
        <v>0</v>
      </c>
      <c r="F245" s="37" t="n">
        <f aca="false">SUMIF('Raw - Sessions'!$R$5:$R$292,A245,'Raw - Sessions'!$P$5:$P$292)</f>
        <v>0</v>
      </c>
    </row>
    <row r="246" customFormat="false" ht="15" hidden="false" customHeight="false" outlineLevel="0" collapsed="false">
      <c r="A246" s="46" t="n">
        <f aca="false">'Raw - Daily Energy'!A241</f>
        <v>46086</v>
      </c>
      <c r="B246" s="13" t="n">
        <f aca="false">COUNTIF('Raw - Sessions'!$R$5:$R$292,A246)</f>
        <v>0</v>
      </c>
      <c r="C246" s="30" t="n">
        <f aca="false">SUMIF('Raw - Sessions'!$R$5:$R$292,A246,'Raw - Sessions'!$D$5:$D$292)</f>
        <v>0</v>
      </c>
      <c r="D246" s="30" t="n">
        <f aca="false">SUMIF('Raw - Sessions'!$R$5:$R$292,A246,'Raw - Sessions'!$E$5:$E$292)</f>
        <v>0</v>
      </c>
      <c r="E246" s="30" t="n">
        <f aca="false">'Raw - Daily Energy'!B241</f>
        <v>0</v>
      </c>
      <c r="F246" s="35" t="n">
        <f aca="false">SUMIF('Raw - Sessions'!$R$5:$R$292,A246,'Raw - Sessions'!$P$5:$P$292)</f>
        <v>0</v>
      </c>
    </row>
    <row r="247" customFormat="false" ht="15" hidden="false" customHeight="false" outlineLevel="0" collapsed="false">
      <c r="A247" s="47" t="n">
        <f aca="false">'Raw - Daily Energy'!A242</f>
        <v>46087</v>
      </c>
      <c r="B247" s="15" t="n">
        <f aca="false">COUNTIF('Raw - Sessions'!$R$5:$R$292,A247)</f>
        <v>0</v>
      </c>
      <c r="C247" s="31" t="n">
        <f aca="false">SUMIF('Raw - Sessions'!$R$5:$R$292,A247,'Raw - Sessions'!$D$5:$D$292)</f>
        <v>0</v>
      </c>
      <c r="D247" s="31" t="n">
        <f aca="false">SUMIF('Raw - Sessions'!$R$5:$R$292,A247,'Raw - Sessions'!$E$5:$E$292)</f>
        <v>0</v>
      </c>
      <c r="E247" s="31" t="n">
        <f aca="false">'Raw - Daily Energy'!B242</f>
        <v>0</v>
      </c>
      <c r="F247" s="37" t="n">
        <f aca="false">SUMIF('Raw - Sessions'!$R$5:$R$292,A247,'Raw - Sessions'!$P$5:$P$292)</f>
        <v>0</v>
      </c>
    </row>
    <row r="248" customFormat="false" ht="15" hidden="false" customHeight="false" outlineLevel="0" collapsed="false">
      <c r="A248" s="46" t="n">
        <f aca="false">'Raw - Daily Energy'!A243</f>
        <v>46088</v>
      </c>
      <c r="B248" s="13" t="n">
        <f aca="false">COUNTIF('Raw - Sessions'!$R$5:$R$292,A248)</f>
        <v>0</v>
      </c>
      <c r="C248" s="30" t="n">
        <f aca="false">SUMIF('Raw - Sessions'!$R$5:$R$292,A248,'Raw - Sessions'!$D$5:$D$292)</f>
        <v>0</v>
      </c>
      <c r="D248" s="30" t="n">
        <f aca="false">SUMIF('Raw - Sessions'!$R$5:$R$292,A248,'Raw - Sessions'!$E$5:$E$292)</f>
        <v>0</v>
      </c>
      <c r="E248" s="30" t="n">
        <f aca="false">'Raw - Daily Energy'!B243</f>
        <v>0</v>
      </c>
      <c r="F248" s="35" t="n">
        <f aca="false">SUMIF('Raw - Sessions'!$R$5:$R$292,A248,'Raw - Sessions'!$P$5:$P$292)</f>
        <v>0</v>
      </c>
    </row>
    <row r="249" customFormat="false" ht="15" hidden="false" customHeight="false" outlineLevel="0" collapsed="false">
      <c r="A249" s="47" t="n">
        <f aca="false">'Raw - Daily Energy'!A244</f>
        <v>46089</v>
      </c>
      <c r="B249" s="15" t="n">
        <f aca="false">COUNTIF('Raw - Sessions'!$R$5:$R$292,A249)</f>
        <v>3</v>
      </c>
      <c r="C249" s="31" t="n">
        <f aca="false">SUMIF('Raw - Sessions'!$R$5:$R$292,A249,'Raw - Sessions'!$D$5:$D$292)</f>
        <v>1.19777777777778</v>
      </c>
      <c r="D249" s="31" t="n">
        <f aca="false">SUMIF('Raw - Sessions'!$R$5:$R$292,A249,'Raw - Sessions'!$E$5:$E$292)</f>
        <v>39.682908</v>
      </c>
      <c r="E249" s="31" t="n">
        <f aca="false">'Raw - Daily Energy'!B244</f>
        <v>52.165</v>
      </c>
      <c r="F249" s="37" t="n">
        <f aca="false">SUMIF('Raw - Sessions'!$R$5:$R$292,A249,'Raw - Sessions'!$P$5:$P$292)</f>
        <v>27.38</v>
      </c>
    </row>
    <row r="250" customFormat="false" ht="15" hidden="false" customHeight="false" outlineLevel="0" collapsed="false">
      <c r="A250" s="46" t="n">
        <f aca="false">'Raw - Daily Energy'!A245</f>
        <v>46090</v>
      </c>
      <c r="B250" s="13" t="n">
        <f aca="false">COUNTIF('Raw - Sessions'!$R$5:$R$292,A250)</f>
        <v>1</v>
      </c>
      <c r="C250" s="30" t="n">
        <f aca="false">SUMIF('Raw - Sessions'!$R$5:$R$292,A250,'Raw - Sessions'!$D$5:$D$292)</f>
        <v>0.220833333333333</v>
      </c>
      <c r="D250" s="30" t="n">
        <f aca="false">SUMIF('Raw - Sessions'!$R$5:$R$292,A250,'Raw - Sessions'!$E$5:$E$292)</f>
        <v>12.4824</v>
      </c>
      <c r="E250" s="30" t="n">
        <f aca="false">'Raw - Daily Energy'!B245</f>
        <v>0</v>
      </c>
      <c r="F250" s="35" t="n">
        <f aca="false">SUMIF('Raw - Sessions'!$R$5:$R$292,A250,'Raw - Sessions'!$P$5:$P$292)</f>
        <v>7.78</v>
      </c>
    </row>
    <row r="251" customFormat="false" ht="15" hidden="false" customHeight="false" outlineLevel="0" collapsed="false">
      <c r="A251" s="47" t="n">
        <f aca="false">'Raw - Daily Energy'!A246</f>
        <v>46091</v>
      </c>
      <c r="B251" s="15" t="n">
        <f aca="false">COUNTIF('Raw - Sessions'!$R$5:$R$292,A251)</f>
        <v>0</v>
      </c>
      <c r="C251" s="31" t="n">
        <f aca="false">SUMIF('Raw - Sessions'!$R$5:$R$292,A251,'Raw - Sessions'!$D$5:$D$292)</f>
        <v>0</v>
      </c>
      <c r="D251" s="31" t="n">
        <f aca="false">SUMIF('Raw - Sessions'!$R$5:$R$292,A251,'Raw - Sessions'!$E$5:$E$292)</f>
        <v>0</v>
      </c>
      <c r="E251" s="31" t="n">
        <f aca="false">'Raw - Daily Energy'!B246</f>
        <v>0</v>
      </c>
      <c r="F251" s="37" t="n">
        <f aca="false">SUMIF('Raw - Sessions'!$R$5:$R$292,A251,'Raw - Sessions'!$P$5:$P$292)</f>
        <v>0</v>
      </c>
    </row>
    <row r="252" customFormat="false" ht="15" hidden="false" customHeight="false" outlineLevel="0" collapsed="false">
      <c r="A252" s="46" t="n">
        <f aca="false">'Raw - Daily Energy'!A247</f>
        <v>46092</v>
      </c>
      <c r="B252" s="13" t="n">
        <f aca="false">COUNTIF('Raw - Sessions'!$R$5:$R$292,A252)</f>
        <v>1</v>
      </c>
      <c r="C252" s="30" t="n">
        <f aca="false">SUMIF('Raw - Sessions'!$R$5:$R$292,A252,'Raw - Sessions'!$D$5:$D$292)</f>
        <v>1.82805555555556</v>
      </c>
      <c r="D252" s="30" t="n">
        <f aca="false">SUMIF('Raw - Sessions'!$R$5:$R$292,A252,'Raw - Sessions'!$E$5:$E$292)</f>
        <v>60.586899</v>
      </c>
      <c r="E252" s="30" t="n">
        <f aca="false">'Raw - Daily Energy'!B247</f>
        <v>60.587</v>
      </c>
      <c r="F252" s="35" t="n">
        <f aca="false">SUMIF('Raw - Sessions'!$R$5:$R$292,A252,'Raw - Sessions'!$P$5:$P$292)</f>
        <v>41.8</v>
      </c>
    </row>
    <row r="253" customFormat="false" ht="15" hidden="false" customHeight="false" outlineLevel="0" collapsed="false">
      <c r="A253" s="47" t="n">
        <f aca="false">'Raw - Daily Energy'!A248</f>
        <v>46093</v>
      </c>
      <c r="B253" s="15" t="n">
        <f aca="false">COUNTIF('Raw - Sessions'!$R$5:$R$292,A253)</f>
        <v>0</v>
      </c>
      <c r="C253" s="31" t="n">
        <f aca="false">SUMIF('Raw - Sessions'!$R$5:$R$292,A253,'Raw - Sessions'!$D$5:$D$292)</f>
        <v>0</v>
      </c>
      <c r="D253" s="31" t="n">
        <f aca="false">SUMIF('Raw - Sessions'!$R$5:$R$292,A253,'Raw - Sessions'!$E$5:$E$292)</f>
        <v>0</v>
      </c>
      <c r="E253" s="31" t="n">
        <f aca="false">'Raw - Daily Energy'!B248</f>
        <v>0</v>
      </c>
      <c r="F253" s="37" t="n">
        <f aca="false">SUMIF('Raw - Sessions'!$R$5:$R$292,A253,'Raw - Sessions'!$P$5:$P$292)</f>
        <v>0</v>
      </c>
    </row>
    <row r="254" customFormat="false" ht="15" hidden="false" customHeight="false" outlineLevel="0" collapsed="false">
      <c r="A254" s="46" t="n">
        <f aca="false">'Raw - Daily Energy'!A249</f>
        <v>46094</v>
      </c>
      <c r="B254" s="13" t="n">
        <f aca="false">COUNTIF('Raw - Sessions'!$R$5:$R$292,A254)</f>
        <v>0</v>
      </c>
      <c r="C254" s="30" t="n">
        <f aca="false">SUMIF('Raw - Sessions'!$R$5:$R$292,A254,'Raw - Sessions'!$D$5:$D$292)</f>
        <v>0</v>
      </c>
      <c r="D254" s="30" t="n">
        <f aca="false">SUMIF('Raw - Sessions'!$R$5:$R$292,A254,'Raw - Sessions'!$E$5:$E$292)</f>
        <v>0</v>
      </c>
      <c r="E254" s="30" t="n">
        <f aca="false">'Raw - Daily Energy'!B249</f>
        <v>0</v>
      </c>
      <c r="F254" s="35" t="n">
        <f aca="false">SUMIF('Raw - Sessions'!$R$5:$R$292,A254,'Raw - Sessions'!$P$5:$P$292)</f>
        <v>0</v>
      </c>
    </row>
    <row r="255" customFormat="false" ht="15" hidden="false" customHeight="false" outlineLevel="0" collapsed="false">
      <c r="A255" s="47" t="n">
        <f aca="false">'Raw - Daily Energy'!A250</f>
        <v>46095</v>
      </c>
      <c r="B255" s="15" t="n">
        <f aca="false">COUNTIF('Raw - Sessions'!$R$5:$R$292,A255)</f>
        <v>1</v>
      </c>
      <c r="C255" s="31" t="n">
        <f aca="false">SUMIF('Raw - Sessions'!$R$5:$R$292,A255,'Raw - Sessions'!$D$5:$D$292)</f>
        <v>0.905833333333333</v>
      </c>
      <c r="D255" s="31" t="n">
        <f aca="false">SUMIF('Raw - Sessions'!$R$5:$R$292,A255,'Raw - Sessions'!$E$5:$E$292)</f>
        <v>53.8335</v>
      </c>
      <c r="E255" s="31" t="n">
        <f aca="false">'Raw - Daily Energy'!B250</f>
        <v>53.834</v>
      </c>
      <c r="F255" s="37" t="n">
        <f aca="false">SUMIF('Raw - Sessions'!$R$5:$R$292,A255,'Raw - Sessions'!$P$5:$P$292)</f>
        <v>33.34</v>
      </c>
    </row>
    <row r="256" customFormat="false" ht="15" hidden="false" customHeight="false" outlineLevel="0" collapsed="false">
      <c r="A256" s="46" t="n">
        <f aca="false">'Raw - Daily Energy'!A251</f>
        <v>46096</v>
      </c>
      <c r="B256" s="13" t="n">
        <f aca="false">COUNTIF('Raw - Sessions'!$R$5:$R$292,A256)</f>
        <v>0</v>
      </c>
      <c r="C256" s="30" t="n">
        <f aca="false">SUMIF('Raw - Sessions'!$R$5:$R$292,A256,'Raw - Sessions'!$D$5:$D$292)</f>
        <v>0</v>
      </c>
      <c r="D256" s="30" t="n">
        <f aca="false">SUMIF('Raw - Sessions'!$R$5:$R$292,A256,'Raw - Sessions'!$E$5:$E$292)</f>
        <v>0</v>
      </c>
      <c r="E256" s="30" t="n">
        <f aca="false">'Raw - Daily Energy'!B251</f>
        <v>0</v>
      </c>
      <c r="F256" s="35" t="n">
        <f aca="false">SUMIF('Raw - Sessions'!$R$5:$R$292,A256,'Raw - Sessions'!$P$5:$P$292)</f>
        <v>0</v>
      </c>
    </row>
    <row r="257" customFormat="false" ht="15" hidden="false" customHeight="false" outlineLevel="0" collapsed="false">
      <c r="A257" s="47" t="n">
        <f aca="false">'Raw - Daily Energy'!A252</f>
        <v>46097</v>
      </c>
      <c r="B257" s="15" t="n">
        <f aca="false">COUNTIF('Raw - Sessions'!$R$5:$R$292,A257)</f>
        <v>1</v>
      </c>
      <c r="C257" s="31" t="n">
        <f aca="false">SUMIF('Raw - Sessions'!$R$5:$R$292,A257,'Raw - Sessions'!$D$5:$D$292)</f>
        <v>0.301388888888889</v>
      </c>
      <c r="D257" s="31" t="n">
        <f aca="false">SUMIF('Raw - Sessions'!$R$5:$R$292,A257,'Raw - Sessions'!$E$5:$E$292)</f>
        <v>13.1724</v>
      </c>
      <c r="E257" s="31" t="n">
        <f aca="false">'Raw - Daily Energy'!B252</f>
        <v>13.172</v>
      </c>
      <c r="F257" s="37" t="n">
        <f aca="false">SUMIF('Raw - Sessions'!$R$5:$R$292,A257,'Raw - Sessions'!$P$5:$P$292)</f>
        <v>8.59</v>
      </c>
    </row>
    <row r="258" customFormat="false" ht="15" hidden="false" customHeight="false" outlineLevel="0" collapsed="false">
      <c r="A258" s="46" t="n">
        <f aca="false">'Raw - Daily Energy'!A253</f>
        <v>46098</v>
      </c>
      <c r="B258" s="13" t="n">
        <f aca="false">COUNTIF('Raw - Sessions'!$R$5:$R$292,A258)</f>
        <v>1</v>
      </c>
      <c r="C258" s="30" t="n">
        <f aca="false">SUMIF('Raw - Sessions'!$R$5:$R$292,A258,'Raw - Sessions'!$D$5:$D$292)</f>
        <v>0.879166666666667</v>
      </c>
      <c r="D258" s="30" t="n">
        <f aca="false">SUMIF('Raw - Sessions'!$R$5:$R$292,A258,'Raw - Sessions'!$E$5:$E$292)</f>
        <v>40.9562</v>
      </c>
      <c r="E258" s="30" t="n">
        <f aca="false">'Raw - Daily Energy'!B253</f>
        <v>40.956</v>
      </c>
      <c r="F258" s="35" t="n">
        <f aca="false">SUMIF('Raw - Sessions'!$R$5:$R$292,A258,'Raw - Sessions'!$P$5:$P$292)</f>
        <v>26.37</v>
      </c>
    </row>
    <row r="259" customFormat="false" ht="15" hidden="false" customHeight="false" outlineLevel="0" collapsed="false">
      <c r="A259" s="47" t="n">
        <f aca="false">'Raw - Daily Energy'!A254</f>
        <v>46099</v>
      </c>
      <c r="B259" s="15" t="n">
        <f aca="false">COUNTIF('Raw - Sessions'!$R$5:$R$292,A259)</f>
        <v>1</v>
      </c>
      <c r="C259" s="31" t="n">
        <f aca="false">SUMIF('Raw - Sessions'!$R$5:$R$292,A259,'Raw - Sessions'!$D$5:$D$292)</f>
        <v>1.10583333333333</v>
      </c>
      <c r="D259" s="31" t="n">
        <f aca="false">SUMIF('Raw - Sessions'!$R$5:$R$292,A259,'Raw - Sessions'!$E$5:$E$292)</f>
        <v>66.366898</v>
      </c>
      <c r="E259" s="31" t="n">
        <f aca="false">'Raw - Daily Energy'!B254</f>
        <v>66.367</v>
      </c>
      <c r="F259" s="37" t="n">
        <f aca="false">SUMIF('Raw - Sessions'!$R$5:$R$292,A259,'Raw - Sessions'!$P$5:$P$292)</f>
        <v>41.03</v>
      </c>
    </row>
    <row r="260" customFormat="false" ht="15" hidden="false" customHeight="false" outlineLevel="0" collapsed="false">
      <c r="A260" s="46" t="n">
        <f aca="false">'Raw - Daily Energy'!A255</f>
        <v>46100</v>
      </c>
      <c r="B260" s="13" t="n">
        <f aca="false">COUNTIF('Raw - Sessions'!$R$5:$R$292,A260)</f>
        <v>0</v>
      </c>
      <c r="C260" s="30" t="n">
        <f aca="false">SUMIF('Raw - Sessions'!$R$5:$R$292,A260,'Raw - Sessions'!$D$5:$D$292)</f>
        <v>0</v>
      </c>
      <c r="D260" s="30" t="n">
        <f aca="false">SUMIF('Raw - Sessions'!$R$5:$R$292,A260,'Raw - Sessions'!$E$5:$E$292)</f>
        <v>0</v>
      </c>
      <c r="E260" s="30" t="n">
        <f aca="false">'Raw - Daily Energy'!B255</f>
        <v>0</v>
      </c>
      <c r="F260" s="35" t="n">
        <f aca="false">SUMIF('Raw - Sessions'!$R$5:$R$292,A260,'Raw - Sessions'!$P$5:$P$292)</f>
        <v>0</v>
      </c>
    </row>
    <row r="261" customFormat="false" ht="15" hidden="false" customHeight="false" outlineLevel="0" collapsed="false">
      <c r="A261" s="47" t="n">
        <f aca="false">'Raw - Daily Energy'!A256</f>
        <v>46101</v>
      </c>
      <c r="B261" s="15" t="n">
        <f aca="false">COUNTIF('Raw - Sessions'!$R$5:$R$292,A261)</f>
        <v>0</v>
      </c>
      <c r="C261" s="31" t="n">
        <f aca="false">SUMIF('Raw - Sessions'!$R$5:$R$292,A261,'Raw - Sessions'!$D$5:$D$292)</f>
        <v>0</v>
      </c>
      <c r="D261" s="31" t="n">
        <f aca="false">SUMIF('Raw - Sessions'!$R$5:$R$292,A261,'Raw - Sessions'!$E$5:$E$292)</f>
        <v>0</v>
      </c>
      <c r="E261" s="31" t="n">
        <f aca="false">'Raw - Daily Energy'!B256</f>
        <v>0</v>
      </c>
      <c r="F261" s="37" t="n">
        <f aca="false">SUMIF('Raw - Sessions'!$R$5:$R$292,A261,'Raw - Sessions'!$P$5:$P$292)</f>
        <v>0</v>
      </c>
    </row>
    <row r="262" customFormat="false" ht="15" hidden="false" customHeight="false" outlineLevel="0" collapsed="false">
      <c r="A262" s="46" t="n">
        <f aca="false">'Raw - Daily Energy'!A257</f>
        <v>46102</v>
      </c>
      <c r="B262" s="13" t="n">
        <f aca="false">COUNTIF('Raw - Sessions'!$R$5:$R$292,A262)</f>
        <v>0</v>
      </c>
      <c r="C262" s="30" t="n">
        <f aca="false">SUMIF('Raw - Sessions'!$R$5:$R$292,A262,'Raw - Sessions'!$D$5:$D$292)</f>
        <v>0</v>
      </c>
      <c r="D262" s="30" t="n">
        <f aca="false">SUMIF('Raw - Sessions'!$R$5:$R$292,A262,'Raw - Sessions'!$E$5:$E$292)</f>
        <v>0</v>
      </c>
      <c r="E262" s="30" t="n">
        <f aca="false">'Raw - Daily Energy'!B257</f>
        <v>0</v>
      </c>
      <c r="F262" s="35" t="n">
        <f aca="false">SUMIF('Raw - Sessions'!$R$5:$R$292,A262,'Raw - Sessions'!$P$5:$P$292)</f>
        <v>0</v>
      </c>
    </row>
    <row r="263" customFormat="false" ht="15" hidden="false" customHeight="false" outlineLevel="0" collapsed="false">
      <c r="A263" s="47" t="n">
        <f aca="false">'Raw - Daily Energy'!A258</f>
        <v>46103</v>
      </c>
      <c r="B263" s="15" t="n">
        <f aca="false">COUNTIF('Raw - Sessions'!$R$5:$R$292,A263)</f>
        <v>0</v>
      </c>
      <c r="C263" s="31" t="n">
        <f aca="false">SUMIF('Raw - Sessions'!$R$5:$R$292,A263,'Raw - Sessions'!$D$5:$D$292)</f>
        <v>0</v>
      </c>
      <c r="D263" s="31" t="n">
        <f aca="false">SUMIF('Raw - Sessions'!$R$5:$R$292,A263,'Raw - Sessions'!$E$5:$E$292)</f>
        <v>0</v>
      </c>
      <c r="E263" s="31" t="n">
        <f aca="false">'Raw - Daily Energy'!B258</f>
        <v>0</v>
      </c>
      <c r="F263" s="37" t="n">
        <f aca="false">SUMIF('Raw - Sessions'!$R$5:$R$292,A263,'Raw - Sessions'!$P$5:$P$292)</f>
        <v>0</v>
      </c>
    </row>
    <row r="264" customFormat="false" ht="15" hidden="false" customHeight="false" outlineLevel="0" collapsed="false">
      <c r="A264" s="46" t="n">
        <f aca="false">'Raw - Daily Energy'!A259</f>
        <v>46104</v>
      </c>
      <c r="B264" s="13" t="n">
        <f aca="false">COUNTIF('Raw - Sessions'!$R$5:$R$292,A264)</f>
        <v>0</v>
      </c>
      <c r="C264" s="30" t="n">
        <f aca="false">SUMIF('Raw - Sessions'!$R$5:$R$292,A264,'Raw - Sessions'!$D$5:$D$292)</f>
        <v>0</v>
      </c>
      <c r="D264" s="30" t="n">
        <f aca="false">SUMIF('Raw - Sessions'!$R$5:$R$292,A264,'Raw - Sessions'!$E$5:$E$292)</f>
        <v>0</v>
      </c>
      <c r="E264" s="30" t="n">
        <f aca="false">'Raw - Daily Energy'!B259</f>
        <v>0</v>
      </c>
      <c r="F264" s="35" t="n">
        <f aca="false">SUMIF('Raw - Sessions'!$R$5:$R$292,A264,'Raw - Sessions'!$P$5:$P$292)</f>
        <v>0</v>
      </c>
    </row>
    <row r="265" customFormat="false" ht="15" hidden="false" customHeight="false" outlineLevel="0" collapsed="false">
      <c r="A265" s="47" t="n">
        <f aca="false">'Raw - Daily Energy'!A260</f>
        <v>46105</v>
      </c>
      <c r="B265" s="15" t="n">
        <f aca="false">COUNTIF('Raw - Sessions'!$R$5:$R$292,A265)</f>
        <v>0</v>
      </c>
      <c r="C265" s="31" t="n">
        <f aca="false">SUMIF('Raw - Sessions'!$R$5:$R$292,A265,'Raw - Sessions'!$D$5:$D$292)</f>
        <v>0</v>
      </c>
      <c r="D265" s="31" t="n">
        <f aca="false">SUMIF('Raw - Sessions'!$R$5:$R$292,A265,'Raw - Sessions'!$E$5:$E$292)</f>
        <v>0</v>
      </c>
      <c r="E265" s="31" t="n">
        <f aca="false">'Raw - Daily Energy'!B260</f>
        <v>0</v>
      </c>
      <c r="F265" s="37" t="n">
        <f aca="false">SUMIF('Raw - Sessions'!$R$5:$R$292,A265,'Raw - Sessions'!$P$5:$P$292)</f>
        <v>0</v>
      </c>
    </row>
    <row r="266" customFormat="false" ht="15" hidden="false" customHeight="false" outlineLevel="0" collapsed="false">
      <c r="A266" s="46" t="n">
        <f aca="false">'Raw - Daily Energy'!A261</f>
        <v>46106</v>
      </c>
      <c r="B266" s="13" t="n">
        <f aca="false">COUNTIF('Raw - Sessions'!$R$5:$R$292,A266)</f>
        <v>1</v>
      </c>
      <c r="C266" s="30" t="n">
        <f aca="false">SUMIF('Raw - Sessions'!$R$5:$R$292,A266,'Raw - Sessions'!$D$5:$D$292)</f>
        <v>0.44</v>
      </c>
      <c r="D266" s="30" t="n">
        <f aca="false">SUMIF('Raw - Sessions'!$R$5:$R$292,A266,'Raw - Sessions'!$E$5:$E$292)</f>
        <v>19.178699</v>
      </c>
      <c r="E266" s="30" t="n">
        <f aca="false">'Raw - Daily Energy'!B261</f>
        <v>19.179</v>
      </c>
      <c r="F266" s="35" t="n">
        <f aca="false">SUMIF('Raw - Sessions'!$R$5:$R$292,A266,'Raw - Sessions'!$P$5:$P$292)</f>
        <v>12.5</v>
      </c>
    </row>
    <row r="267" customFormat="false" ht="15" hidden="false" customHeight="false" outlineLevel="0" collapsed="false">
      <c r="A267" s="47" t="n">
        <f aca="false">'Raw - Daily Energy'!A262</f>
        <v>46107</v>
      </c>
      <c r="B267" s="15" t="n">
        <f aca="false">COUNTIF('Raw - Sessions'!$R$5:$R$292,A267)</f>
        <v>0</v>
      </c>
      <c r="C267" s="31" t="n">
        <f aca="false">SUMIF('Raw - Sessions'!$R$5:$R$292,A267,'Raw - Sessions'!$D$5:$D$292)</f>
        <v>0</v>
      </c>
      <c r="D267" s="31" t="n">
        <f aca="false">SUMIF('Raw - Sessions'!$R$5:$R$292,A267,'Raw - Sessions'!$E$5:$E$292)</f>
        <v>0</v>
      </c>
      <c r="E267" s="31" t="n">
        <f aca="false">'Raw - Daily Energy'!B262</f>
        <v>0</v>
      </c>
      <c r="F267" s="37" t="n">
        <f aca="false">SUMIF('Raw - Sessions'!$R$5:$R$292,A267,'Raw - Sessions'!$P$5:$P$292)</f>
        <v>0</v>
      </c>
    </row>
    <row r="268" customFormat="false" ht="15" hidden="false" customHeight="false" outlineLevel="0" collapsed="false">
      <c r="A268" s="46" t="n">
        <f aca="false">'Raw - Daily Energy'!A263</f>
        <v>46108</v>
      </c>
      <c r="B268" s="13" t="n">
        <f aca="false">COUNTIF('Raw - Sessions'!$R$5:$R$292,A268)</f>
        <v>2</v>
      </c>
      <c r="C268" s="30" t="n">
        <f aca="false">SUMIF('Raw - Sessions'!$R$5:$R$292,A268,'Raw - Sessions'!$D$5:$D$292)</f>
        <v>1.32194444444445</v>
      </c>
      <c r="D268" s="30" t="n">
        <f aca="false">SUMIF('Raw - Sessions'!$R$5:$R$292,A268,'Raw - Sessions'!$E$5:$E$292)</f>
        <v>53.4073</v>
      </c>
      <c r="E268" s="30" t="n">
        <f aca="false">'Raw - Daily Energy'!B263</f>
        <v>55.204</v>
      </c>
      <c r="F268" s="35" t="n">
        <f aca="false">SUMIF('Raw - Sessions'!$R$5:$R$292,A268,'Raw - Sessions'!$P$5:$P$292)</f>
        <v>35.31</v>
      </c>
    </row>
    <row r="269" customFormat="false" ht="15" hidden="false" customHeight="false" outlineLevel="0" collapsed="false">
      <c r="A269" s="47" t="n">
        <f aca="false">'Raw - Daily Energy'!A264</f>
        <v>46109</v>
      </c>
      <c r="B269" s="15" t="n">
        <f aca="false">COUNTIF('Raw - Sessions'!$R$5:$R$292,A269)</f>
        <v>5</v>
      </c>
      <c r="C269" s="31" t="n">
        <f aca="false">SUMIF('Raw - Sessions'!$R$5:$R$292,A269,'Raw - Sessions'!$D$5:$D$292)</f>
        <v>7.71555555555556</v>
      </c>
      <c r="D269" s="31" t="n">
        <f aca="false">SUMIF('Raw - Sessions'!$R$5:$R$292,A269,'Raw - Sessions'!$E$5:$E$292)</f>
        <v>138.374945</v>
      </c>
      <c r="E269" s="31" t="n">
        <f aca="false">'Raw - Daily Energy'!B264</f>
        <v>148.098</v>
      </c>
      <c r="F269" s="37" t="n">
        <f aca="false">SUMIF('Raw - Sessions'!$R$5:$R$292,A269,'Raw - Sessions'!$P$5:$P$292)</f>
        <v>114.04</v>
      </c>
    </row>
    <row r="270" customFormat="false" ht="15" hidden="false" customHeight="false" outlineLevel="0" collapsed="false">
      <c r="A270" s="46" t="n">
        <f aca="false">'Raw - Daily Energy'!A265</f>
        <v>46110</v>
      </c>
      <c r="B270" s="13" t="n">
        <f aca="false">COUNTIF('Raw - Sessions'!$R$5:$R$292,A270)</f>
        <v>2</v>
      </c>
      <c r="C270" s="30" t="n">
        <f aca="false">SUMIF('Raw - Sessions'!$R$5:$R$292,A270,'Raw - Sessions'!$D$5:$D$292)</f>
        <v>1.69777777777778</v>
      </c>
      <c r="D270" s="30" t="n">
        <f aca="false">SUMIF('Raw - Sessions'!$R$5:$R$292,A270,'Raw - Sessions'!$E$5:$E$292)</f>
        <v>31.579</v>
      </c>
      <c r="E270" s="30" t="n">
        <f aca="false">'Raw - Daily Energy'!B265</f>
        <v>20.059</v>
      </c>
      <c r="F270" s="35" t="n">
        <f aca="false">SUMIF('Raw - Sessions'!$R$5:$R$292,A270,'Raw - Sessions'!$P$5:$P$292)</f>
        <v>25.74</v>
      </c>
    </row>
    <row r="271" customFormat="false" ht="15" hidden="false" customHeight="false" outlineLevel="0" collapsed="false">
      <c r="A271" s="47" t="n">
        <f aca="false">'Raw - Daily Energy'!A266</f>
        <v>46111</v>
      </c>
      <c r="B271" s="15" t="n">
        <f aca="false">COUNTIF('Raw - Sessions'!$R$5:$R$292,A271)</f>
        <v>1</v>
      </c>
      <c r="C271" s="31" t="n">
        <f aca="false">SUMIF('Raw - Sessions'!$R$5:$R$292,A271,'Raw - Sessions'!$D$5:$D$292)</f>
        <v>2.66222222222222</v>
      </c>
      <c r="D271" s="31" t="n">
        <f aca="false">SUMIF('Raw - Sessions'!$R$5:$R$292,A271,'Raw - Sessions'!$E$5:$E$292)</f>
        <v>57.816898</v>
      </c>
      <c r="E271" s="31" t="n">
        <f aca="false">'Raw - Daily Energy'!B266</f>
        <v>57.817</v>
      </c>
      <c r="F271" s="37" t="n">
        <f aca="false">SUMIF('Raw - Sessions'!$R$5:$R$292,A271,'Raw - Sessions'!$P$5:$P$292)</f>
        <v>44.75</v>
      </c>
    </row>
    <row r="272" customFormat="false" ht="15" hidden="false" customHeight="false" outlineLevel="0" collapsed="false">
      <c r="A272" s="46" t="n">
        <f aca="false">'Raw - Daily Energy'!A267</f>
        <v>46112</v>
      </c>
      <c r="B272" s="13" t="n">
        <f aca="false">COUNTIF('Raw - Sessions'!$R$5:$R$292,A272)</f>
        <v>0</v>
      </c>
      <c r="C272" s="30" t="n">
        <f aca="false">SUMIF('Raw - Sessions'!$R$5:$R$292,A272,'Raw - Sessions'!$D$5:$D$292)</f>
        <v>0</v>
      </c>
      <c r="D272" s="30" t="n">
        <f aca="false">SUMIF('Raw - Sessions'!$R$5:$R$292,A272,'Raw - Sessions'!$E$5:$E$292)</f>
        <v>0</v>
      </c>
      <c r="E272" s="30" t="n">
        <f aca="false">'Raw - Daily Energy'!B267</f>
        <v>0</v>
      </c>
      <c r="F272" s="35" t="n">
        <f aca="false">SUMIF('Raw - Sessions'!$R$5:$R$292,A272,'Raw - Sessions'!$P$5:$P$292)</f>
        <v>0</v>
      </c>
    </row>
    <row r="273" customFormat="false" ht="15" hidden="false" customHeight="false" outlineLevel="0" collapsed="false">
      <c r="A273" s="47" t="n">
        <f aca="false">'Raw - Daily Energy'!A268</f>
        <v>46113</v>
      </c>
      <c r="B273" s="15" t="n">
        <f aca="false">COUNTIF('Raw - Sessions'!$R$5:$R$292,A273)</f>
        <v>0</v>
      </c>
      <c r="C273" s="31" t="n">
        <f aca="false">SUMIF('Raw - Sessions'!$R$5:$R$292,A273,'Raw - Sessions'!$D$5:$D$292)</f>
        <v>0</v>
      </c>
      <c r="D273" s="31" t="n">
        <f aca="false">SUMIF('Raw - Sessions'!$R$5:$R$292,A273,'Raw - Sessions'!$E$5:$E$292)</f>
        <v>0</v>
      </c>
      <c r="E273" s="31" t="n">
        <f aca="false">'Raw - Daily Energy'!B268</f>
        <v>0</v>
      </c>
      <c r="F273" s="37" t="n">
        <f aca="false">SUMIF('Raw - Sessions'!$R$5:$R$292,A273,'Raw - Sessions'!$P$5:$P$292)</f>
        <v>0</v>
      </c>
    </row>
    <row r="274" customFormat="false" ht="15" hidden="false" customHeight="false" outlineLevel="0" collapsed="false">
      <c r="A274" s="46" t="n">
        <f aca="false">'Raw - Daily Energy'!A269</f>
        <v>46114</v>
      </c>
      <c r="B274" s="13" t="n">
        <f aca="false">COUNTIF('Raw - Sessions'!$R$5:$R$292,A274)</f>
        <v>3</v>
      </c>
      <c r="C274" s="30" t="n">
        <f aca="false">SUMIF('Raw - Sessions'!$R$5:$R$292,A274,'Raw - Sessions'!$D$5:$D$292)</f>
        <v>3.94888888888889</v>
      </c>
      <c r="D274" s="30" t="n">
        <f aca="false">SUMIF('Raw - Sessions'!$R$5:$R$292,A274,'Raw - Sessions'!$E$5:$E$292)</f>
        <v>76.174622</v>
      </c>
      <c r="E274" s="30" t="n">
        <f aca="false">'Raw - Daily Energy'!B269</f>
        <v>76.175</v>
      </c>
      <c r="F274" s="35" t="n">
        <f aca="false">SUMIF('Raw - Sessions'!$R$5:$R$292,A274,'Raw - Sessions'!$P$5:$P$292)</f>
        <v>61.3</v>
      </c>
    </row>
    <row r="275" customFormat="false" ht="15" hidden="false" customHeight="false" outlineLevel="0" collapsed="false">
      <c r="A275" s="47" t="n">
        <f aca="false">'Raw - Daily Energy'!A270</f>
        <v>46115</v>
      </c>
      <c r="B275" s="15" t="n">
        <f aca="false">COUNTIF('Raw - Sessions'!$R$5:$R$292,A275)</f>
        <v>1</v>
      </c>
      <c r="C275" s="31" t="n">
        <f aca="false">SUMIF('Raw - Sessions'!$R$5:$R$292,A275,'Raw - Sessions'!$D$5:$D$292)</f>
        <v>2.51055555555556</v>
      </c>
      <c r="D275" s="31" t="n">
        <f aca="false">SUMIF('Raw - Sessions'!$R$5:$R$292,A275,'Raw - Sessions'!$E$5:$E$292)</f>
        <v>51.890499</v>
      </c>
      <c r="E275" s="31" t="n">
        <f aca="false">'Raw - Daily Energy'!B270</f>
        <v>68.137</v>
      </c>
      <c r="F275" s="37" t="n">
        <f aca="false">SUMIF('Raw - Sessions'!$R$5:$R$292,A275,'Raw - Sessions'!$P$5:$P$292)</f>
        <v>40.81</v>
      </c>
    </row>
    <row r="276" customFormat="false" ht="15" hidden="false" customHeight="false" outlineLevel="0" collapsed="false">
      <c r="A276" s="46" t="n">
        <f aca="false">'Raw - Daily Energy'!A271</f>
        <v>46116</v>
      </c>
      <c r="B276" s="13" t="n">
        <f aca="false">COUNTIF('Raw - Sessions'!$R$5:$R$292,A276)</f>
        <v>5</v>
      </c>
      <c r="C276" s="30" t="n">
        <f aca="false">SUMIF('Raw - Sessions'!$R$5:$R$292,A276,'Raw - Sessions'!$D$5:$D$292)</f>
        <v>3.66194444444445</v>
      </c>
      <c r="D276" s="30" t="n">
        <f aca="false">SUMIF('Raw - Sessions'!$R$5:$R$292,A276,'Raw - Sessions'!$E$5:$E$292)</f>
        <v>71.489155</v>
      </c>
      <c r="E276" s="30" t="n">
        <f aca="false">'Raw - Daily Energy'!B271</f>
        <v>55.243</v>
      </c>
      <c r="F276" s="35" t="n">
        <f aca="false">SUMIF('Raw - Sessions'!$R$5:$R$292,A276,'Raw - Sessions'!$P$5:$P$292)</f>
        <v>57.14</v>
      </c>
    </row>
    <row r="277" customFormat="false" ht="15" hidden="false" customHeight="false" outlineLevel="0" collapsed="false">
      <c r="A277" s="47" t="n">
        <f aca="false">'Raw - Daily Energy'!A272</f>
        <v>46117</v>
      </c>
      <c r="B277" s="15" t="n">
        <f aca="false">COUNTIF('Raw - Sessions'!$R$5:$R$292,A277)</f>
        <v>1</v>
      </c>
      <c r="C277" s="31" t="n">
        <f aca="false">SUMIF('Raw - Sessions'!$R$5:$R$292,A277,'Raw - Sessions'!$D$5:$D$292)</f>
        <v>0.731111111111111</v>
      </c>
      <c r="D277" s="31" t="n">
        <f aca="false">SUMIF('Raw - Sessions'!$R$5:$R$292,A277,'Raw - Sessions'!$E$5:$E$292)</f>
        <v>41.103699</v>
      </c>
      <c r="E277" s="31" t="n">
        <f aca="false">'Raw - Daily Energy'!B272</f>
        <v>41.104</v>
      </c>
      <c r="F277" s="37" t="n">
        <f aca="false">SUMIF('Raw - Sessions'!$R$5:$R$292,A277,'Raw - Sessions'!$P$5:$P$292)</f>
        <v>25.66</v>
      </c>
    </row>
    <row r="278" customFormat="false" ht="15" hidden="false" customHeight="false" outlineLevel="0" collapsed="false">
      <c r="A278" s="46" t="n">
        <f aca="false">'Raw - Daily Energy'!A273</f>
        <v>46118</v>
      </c>
      <c r="B278" s="13" t="n">
        <f aca="false">COUNTIF('Raw - Sessions'!$R$5:$R$292,A278)</f>
        <v>0</v>
      </c>
      <c r="C278" s="30" t="n">
        <f aca="false">SUMIF('Raw - Sessions'!$R$5:$R$292,A278,'Raw - Sessions'!$D$5:$D$292)</f>
        <v>0</v>
      </c>
      <c r="D278" s="30" t="n">
        <f aca="false">SUMIF('Raw - Sessions'!$R$5:$R$292,A278,'Raw - Sessions'!$E$5:$E$292)</f>
        <v>0</v>
      </c>
      <c r="E278" s="30" t="n">
        <f aca="false">'Raw - Daily Energy'!B273</f>
        <v>36.237</v>
      </c>
      <c r="F278" s="35" t="n">
        <f aca="false">SUMIF('Raw - Sessions'!$R$5:$R$292,A278,'Raw - Sessions'!$P$5:$P$292)</f>
        <v>0</v>
      </c>
    </row>
    <row r="279" customFormat="false" ht="15" hidden="false" customHeight="false" outlineLevel="0" collapsed="false">
      <c r="A279" s="47" t="n">
        <f aca="false">'Raw - Daily Energy'!A274</f>
        <v>46119</v>
      </c>
      <c r="B279" s="15" t="n">
        <f aca="false">COUNTIF('Raw - Sessions'!$R$5:$R$292,A279)</f>
        <v>4</v>
      </c>
      <c r="C279" s="31" t="n">
        <f aca="false">SUMIF('Raw - Sessions'!$R$5:$R$292,A279,'Raw - Sessions'!$D$5:$D$292)</f>
        <v>2.17527777777778</v>
      </c>
      <c r="D279" s="31" t="n">
        <f aca="false">SUMIF('Raw - Sessions'!$R$5:$R$292,A279,'Raw - Sessions'!$E$5:$E$292)</f>
        <v>87.9707</v>
      </c>
      <c r="E279" s="31" t="n">
        <f aca="false">'Raw - Daily Energy'!B274</f>
        <v>51.734</v>
      </c>
      <c r="F279" s="37" t="n">
        <f aca="false">SUMIF('Raw - Sessions'!$R$5:$R$292,A279,'Raw - Sessions'!$P$5:$P$292)</f>
        <v>57.97</v>
      </c>
    </row>
    <row r="280" customFormat="false" ht="15" hidden="false" customHeight="false" outlineLevel="0" collapsed="false">
      <c r="A280" s="46" t="n">
        <f aca="false">'Raw - Daily Energy'!A275</f>
        <v>46120</v>
      </c>
      <c r="B280" s="13" t="n">
        <f aca="false">COUNTIF('Raw - Sessions'!$R$5:$R$292,A280)</f>
        <v>2</v>
      </c>
      <c r="C280" s="30" t="n">
        <f aca="false">SUMIF('Raw - Sessions'!$R$5:$R$292,A280,'Raw - Sessions'!$D$5:$D$292)</f>
        <v>1.85083333333333</v>
      </c>
      <c r="D280" s="30" t="n">
        <f aca="false">SUMIF('Raw - Sessions'!$R$5:$R$292,A280,'Raw - Sessions'!$E$5:$E$292)</f>
        <v>97.629803</v>
      </c>
      <c r="E280" s="30" t="n">
        <f aca="false">'Raw - Daily Energy'!B275</f>
        <v>97.63</v>
      </c>
      <c r="F280" s="35" t="n">
        <f aca="false">SUMIF('Raw - Sessions'!$R$5:$R$292,A280,'Raw - Sessions'!$P$5:$P$292)</f>
        <v>61.56</v>
      </c>
    </row>
    <row r="281" customFormat="false" ht="15" hidden="false" customHeight="false" outlineLevel="0" collapsed="false">
      <c r="A281" s="47" t="n">
        <f aca="false">'Raw - Daily Energy'!A276</f>
        <v>46121</v>
      </c>
      <c r="B281" s="15" t="n">
        <f aca="false">COUNTIF('Raw - Sessions'!$R$5:$R$292,A281)</f>
        <v>0</v>
      </c>
      <c r="C281" s="31" t="n">
        <f aca="false">SUMIF('Raw - Sessions'!$R$5:$R$292,A281,'Raw - Sessions'!$D$5:$D$292)</f>
        <v>0</v>
      </c>
      <c r="D281" s="31" t="n">
        <f aca="false">SUMIF('Raw - Sessions'!$R$5:$R$292,A281,'Raw - Sessions'!$E$5:$E$292)</f>
        <v>0</v>
      </c>
      <c r="E281" s="31" t="n">
        <f aca="false">'Raw - Daily Energy'!B276</f>
        <v>0</v>
      </c>
      <c r="F281" s="37" t="n">
        <f aca="false">SUMIF('Raw - Sessions'!$R$5:$R$292,A281,'Raw - Sessions'!$P$5:$P$292)</f>
        <v>0</v>
      </c>
    </row>
    <row r="282" customFormat="false" ht="15" hidden="false" customHeight="false" outlineLevel="0" collapsed="false">
      <c r="A282" s="46" t="n">
        <f aca="false">'Raw - Daily Energy'!A277</f>
        <v>46122</v>
      </c>
      <c r="B282" s="13" t="n">
        <f aca="false">COUNTIF('Raw - Sessions'!$R$5:$R$292,A282)</f>
        <v>4</v>
      </c>
      <c r="C282" s="30" t="n">
        <f aca="false">SUMIF('Raw - Sessions'!$R$5:$R$292,A282,'Raw - Sessions'!$D$5:$D$292)</f>
        <v>2.6</v>
      </c>
      <c r="D282" s="30" t="n">
        <f aca="false">SUMIF('Raw - Sessions'!$R$5:$R$292,A282,'Raw - Sessions'!$E$5:$E$292)</f>
        <v>123.154197</v>
      </c>
      <c r="E282" s="30" t="n">
        <f aca="false">'Raw - Daily Energy'!B277</f>
        <v>123.154</v>
      </c>
      <c r="F282" s="35" t="n">
        <f aca="false">SUMIF('Raw - Sessions'!$R$5:$R$292,A282,'Raw - Sessions'!$P$5:$P$292)</f>
        <v>79.08</v>
      </c>
    </row>
    <row r="283" customFormat="false" ht="15" hidden="false" customHeight="false" outlineLevel="0" collapsed="false">
      <c r="A283" s="47" t="n">
        <f aca="false">'Raw - Daily Energy'!A278</f>
        <v>46123</v>
      </c>
      <c r="B283" s="15" t="n">
        <f aca="false">COUNTIF('Raw - Sessions'!$R$5:$R$292,A283)</f>
        <v>3</v>
      </c>
      <c r="C283" s="31" t="n">
        <f aca="false">SUMIF('Raw - Sessions'!$R$5:$R$292,A283,'Raw - Sessions'!$D$5:$D$292)</f>
        <v>1.30166666666667</v>
      </c>
      <c r="D283" s="31" t="n">
        <f aca="false">SUMIF('Raw - Sessions'!$R$5:$R$292,A283,'Raw - Sessions'!$E$5:$E$292)</f>
        <v>56.6621</v>
      </c>
      <c r="E283" s="31" t="n">
        <f aca="false">'Raw - Daily Energy'!B278</f>
        <v>56.662</v>
      </c>
      <c r="F283" s="37" t="n">
        <f aca="false">SUMIF('Raw - Sessions'!$R$5:$R$292,A283,'Raw - Sessions'!$P$5:$P$292)</f>
        <v>36.92</v>
      </c>
    </row>
    <row r="284" customFormat="false" ht="15" hidden="false" customHeight="false" outlineLevel="0" collapsed="false">
      <c r="A284" s="46" t="n">
        <f aca="false">'Raw - Daily Energy'!A279</f>
        <v>46124</v>
      </c>
      <c r="B284" s="13" t="n">
        <f aca="false">COUNTIF('Raw - Sessions'!$R$5:$R$292,A284)</f>
        <v>3</v>
      </c>
      <c r="C284" s="30" t="n">
        <f aca="false">SUMIF('Raw - Sessions'!$R$5:$R$292,A284,'Raw - Sessions'!$D$5:$D$292)</f>
        <v>2.15833333333333</v>
      </c>
      <c r="D284" s="30" t="n">
        <f aca="false">SUMIF('Raw - Sessions'!$R$5:$R$292,A284,'Raw - Sessions'!$E$5:$E$292)</f>
        <v>101.620696</v>
      </c>
      <c r="E284" s="30" t="n">
        <f aca="false">'Raw - Daily Energy'!B279</f>
        <v>101.621</v>
      </c>
      <c r="F284" s="35" t="n">
        <f aca="false">SUMIF('Raw - Sessions'!$R$5:$R$292,A284,'Raw - Sessions'!$P$5:$P$292)</f>
        <v>65.32</v>
      </c>
    </row>
    <row r="285" customFormat="false" ht="15" hidden="false" customHeight="false" outlineLevel="0" collapsed="false">
      <c r="A285" s="47" t="n">
        <f aca="false">'Raw - Daily Energy'!A280</f>
        <v>46125</v>
      </c>
      <c r="B285" s="15" t="n">
        <f aca="false">COUNTIF('Raw - Sessions'!$R$5:$R$292,A285)</f>
        <v>1</v>
      </c>
      <c r="C285" s="31" t="n">
        <f aca="false">SUMIF('Raw - Sessions'!$R$5:$R$292,A285,'Raw - Sessions'!$D$5:$D$292)</f>
        <v>1.64027777777778</v>
      </c>
      <c r="D285" s="31" t="n">
        <f aca="false">SUMIF('Raw - Sessions'!$R$5:$R$292,A285,'Raw - Sessions'!$E$5:$E$292)</f>
        <v>79.641098</v>
      </c>
      <c r="E285" s="31" t="n">
        <f aca="false">'Raw - Daily Energy'!B280</f>
        <v>79.641</v>
      </c>
      <c r="F285" s="37" t="n">
        <f aca="false">SUMIF('Raw - Sessions'!$R$5:$R$292,A285,'Raw - Sessions'!$P$5:$P$292)</f>
        <v>50.9</v>
      </c>
    </row>
    <row r="286" customFormat="false" ht="15" hidden="false" customHeight="false" outlineLevel="0" collapsed="false">
      <c r="A286" s="46" t="n">
        <f aca="false">'Raw - Daily Energy'!A281</f>
        <v>46126</v>
      </c>
      <c r="B286" s="13" t="n">
        <f aca="false">COUNTIF('Raw - Sessions'!$R$5:$R$292,A286)</f>
        <v>0</v>
      </c>
      <c r="C286" s="30" t="n">
        <f aca="false">SUMIF('Raw - Sessions'!$R$5:$R$292,A286,'Raw - Sessions'!$D$5:$D$292)</f>
        <v>0</v>
      </c>
      <c r="D286" s="30" t="n">
        <f aca="false">SUMIF('Raw - Sessions'!$R$5:$R$292,A286,'Raw - Sessions'!$E$5:$E$292)</f>
        <v>0</v>
      </c>
      <c r="E286" s="30" t="n">
        <f aca="false">'Raw - Daily Energy'!B281</f>
        <v>0</v>
      </c>
      <c r="F286" s="35" t="n">
        <f aca="false">SUMIF('Raw - Sessions'!$R$5:$R$292,A286,'Raw - Sessions'!$P$5:$P$292)</f>
        <v>0</v>
      </c>
    </row>
    <row r="287" customFormat="false" ht="15" hidden="false" customHeight="false" outlineLevel="0" collapsed="false">
      <c r="A287" s="47" t="n">
        <f aca="false">'Raw - Daily Energy'!A282</f>
        <v>46127</v>
      </c>
      <c r="B287" s="15" t="n">
        <f aca="false">COUNTIF('Raw - Sessions'!$R$5:$R$292,A287)</f>
        <v>1</v>
      </c>
      <c r="C287" s="31" t="n">
        <f aca="false">SUMIF('Raw - Sessions'!$R$5:$R$292,A287,'Raw - Sessions'!$D$5:$D$292)</f>
        <v>0.435555555555556</v>
      </c>
      <c r="D287" s="31" t="n">
        <f aca="false">SUMIF('Raw - Sessions'!$R$5:$R$292,A287,'Raw - Sessions'!$E$5:$E$292)</f>
        <v>25.6824</v>
      </c>
      <c r="E287" s="31" t="n">
        <f aca="false">'Raw - Daily Energy'!B282</f>
        <v>25.682</v>
      </c>
      <c r="F287" s="37" t="n">
        <f aca="false">SUMIF('Raw - Sessions'!$R$5:$R$292,A287,'Raw - Sessions'!$P$5:$P$292)</f>
        <v>15.92</v>
      </c>
    </row>
    <row r="288" customFormat="false" ht="15" hidden="false" customHeight="false" outlineLevel="0" collapsed="false">
      <c r="A288" s="46" t="n">
        <f aca="false">'Raw - Daily Energy'!A283</f>
        <v>46128</v>
      </c>
      <c r="B288" s="13" t="n">
        <f aca="false">COUNTIF('Raw - Sessions'!$R$5:$R$292,A288)</f>
        <v>0</v>
      </c>
      <c r="C288" s="30" t="n">
        <f aca="false">SUMIF('Raw - Sessions'!$R$5:$R$292,A288,'Raw - Sessions'!$D$5:$D$292)</f>
        <v>0</v>
      </c>
      <c r="D288" s="30" t="n">
        <f aca="false">SUMIF('Raw - Sessions'!$R$5:$R$292,A288,'Raw - Sessions'!$E$5:$E$292)</f>
        <v>0</v>
      </c>
      <c r="E288" s="30" t="n">
        <f aca="false">'Raw - Daily Energy'!B283</f>
        <v>0</v>
      </c>
      <c r="F288" s="35" t="n">
        <f aca="false">SUMIF('Raw - Sessions'!$R$5:$R$292,A288,'Raw - Sessions'!$P$5:$P$292)</f>
        <v>0</v>
      </c>
    </row>
    <row r="289" customFormat="false" ht="15" hidden="false" customHeight="false" outlineLevel="0" collapsed="false">
      <c r="A289" s="47" t="n">
        <f aca="false">'Raw - Daily Energy'!A284</f>
        <v>46129</v>
      </c>
      <c r="B289" s="15" t="n">
        <f aca="false">COUNTIF('Raw - Sessions'!$R$5:$R$292,A289)</f>
        <v>1</v>
      </c>
      <c r="C289" s="31" t="n">
        <f aca="false">SUMIF('Raw - Sessions'!$R$5:$R$292,A289,'Raw - Sessions'!$D$5:$D$292)</f>
        <v>0.317777777777778</v>
      </c>
      <c r="D289" s="31" t="n">
        <f aca="false">SUMIF('Raw - Sessions'!$R$5:$R$292,A289,'Raw - Sessions'!$E$5:$E$292)</f>
        <v>14.6061</v>
      </c>
      <c r="E289" s="31" t="n">
        <f aca="false">'Raw - Daily Energy'!B284</f>
        <v>14.606</v>
      </c>
      <c r="F289" s="37" t="n">
        <f aca="false">SUMIF('Raw - Sessions'!$R$5:$R$292,A289,'Raw - Sessions'!$P$5:$P$292)</f>
        <v>9.43</v>
      </c>
    </row>
    <row r="290" customFormat="false" ht="15" hidden="false" customHeight="false" outlineLevel="0" collapsed="false">
      <c r="A290" s="46" t="n">
        <f aca="false">'Raw - Daily Energy'!A285</f>
        <v>46130</v>
      </c>
      <c r="B290" s="13" t="n">
        <f aca="false">COUNTIF('Raw - Sessions'!$R$5:$R$292,A290)</f>
        <v>2</v>
      </c>
      <c r="C290" s="30" t="n">
        <f aca="false">SUMIF('Raw - Sessions'!$R$5:$R$292,A290,'Raw - Sessions'!$D$5:$D$292)</f>
        <v>1.75472222222222</v>
      </c>
      <c r="D290" s="30" t="n">
        <f aca="false">SUMIF('Raw - Sessions'!$R$5:$R$292,A290,'Raw - Sessions'!$E$5:$E$292)</f>
        <v>80.153398</v>
      </c>
      <c r="E290" s="30" t="n">
        <f aca="false">'Raw - Daily Energy'!B285</f>
        <v>80.153</v>
      </c>
      <c r="F290" s="35" t="n">
        <f aca="false">SUMIF('Raw - Sessions'!$R$5:$R$292,A290,'Raw - Sessions'!$P$5:$P$292)</f>
        <v>51.8</v>
      </c>
    </row>
    <row r="291" customFormat="false" ht="15" hidden="false" customHeight="false" outlineLevel="0" collapsed="false">
      <c r="A291" s="47" t="n">
        <f aca="false">'Raw - Daily Energy'!A286</f>
        <v>46131</v>
      </c>
      <c r="B291" s="15" t="n">
        <f aca="false">COUNTIF('Raw - Sessions'!$R$5:$R$292,A291)</f>
        <v>1</v>
      </c>
      <c r="C291" s="31" t="n">
        <f aca="false">SUMIF('Raw - Sessions'!$R$5:$R$292,A291,'Raw - Sessions'!$D$5:$D$292)</f>
        <v>0.384444444444444</v>
      </c>
      <c r="D291" s="31" t="n">
        <f aca="false">SUMIF('Raw - Sessions'!$R$5:$R$292,A291,'Raw - Sessions'!$E$5:$E$292)</f>
        <v>15.6444</v>
      </c>
      <c r="E291" s="31" t="n">
        <f aca="false">'Raw - Daily Energy'!B286</f>
        <v>15.644</v>
      </c>
      <c r="F291" s="37" t="n">
        <f aca="false">SUMIF('Raw - Sessions'!$R$5:$R$292,A291,'Raw - Sessions'!$P$5:$P$292)</f>
        <v>10.33</v>
      </c>
    </row>
    <row r="292" customFormat="false" ht="15" hidden="false" customHeight="false" outlineLevel="0" collapsed="false">
      <c r="A292" s="46" t="n">
        <f aca="false">'Raw - Daily Energy'!A287</f>
        <v>46132</v>
      </c>
      <c r="B292" s="13" t="n">
        <f aca="false">COUNTIF('Raw - Sessions'!$R$5:$R$292,A292)</f>
        <v>0</v>
      </c>
      <c r="C292" s="30" t="n">
        <f aca="false">SUMIF('Raw - Sessions'!$R$5:$R$292,A292,'Raw - Sessions'!$D$5:$D$292)</f>
        <v>0</v>
      </c>
      <c r="D292" s="30" t="n">
        <f aca="false">SUMIF('Raw - Sessions'!$R$5:$R$292,A292,'Raw - Sessions'!$E$5:$E$292)</f>
        <v>0</v>
      </c>
      <c r="E292" s="30" t="n">
        <f aca="false">'Raw - Daily Energy'!B287</f>
        <v>0</v>
      </c>
      <c r="F292" s="35" t="n">
        <f aca="false">SUMIF('Raw - Sessions'!$R$5:$R$292,A292,'Raw - Sessions'!$P$5:$P$292)</f>
        <v>0</v>
      </c>
    </row>
    <row r="293" customFormat="false" ht="15" hidden="false" customHeight="false" outlineLevel="0" collapsed="false">
      <c r="A293" s="47" t="n">
        <f aca="false">'Raw - Daily Energy'!A288</f>
        <v>46133</v>
      </c>
      <c r="B293" s="15" t="n">
        <f aca="false">COUNTIF('Raw - Sessions'!$R$5:$R$292,A293)</f>
        <v>2</v>
      </c>
      <c r="C293" s="31" t="n">
        <f aca="false">SUMIF('Raw - Sessions'!$R$5:$R$292,A293,'Raw - Sessions'!$D$5:$D$292)</f>
        <v>0.0108333333333333</v>
      </c>
      <c r="D293" s="31" t="n">
        <f aca="false">SUMIF('Raw - Sessions'!$R$5:$R$292,A293,'Raw - Sessions'!$E$5:$E$292)</f>
        <v>0</v>
      </c>
      <c r="E293" s="31" t="n">
        <f aca="false">'Raw - Daily Energy'!B288</f>
        <v>0</v>
      </c>
      <c r="F293" s="37" t="n">
        <f aca="false">SUMIF('Raw - Sessions'!$R$5:$R$292,A293,'Raw - Sessions'!$P$5:$P$292)</f>
        <v>0</v>
      </c>
    </row>
    <row r="294" customFormat="false" ht="15" hidden="false" customHeight="false" outlineLevel="0" collapsed="false">
      <c r="A294" s="46" t="n">
        <f aca="false">'Raw - Daily Energy'!A289</f>
        <v>46134</v>
      </c>
      <c r="B294" s="13" t="n">
        <f aca="false">COUNTIF('Raw - Sessions'!$R$5:$R$292,A294)</f>
        <v>4</v>
      </c>
      <c r="C294" s="30" t="n">
        <f aca="false">SUMIF('Raw - Sessions'!$R$5:$R$292,A294,'Raw - Sessions'!$D$5:$D$292)</f>
        <v>0.673333333333333</v>
      </c>
      <c r="D294" s="30" t="n">
        <f aca="false">SUMIF('Raw - Sessions'!$R$5:$R$292,A294,'Raw - Sessions'!$E$5:$E$292)</f>
        <v>17.332644</v>
      </c>
      <c r="E294" s="30" t="n">
        <f aca="false">'Raw - Daily Energy'!B289</f>
        <v>25.719</v>
      </c>
      <c r="F294" s="35" t="n">
        <f aca="false">SUMIF('Raw - Sessions'!$R$5:$R$292,A294,'Raw - Sessions'!$P$5:$P$292)</f>
        <v>12.53</v>
      </c>
    </row>
    <row r="295" customFormat="false" ht="15" hidden="false" customHeight="false" outlineLevel="0" collapsed="false">
      <c r="A295" s="47" t="n">
        <f aca="false">'Raw - Daily Energy'!A290</f>
        <v>46135</v>
      </c>
      <c r="B295" s="15" t="n">
        <f aca="false">COUNTIF('Raw - Sessions'!$R$5:$R$292,A295)</f>
        <v>3</v>
      </c>
      <c r="C295" s="31" t="n">
        <f aca="false">SUMIF('Raw - Sessions'!$R$5:$R$292,A295,'Raw - Sessions'!$D$5:$D$292)</f>
        <v>3.475</v>
      </c>
      <c r="D295" s="31" t="n">
        <f aca="false">SUMIF('Raw - Sessions'!$R$5:$R$292,A295,'Raw - Sessions'!$E$5:$E$292)</f>
        <v>65.729556</v>
      </c>
      <c r="E295" s="31" t="n">
        <f aca="false">'Raw - Daily Energy'!B290</f>
        <v>57.343</v>
      </c>
      <c r="F295" s="37" t="n">
        <f aca="false">SUMIF('Raw - Sessions'!$R$5:$R$292,A295,'Raw - Sessions'!$P$5:$P$292)</f>
        <v>53.24</v>
      </c>
    </row>
    <row r="296" customFormat="false" ht="15" hidden="false" customHeight="false" outlineLevel="0" collapsed="false">
      <c r="A296" s="46" t="n">
        <f aca="false">'Raw - Daily Energy'!A291</f>
        <v>46136</v>
      </c>
      <c r="B296" s="13" t="n">
        <f aca="false">COUNTIF('Raw - Sessions'!$R$5:$R$292,A296)</f>
        <v>1</v>
      </c>
      <c r="C296" s="30" t="n">
        <f aca="false">SUMIF('Raw - Sessions'!$R$5:$R$292,A296,'Raw - Sessions'!$D$5:$D$292)</f>
        <v>0.954444444444444</v>
      </c>
      <c r="D296" s="30" t="n">
        <f aca="false">SUMIF('Raw - Sessions'!$R$5:$R$292,A296,'Raw - Sessions'!$E$5:$E$292)</f>
        <v>34.3673</v>
      </c>
      <c r="E296" s="30" t="n">
        <f aca="false">'Raw - Daily Energy'!B291</f>
        <v>34.367</v>
      </c>
      <c r="F296" s="35" t="n">
        <f aca="false">SUMIF('Raw - Sessions'!$R$5:$R$292,A296,'Raw - Sessions'!$P$5:$P$292)</f>
        <v>23.27</v>
      </c>
    </row>
    <row r="297" customFormat="false" ht="15" hidden="false" customHeight="false" outlineLevel="0" collapsed="false">
      <c r="A297" s="47" t="n">
        <f aca="false">'Raw - Daily Energy'!A292</f>
        <v>46137</v>
      </c>
      <c r="B297" s="15" t="n">
        <f aca="false">COUNTIF('Raw - Sessions'!$R$5:$R$292,A297)</f>
        <v>1</v>
      </c>
      <c r="C297" s="31" t="n">
        <f aca="false">SUMIF('Raw - Sessions'!$R$5:$R$292,A297,'Raw - Sessions'!$D$5:$D$292)</f>
        <v>2.74055555555556</v>
      </c>
      <c r="D297" s="31" t="n">
        <f aca="false">SUMIF('Raw - Sessions'!$R$5:$R$292,A297,'Raw - Sessions'!$E$5:$E$292)</f>
        <v>69.3154</v>
      </c>
      <c r="E297" s="31" t="n">
        <f aca="false">'Raw - Daily Energy'!B292</f>
        <v>69.315</v>
      </c>
      <c r="F297" s="37" t="n">
        <f aca="false">SUMIF('Raw - Sessions'!$R$5:$R$292,A297,'Raw - Sessions'!$P$5:$P$292)</f>
        <v>51.26</v>
      </c>
    </row>
    <row r="298" customFormat="false" ht="15" hidden="false" customHeight="false" outlineLevel="0" collapsed="false">
      <c r="A298" s="46" t="n">
        <f aca="false">'Raw - Daily Energy'!A293</f>
        <v>46138</v>
      </c>
      <c r="B298" s="13" t="n">
        <f aca="false">COUNTIF('Raw - Sessions'!$R$5:$R$292,A298)</f>
        <v>1</v>
      </c>
      <c r="C298" s="30" t="n">
        <f aca="false">SUMIF('Raw - Sessions'!$R$5:$R$292,A298,'Raw - Sessions'!$D$5:$D$292)</f>
        <v>1.52555555555556</v>
      </c>
      <c r="D298" s="30" t="n">
        <f aca="false">SUMIF('Raw - Sessions'!$R$5:$R$292,A298,'Raw - Sessions'!$E$5:$E$292)</f>
        <v>10.965973</v>
      </c>
      <c r="E298" s="30" t="n">
        <f aca="false">'Raw - Daily Energy'!B293</f>
        <v>10.966</v>
      </c>
      <c r="F298" s="35" t="n">
        <f aca="false">SUMIF('Raw - Sessions'!$R$5:$R$292,A298,'Raw - Sessions'!$P$5:$P$292)</f>
        <v>13.9</v>
      </c>
    </row>
    <row r="299" customFormat="false" ht="15" hidden="false" customHeight="false" outlineLevel="0" collapsed="false">
      <c r="A299" s="47" t="n">
        <f aca="false">'Raw - Daily Energy'!A294</f>
        <v>46139</v>
      </c>
      <c r="B299" s="15" t="n">
        <f aca="false">COUNTIF('Raw - Sessions'!$R$5:$R$292,A299)</f>
        <v>0</v>
      </c>
      <c r="C299" s="31" t="n">
        <f aca="false">SUMIF('Raw - Sessions'!$R$5:$R$292,A299,'Raw - Sessions'!$D$5:$D$292)</f>
        <v>0</v>
      </c>
      <c r="D299" s="31" t="n">
        <f aca="false">SUMIF('Raw - Sessions'!$R$5:$R$292,A299,'Raw - Sessions'!$E$5:$E$292)</f>
        <v>0</v>
      </c>
      <c r="E299" s="31" t="n">
        <f aca="false">'Raw - Daily Energy'!B294</f>
        <v>0</v>
      </c>
      <c r="F299" s="37" t="n">
        <f aca="false">SUMIF('Raw - Sessions'!$R$5:$R$292,A299,'Raw - Sessions'!$P$5:$P$292)</f>
        <v>0</v>
      </c>
    </row>
    <row r="300" customFormat="false" ht="15" hidden="false" customHeight="false" outlineLevel="0" collapsed="false">
      <c r="A300" s="46" t="n">
        <f aca="false">'Raw - Daily Energy'!A295</f>
        <v>46140</v>
      </c>
      <c r="B300" s="13" t="n">
        <f aca="false">COUNTIF('Raw - Sessions'!$R$5:$R$292,A300)</f>
        <v>1</v>
      </c>
      <c r="C300" s="30" t="n">
        <f aca="false">SUMIF('Raw - Sessions'!$R$5:$R$292,A300,'Raw - Sessions'!$D$5:$D$292)</f>
        <v>0.640555555555556</v>
      </c>
      <c r="D300" s="30" t="n">
        <f aca="false">SUMIF('Raw - Sessions'!$R$5:$R$292,A300,'Raw - Sessions'!$E$5:$E$292)</f>
        <v>34.6041</v>
      </c>
      <c r="E300" s="30" t="n">
        <f aca="false">'Raw - Daily Energy'!B295</f>
        <v>34.604</v>
      </c>
      <c r="F300" s="35" t="n">
        <f aca="false">SUMIF('Raw - Sessions'!$R$5:$R$292,A300,'Raw - Sessions'!$P$5:$P$292)</f>
        <v>21.7</v>
      </c>
    </row>
    <row r="301" customFormat="false" ht="15" hidden="false" customHeight="false" outlineLevel="0" collapsed="false">
      <c r="A301" s="47" t="n">
        <f aca="false">'Raw - Daily Energy'!A296</f>
        <v>46141</v>
      </c>
      <c r="B301" s="15" t="n">
        <f aca="false">COUNTIF('Raw - Sessions'!$R$5:$R$292,A301)</f>
        <v>2</v>
      </c>
      <c r="C301" s="31" t="n">
        <f aca="false">SUMIF('Raw - Sessions'!$R$5:$R$292,A301,'Raw - Sessions'!$D$5:$D$292)</f>
        <v>0.765277777777778</v>
      </c>
      <c r="D301" s="31" t="n">
        <f aca="false">SUMIF('Raw - Sessions'!$R$5:$R$292,A301,'Raw - Sessions'!$E$5:$E$292)</f>
        <v>39.8502</v>
      </c>
      <c r="E301" s="31" t="n">
        <f aca="false">'Raw - Daily Energy'!B296</f>
        <v>39.85</v>
      </c>
      <c r="F301" s="37" t="n">
        <f aca="false">SUMIF('Raw - Sessions'!$R$5:$R$292,A301,'Raw - Sessions'!$P$5:$P$292)</f>
        <v>25.17</v>
      </c>
    </row>
    <row r="302" customFormat="false" ht="15" hidden="false" customHeight="false" outlineLevel="0" collapsed="false">
      <c r="A302" s="46" t="n">
        <f aca="false">'Raw - Daily Energy'!A297</f>
        <v>46142</v>
      </c>
      <c r="B302" s="13" t="n">
        <f aca="false">COUNTIF('Raw - Sessions'!$R$5:$R$292,A302)</f>
        <v>0</v>
      </c>
      <c r="C302" s="30" t="n">
        <f aca="false">SUMIF('Raw - Sessions'!$R$5:$R$292,A302,'Raw - Sessions'!$D$5:$D$292)</f>
        <v>0</v>
      </c>
      <c r="D302" s="30" t="n">
        <f aca="false">SUMIF('Raw - Sessions'!$R$5:$R$292,A302,'Raw - Sessions'!$E$5:$E$292)</f>
        <v>0</v>
      </c>
      <c r="E302" s="30" t="n">
        <f aca="false">'Raw - Daily Energy'!B297</f>
        <v>0</v>
      </c>
      <c r="F302" s="35" t="n">
        <f aca="false">SUMIF('Raw - Sessions'!$R$5:$R$292,A302,'Raw - Sessions'!$P$5:$P$292)</f>
        <v>0</v>
      </c>
    </row>
    <row r="303" customFormat="false" ht="15" hidden="false" customHeight="false" outlineLevel="0" collapsed="false">
      <c r="A303" s="47" t="n">
        <f aca="false">'Raw - Daily Energy'!A298</f>
        <v>46143</v>
      </c>
      <c r="B303" s="15" t="n">
        <f aca="false">COUNTIF('Raw - Sessions'!$R$5:$R$292,A303)</f>
        <v>3</v>
      </c>
      <c r="C303" s="31" t="n">
        <f aca="false">SUMIF('Raw - Sessions'!$R$5:$R$292,A303,'Raw - Sessions'!$D$5:$D$292)</f>
        <v>1.92972222222222</v>
      </c>
      <c r="D303" s="31" t="n">
        <f aca="false">SUMIF('Raw - Sessions'!$R$5:$R$292,A303,'Raw - Sessions'!$E$5:$E$292)</f>
        <v>78.2008</v>
      </c>
      <c r="E303" s="31" t="n">
        <f aca="false">'Raw - Daily Energy'!B298</f>
        <v>78.201</v>
      </c>
      <c r="F303" s="37" t="n">
        <f aca="false">SUMIF('Raw - Sessions'!$R$5:$R$292,A303,'Raw - Sessions'!$P$5:$P$292)</f>
        <v>51.62</v>
      </c>
    </row>
    <row r="304" customFormat="false" ht="15" hidden="false" customHeight="false" outlineLevel="0" collapsed="false">
      <c r="A304" s="46" t="n">
        <f aca="false">'Raw - Daily Energy'!A299</f>
        <v>46144</v>
      </c>
      <c r="B304" s="13" t="n">
        <f aca="false">COUNTIF('Raw - Sessions'!$R$5:$R$292,A304)</f>
        <v>0</v>
      </c>
      <c r="C304" s="30" t="n">
        <f aca="false">SUMIF('Raw - Sessions'!$R$5:$R$292,A304,'Raw - Sessions'!$D$5:$D$292)</f>
        <v>0</v>
      </c>
      <c r="D304" s="30" t="n">
        <f aca="false">SUMIF('Raw - Sessions'!$R$5:$R$292,A304,'Raw - Sessions'!$E$5:$E$292)</f>
        <v>0</v>
      </c>
      <c r="E304" s="30" t="n">
        <f aca="false">'Raw - Daily Energy'!B299</f>
        <v>5.016</v>
      </c>
      <c r="F304" s="35" t="n">
        <f aca="false">SUMIF('Raw - Sessions'!$R$5:$R$292,A304,'Raw - Sessions'!$P$5:$P$292)</f>
        <v>0</v>
      </c>
    </row>
    <row r="305" customFormat="false" ht="15" hidden="false" customHeight="false" outlineLevel="0" collapsed="false">
      <c r="A305" s="47" t="n">
        <f aca="false">'Raw - Daily Energy'!A300</f>
        <v>46145</v>
      </c>
      <c r="B305" s="15" t="n">
        <f aca="false">COUNTIF('Raw - Sessions'!$R$5:$R$292,A305)</f>
        <v>1</v>
      </c>
      <c r="C305" s="31" t="n">
        <f aca="false">SUMIF('Raw - Sessions'!$R$5:$R$292,A305,'Raw - Sessions'!$D$5:$D$292)</f>
        <v>0.739166666666667</v>
      </c>
      <c r="D305" s="31" t="n">
        <f aca="false">SUMIF('Raw - Sessions'!$R$5:$R$292,A305,'Raw - Sessions'!$E$5:$E$292)</f>
        <v>5.016269</v>
      </c>
      <c r="E305" s="31" t="n">
        <f aca="false">'Raw - Daily Energy'!B300</f>
        <v>0</v>
      </c>
      <c r="F305" s="37" t="n">
        <f aca="false">SUMIF('Raw - Sessions'!$R$5:$R$292,A305,'Raw - Sessions'!$P$5:$P$292)</f>
        <v>6.58</v>
      </c>
    </row>
    <row r="306" customFormat="false" ht="15" hidden="false" customHeight="false" outlineLevel="0" collapsed="false">
      <c r="A306" s="46" t="n">
        <f aca="false">'Raw - Daily Energy'!A301</f>
        <v>46146</v>
      </c>
      <c r="B306" s="13" t="n">
        <f aca="false">COUNTIF('Raw - Sessions'!$R$5:$R$292,A306)</f>
        <v>0</v>
      </c>
      <c r="C306" s="30" t="n">
        <f aca="false">SUMIF('Raw - Sessions'!$R$5:$R$292,A306,'Raw - Sessions'!$D$5:$D$292)</f>
        <v>0</v>
      </c>
      <c r="D306" s="30" t="n">
        <f aca="false">SUMIF('Raw - Sessions'!$R$5:$R$292,A306,'Raw - Sessions'!$E$5:$E$292)</f>
        <v>0</v>
      </c>
      <c r="E306" s="30" t="n">
        <f aca="false">'Raw - Daily Energy'!B301</f>
        <v>38.975</v>
      </c>
      <c r="F306" s="35" t="n">
        <f aca="false">SUMIF('Raw - Sessions'!$R$5:$R$292,A306,'Raw - Sessions'!$P$5:$P$292)</f>
        <v>0</v>
      </c>
    </row>
    <row r="307" customFormat="false" ht="15" hidden="false" customHeight="false" outlineLevel="0" collapsed="false">
      <c r="A307" s="47" t="n">
        <f aca="false">'Raw - Daily Energy'!A302</f>
        <v>46147</v>
      </c>
      <c r="B307" s="15" t="n">
        <f aca="false">COUNTIF('Raw - Sessions'!$R$5:$R$292,A307)</f>
        <v>2</v>
      </c>
      <c r="C307" s="31" t="n">
        <f aca="false">SUMIF('Raw - Sessions'!$R$5:$R$292,A307,'Raw - Sessions'!$D$5:$D$292)</f>
        <v>2.11722222222222</v>
      </c>
      <c r="D307" s="31" t="n">
        <f aca="false">SUMIF('Raw - Sessions'!$R$5:$R$292,A307,'Raw - Sessions'!$E$5:$E$292)</f>
        <v>38.9751</v>
      </c>
      <c r="E307" s="31" t="n">
        <f aca="false">'Raw - Daily Energy'!B302</f>
        <v>0</v>
      </c>
      <c r="F307" s="37" t="n">
        <f aca="false">SUMIF('Raw - Sessions'!$R$5:$R$292,A307,'Raw - Sessions'!$P$5:$P$292)</f>
        <v>31.66</v>
      </c>
    </row>
    <row r="308" customFormat="false" ht="15" hidden="false" customHeight="false" outlineLevel="0" collapsed="false">
      <c r="A308" s="46" t="n">
        <f aca="false">'Raw - Daily Energy'!A303</f>
        <v>46148</v>
      </c>
      <c r="B308" s="13" t="n">
        <f aca="false">COUNTIF('Raw - Sessions'!$R$5:$R$292,A308)</f>
        <v>1</v>
      </c>
      <c r="C308" s="30" t="n">
        <f aca="false">SUMIF('Raw - Sessions'!$R$5:$R$292,A308,'Raw - Sessions'!$D$5:$D$292)</f>
        <v>0.788333333333333</v>
      </c>
      <c r="D308" s="30" t="n">
        <f aca="false">SUMIF('Raw - Sessions'!$R$5:$R$292,A308,'Raw - Sessions'!$E$5:$E$292)</f>
        <v>47.9561</v>
      </c>
      <c r="E308" s="30" t="n">
        <f aca="false">'Raw - Daily Energy'!B303</f>
        <v>47.956</v>
      </c>
      <c r="F308" s="35" t="n">
        <f aca="false">SUMIF('Raw - Sessions'!$R$5:$R$292,A308,'Raw - Sessions'!$P$5:$P$292)</f>
        <v>29.6</v>
      </c>
    </row>
    <row r="309" customFormat="false" ht="15" hidden="false" customHeight="false" outlineLevel="0" collapsed="false">
      <c r="A309" s="47" t="n">
        <f aca="false">'Raw - Daily Energy'!A304</f>
        <v>46149</v>
      </c>
      <c r="B309" s="15" t="n">
        <f aca="false">COUNTIF('Raw - Sessions'!$R$5:$R$292,A309)</f>
        <v>2</v>
      </c>
      <c r="C309" s="31" t="n">
        <f aca="false">SUMIF('Raw - Sessions'!$R$5:$R$292,A309,'Raw - Sessions'!$D$5:$D$292)</f>
        <v>1.19416666666667</v>
      </c>
      <c r="D309" s="31" t="n">
        <f aca="false">SUMIF('Raw - Sessions'!$R$5:$R$292,A309,'Raw - Sessions'!$E$5:$E$292)</f>
        <v>39.1554</v>
      </c>
      <c r="E309" s="31" t="n">
        <f aca="false">'Raw - Daily Energy'!B304</f>
        <v>39.155</v>
      </c>
      <c r="F309" s="37" t="n">
        <f aca="false">SUMIF('Raw - Sessions'!$R$5:$R$292,A309,'Raw - Sessions'!$P$5:$P$292)</f>
        <v>27.08</v>
      </c>
    </row>
    <row r="310" customFormat="false" ht="15" hidden="false" customHeight="false" outlineLevel="0" collapsed="false">
      <c r="A310" s="46" t="n">
        <f aca="false">'Raw - Daily Energy'!A305</f>
        <v>46150</v>
      </c>
      <c r="B310" s="13" t="n">
        <f aca="false">COUNTIF('Raw - Sessions'!$R$5:$R$292,A310)</f>
        <v>4</v>
      </c>
      <c r="C310" s="30" t="n">
        <f aca="false">SUMIF('Raw - Sessions'!$R$5:$R$292,A310,'Raw - Sessions'!$D$5:$D$292)</f>
        <v>3.955</v>
      </c>
      <c r="D310" s="30" t="n">
        <f aca="false">SUMIF('Raw - Sessions'!$R$5:$R$292,A310,'Raw - Sessions'!$E$5:$E$292)</f>
        <v>149.115</v>
      </c>
      <c r="E310" s="30" t="n">
        <f aca="false">'Raw - Daily Energy'!B305</f>
        <v>149.115</v>
      </c>
      <c r="F310" s="35" t="n">
        <f aca="false">SUMIF('Raw - Sessions'!$R$5:$R$292,A310,'Raw - Sessions'!$P$5:$P$292)</f>
        <v>99.69</v>
      </c>
    </row>
    <row r="311" customFormat="false" ht="15" hidden="false" customHeight="false" outlineLevel="0" collapsed="false">
      <c r="A311" s="47" t="n">
        <f aca="false">'Raw - Daily Energy'!A306</f>
        <v>46151</v>
      </c>
      <c r="B311" s="15" t="n">
        <f aca="false">COUNTIF('Raw - Sessions'!$R$5:$R$292,A311)</f>
        <v>1</v>
      </c>
      <c r="C311" s="31" t="n">
        <f aca="false">SUMIF('Raw - Sessions'!$R$5:$R$292,A311,'Raw - Sessions'!$D$5:$D$292)</f>
        <v>1.05222222222222</v>
      </c>
      <c r="D311" s="31" t="n">
        <f aca="false">SUMIF('Raw - Sessions'!$R$5:$R$292,A311,'Raw - Sessions'!$E$5:$E$292)</f>
        <v>7.369006</v>
      </c>
      <c r="E311" s="31" t="n">
        <f aca="false">'Raw - Daily Energy'!B306</f>
        <v>7.369</v>
      </c>
      <c r="F311" s="37" t="n">
        <f aca="false">SUMIF('Raw - Sessions'!$R$5:$R$292,A311,'Raw - Sessions'!$P$5:$P$292)</f>
        <v>9.48</v>
      </c>
    </row>
    <row r="312" customFormat="false" ht="15" hidden="false" customHeight="false" outlineLevel="0" collapsed="false">
      <c r="A312" s="46" t="n">
        <f aca="false">'Raw - Daily Energy'!A307</f>
        <v>46152</v>
      </c>
      <c r="B312" s="13" t="n">
        <f aca="false">COUNTIF('Raw - Sessions'!$R$5:$R$292,A312)</f>
        <v>1</v>
      </c>
      <c r="C312" s="30" t="n">
        <f aca="false">SUMIF('Raw - Sessions'!$R$5:$R$292,A312,'Raw - Sessions'!$D$5:$D$292)</f>
        <v>0.419722222222222</v>
      </c>
      <c r="D312" s="30" t="n">
        <f aca="false">SUMIF('Raw - Sessions'!$R$5:$R$292,A312,'Raw - Sessions'!$E$5:$E$292)</f>
        <v>2.856592</v>
      </c>
      <c r="E312" s="30" t="n">
        <f aca="false">'Raw - Daily Energy'!B307</f>
        <v>13.938</v>
      </c>
      <c r="F312" s="35" t="n">
        <f aca="false">SUMIF('Raw - Sessions'!$R$5:$R$292,A312,'Raw - Sessions'!$P$5:$P$292)</f>
        <v>3.75</v>
      </c>
    </row>
    <row r="313" customFormat="false" ht="15" hidden="false" customHeight="false" outlineLevel="0" collapsed="false">
      <c r="A313" s="47" t="n">
        <f aca="false">'Raw - Daily Energy'!A308</f>
        <v>46153</v>
      </c>
      <c r="B313" s="15" t="n">
        <f aca="false">COUNTIF('Raw - Sessions'!$R$5:$R$292,A313)</f>
        <v>1</v>
      </c>
      <c r="C313" s="31" t="n">
        <f aca="false">SUMIF('Raw - Sessions'!$R$5:$R$292,A313,'Raw - Sessions'!$D$5:$D$292)</f>
        <v>0.608611111111111</v>
      </c>
      <c r="D313" s="31" t="n">
        <f aca="false">SUMIF('Raw - Sessions'!$R$5:$R$292,A313,'Raw - Sessions'!$E$5:$E$292)</f>
        <v>11.0811</v>
      </c>
      <c r="E313" s="31" t="n">
        <f aca="false">'Raw - Daily Energy'!B308</f>
        <v>0</v>
      </c>
      <c r="F313" s="37" t="n">
        <f aca="false">SUMIF('Raw - Sessions'!$R$5:$R$292,A313,'Raw - Sessions'!$P$5:$P$292)</f>
        <v>9.08</v>
      </c>
    </row>
    <row r="314" customFormat="false" ht="15" hidden="false" customHeight="false" outlineLevel="0" collapsed="false">
      <c r="A314" s="46" t="n">
        <f aca="false">'Raw - Daily Energy'!A309</f>
        <v>46154</v>
      </c>
      <c r="B314" s="13" t="n">
        <f aca="false">COUNTIF('Raw - Sessions'!$R$5:$R$292,A314)</f>
        <v>0</v>
      </c>
      <c r="C314" s="30" t="n">
        <f aca="false">SUMIF('Raw - Sessions'!$R$5:$R$292,A314,'Raw - Sessions'!$D$5:$D$292)</f>
        <v>0</v>
      </c>
      <c r="D314" s="30" t="n">
        <f aca="false">SUMIF('Raw - Sessions'!$R$5:$R$292,A314,'Raw - Sessions'!$E$5:$E$292)</f>
        <v>0</v>
      </c>
      <c r="E314" s="30" t="n">
        <f aca="false">'Raw - Daily Energy'!B309</f>
        <v>0</v>
      </c>
      <c r="F314" s="35" t="n">
        <f aca="false">SUMIF('Raw - Sessions'!$R$5:$R$292,A314,'Raw - Sessions'!$P$5:$P$292)</f>
        <v>0</v>
      </c>
    </row>
    <row r="315" customFormat="false" ht="15" hidden="false" customHeight="false" outlineLevel="0" collapsed="false">
      <c r="A315" s="47" t="n">
        <f aca="false">'Raw - Daily Energy'!A310</f>
        <v>46155</v>
      </c>
      <c r="B315" s="15" t="n">
        <f aca="false">COUNTIF('Raw - Sessions'!$R$5:$R$292,A315)</f>
        <v>0</v>
      </c>
      <c r="C315" s="31" t="n">
        <f aca="false">SUMIF('Raw - Sessions'!$R$5:$R$292,A315,'Raw - Sessions'!$D$5:$D$292)</f>
        <v>0</v>
      </c>
      <c r="D315" s="31" t="n">
        <f aca="false">SUMIF('Raw - Sessions'!$R$5:$R$292,A315,'Raw - Sessions'!$E$5:$E$292)</f>
        <v>0</v>
      </c>
      <c r="E315" s="31" t="n">
        <f aca="false">'Raw - Daily Energy'!B310</f>
        <v>0</v>
      </c>
      <c r="F315" s="37" t="n">
        <f aca="false">SUMIF('Raw - Sessions'!$R$5:$R$292,A315,'Raw - Sessions'!$P$5:$P$292)</f>
        <v>0</v>
      </c>
    </row>
    <row r="316" customFormat="false" ht="15" hidden="false" customHeight="false" outlineLevel="0" collapsed="false">
      <c r="A316" s="46" t="n">
        <f aca="false">'Raw - Daily Energy'!A311</f>
        <v>46156</v>
      </c>
      <c r="B316" s="13" t="n">
        <f aca="false">COUNTIF('Raw - Sessions'!$R$5:$R$292,A316)</f>
        <v>1</v>
      </c>
      <c r="C316" s="30" t="n">
        <f aca="false">SUMIF('Raw - Sessions'!$R$5:$R$292,A316,'Raw - Sessions'!$D$5:$D$292)</f>
        <v>2.19527777777778</v>
      </c>
      <c r="D316" s="30" t="n">
        <f aca="false">SUMIF('Raw - Sessions'!$R$5:$R$292,A316,'Raw - Sessions'!$E$5:$E$292)</f>
        <v>81.4171</v>
      </c>
      <c r="E316" s="30" t="n">
        <f aca="false">'Raw - Daily Energy'!B311</f>
        <v>81.417</v>
      </c>
      <c r="F316" s="35" t="n">
        <f aca="false">SUMIF('Raw - Sessions'!$R$5:$R$292,A316,'Raw - Sessions'!$P$5:$P$292)</f>
        <v>54.77</v>
      </c>
    </row>
    <row r="317" customFormat="false" ht="15" hidden="false" customHeight="false" outlineLevel="0" collapsed="false">
      <c r="A317" s="47" t="n">
        <f aca="false">'Raw - Daily Energy'!A312</f>
        <v>46157</v>
      </c>
      <c r="B317" s="15" t="n">
        <f aca="false">COUNTIF('Raw - Sessions'!$R$5:$R$292,A317)</f>
        <v>0</v>
      </c>
      <c r="C317" s="31" t="n">
        <f aca="false">SUMIF('Raw - Sessions'!$R$5:$R$292,A317,'Raw - Sessions'!$D$5:$D$292)</f>
        <v>0</v>
      </c>
      <c r="D317" s="31" t="n">
        <f aca="false">SUMIF('Raw - Sessions'!$R$5:$R$292,A317,'Raw - Sessions'!$E$5:$E$292)</f>
        <v>0</v>
      </c>
      <c r="E317" s="31" t="n">
        <f aca="false">'Raw - Daily Energy'!B312</f>
        <v>0</v>
      </c>
      <c r="F317" s="37" t="n">
        <f aca="false">SUMIF('Raw - Sessions'!$R$5:$R$292,A317,'Raw - Sessions'!$P$5:$P$292)</f>
        <v>0</v>
      </c>
    </row>
    <row r="318" customFormat="false" ht="15" hidden="false" customHeight="false" outlineLevel="0" collapsed="false">
      <c r="A318" s="46" t="n">
        <f aca="false">'Raw - Daily Energy'!A313</f>
        <v>46158</v>
      </c>
      <c r="B318" s="13" t="n">
        <f aca="false">COUNTIF('Raw - Sessions'!$R$5:$R$292,A318)</f>
        <v>0</v>
      </c>
      <c r="C318" s="30" t="n">
        <f aca="false">SUMIF('Raw - Sessions'!$R$5:$R$292,A318,'Raw - Sessions'!$D$5:$D$292)</f>
        <v>0</v>
      </c>
      <c r="D318" s="30" t="n">
        <f aca="false">SUMIF('Raw - Sessions'!$R$5:$R$292,A318,'Raw - Sessions'!$E$5:$E$292)</f>
        <v>0</v>
      </c>
      <c r="E318" s="30" t="n">
        <f aca="false">'Raw - Daily Energy'!B313</f>
        <v>0</v>
      </c>
      <c r="F318" s="35" t="n">
        <f aca="false">SUMIF('Raw - Sessions'!$R$5:$R$292,A318,'Raw - Sessions'!$P$5:$P$292)</f>
        <v>0</v>
      </c>
    </row>
    <row r="319" customFormat="false" ht="15" hidden="false" customHeight="false" outlineLevel="0" collapsed="false">
      <c r="A319" s="47" t="n">
        <f aca="false">'Raw - Daily Energy'!A314</f>
        <v>46159</v>
      </c>
      <c r="B319" s="15" t="n">
        <f aca="false">COUNTIF('Raw - Sessions'!$R$5:$R$292,A319)</f>
        <v>0</v>
      </c>
      <c r="C319" s="31" t="n">
        <f aca="false">SUMIF('Raw - Sessions'!$R$5:$R$292,A319,'Raw - Sessions'!$D$5:$D$292)</f>
        <v>0</v>
      </c>
      <c r="D319" s="31" t="n">
        <f aca="false">SUMIF('Raw - Sessions'!$R$5:$R$292,A319,'Raw - Sessions'!$E$5:$E$292)</f>
        <v>0</v>
      </c>
      <c r="E319" s="31" t="n">
        <f aca="false">'Raw - Daily Energy'!B314</f>
        <v>0</v>
      </c>
      <c r="F319" s="37" t="n">
        <f aca="false">SUMIF('Raw - Sessions'!$R$5:$R$292,A319,'Raw - Sessions'!$P$5:$P$292)</f>
        <v>0</v>
      </c>
    </row>
    <row r="320" customFormat="false" ht="15" hidden="false" customHeight="false" outlineLevel="0" collapsed="false">
      <c r="A320" s="46" t="n">
        <f aca="false">'Raw - Daily Energy'!A315</f>
        <v>46160</v>
      </c>
      <c r="B320" s="13" t="n">
        <f aca="false">COUNTIF('Raw - Sessions'!$R$5:$R$292,A320)</f>
        <v>0</v>
      </c>
      <c r="C320" s="30" t="n">
        <f aca="false">SUMIF('Raw - Sessions'!$R$5:$R$292,A320,'Raw - Sessions'!$D$5:$D$292)</f>
        <v>0</v>
      </c>
      <c r="D320" s="30" t="n">
        <f aca="false">SUMIF('Raw - Sessions'!$R$5:$R$292,A320,'Raw - Sessions'!$E$5:$E$292)</f>
        <v>0</v>
      </c>
      <c r="E320" s="30" t="n">
        <f aca="false">'Raw - Daily Energy'!B315</f>
        <v>33.755</v>
      </c>
      <c r="F320" s="35" t="n">
        <f aca="false">SUMIF('Raw - Sessions'!$R$5:$R$292,A320,'Raw - Sessions'!$P$5:$P$292)</f>
        <v>0</v>
      </c>
    </row>
    <row r="321" customFormat="false" ht="15" hidden="false" customHeight="false" outlineLevel="0" collapsed="false">
      <c r="A321" s="47" t="n">
        <f aca="false">'Raw - Daily Energy'!A316</f>
        <v>46161</v>
      </c>
      <c r="B321" s="15" t="n">
        <f aca="false">COUNTIF('Raw - Sessions'!$R$5:$R$292,A321)</f>
        <v>3</v>
      </c>
      <c r="C321" s="31" t="n">
        <f aca="false">SUMIF('Raw - Sessions'!$R$5:$R$292,A321,'Raw - Sessions'!$D$5:$D$292)</f>
        <v>1.34777777777778</v>
      </c>
      <c r="D321" s="31" t="n">
        <f aca="false">SUMIF('Raw - Sessions'!$R$5:$R$292,A321,'Raw - Sessions'!$E$5:$E$292)</f>
        <v>38.6271</v>
      </c>
      <c r="E321" s="31" t="n">
        <f aca="false">'Raw - Daily Energy'!B316</f>
        <v>4.872</v>
      </c>
      <c r="F321" s="37" t="n">
        <f aca="false">SUMIF('Raw - Sessions'!$R$5:$R$292,A321,'Raw - Sessions'!$P$5:$P$292)</f>
        <v>28.43</v>
      </c>
    </row>
    <row r="322" customFormat="false" ht="15" hidden="false" customHeight="false" outlineLevel="0" collapsed="false">
      <c r="A322" s="46" t="n">
        <f aca="false">'Raw - Daily Energy'!A317</f>
        <v>46162</v>
      </c>
      <c r="B322" s="13" t="n">
        <f aca="false">COUNTIF('Raw - Sessions'!$R$5:$R$292,A322)</f>
        <v>0</v>
      </c>
      <c r="C322" s="30" t="n">
        <f aca="false">SUMIF('Raw - Sessions'!$R$5:$R$292,A322,'Raw - Sessions'!$D$5:$D$292)</f>
        <v>0</v>
      </c>
      <c r="D322" s="30" t="n">
        <f aca="false">SUMIF('Raw - Sessions'!$R$5:$R$292,A322,'Raw - Sessions'!$E$5:$E$292)</f>
        <v>0</v>
      </c>
      <c r="E322" s="30" t="n">
        <f aca="false">'Raw - Daily Energy'!B317</f>
        <v>0</v>
      </c>
      <c r="F322" s="35" t="n">
        <f aca="false">SUMIF('Raw - Sessions'!$R$5:$R$292,A322,'Raw - Sessions'!$P$5:$P$292)</f>
        <v>0</v>
      </c>
    </row>
    <row r="323" customFormat="false" ht="15" hidden="false" customHeight="false" outlineLevel="0" collapsed="false">
      <c r="A323" s="47" t="n">
        <f aca="false">'Raw - Daily Energy'!A318</f>
        <v>46163</v>
      </c>
      <c r="B323" s="15" t="n">
        <f aca="false">COUNTIF('Raw - Sessions'!$R$5:$R$292,A323)</f>
        <v>0</v>
      </c>
      <c r="C323" s="31" t="n">
        <f aca="false">SUMIF('Raw - Sessions'!$R$5:$R$292,A323,'Raw - Sessions'!$D$5:$D$292)</f>
        <v>0</v>
      </c>
      <c r="D323" s="31" t="n">
        <f aca="false">SUMIF('Raw - Sessions'!$R$5:$R$292,A323,'Raw - Sessions'!$E$5:$E$292)</f>
        <v>0</v>
      </c>
      <c r="E323" s="31" t="n">
        <f aca="false">'Raw - Daily Energy'!B318</f>
        <v>0</v>
      </c>
      <c r="F323" s="37" t="n">
        <f aca="false">SUMIF('Raw - Sessions'!$R$5:$R$292,A323,'Raw - Sessions'!$P$5:$P$292)</f>
        <v>0</v>
      </c>
    </row>
    <row r="324" customFormat="false" ht="15" hidden="false" customHeight="false" outlineLevel="0" collapsed="false">
      <c r="A324" s="46" t="n">
        <f aca="false">'Raw - Daily Energy'!A319</f>
        <v>46164</v>
      </c>
      <c r="B324" s="13" t="n">
        <f aca="false">COUNTIF('Raw - Sessions'!$R$5:$R$292,A324)</f>
        <v>3</v>
      </c>
      <c r="C324" s="30" t="n">
        <f aca="false">SUMIF('Raw - Sessions'!$R$5:$R$292,A324,'Raw - Sessions'!$D$5:$D$292)</f>
        <v>3.94777777777778</v>
      </c>
      <c r="D324" s="30" t="n">
        <f aca="false">SUMIF('Raw - Sessions'!$R$5:$R$292,A324,'Raw - Sessions'!$E$5:$E$292)</f>
        <v>96.88177</v>
      </c>
      <c r="E324" s="30" t="n">
        <f aca="false">'Raw - Daily Energy'!B319</f>
        <v>96.882</v>
      </c>
      <c r="F324" s="35" t="n">
        <f aca="false">SUMIF('Raw - Sessions'!$R$5:$R$292,A324,'Raw - Sessions'!$P$5:$P$292)</f>
        <v>74.75</v>
      </c>
    </row>
    <row r="325" customFormat="false" ht="15" hidden="false" customHeight="false" outlineLevel="0" collapsed="false">
      <c r="A325" s="47" t="n">
        <f aca="false">'Raw - Daily Energy'!A320</f>
        <v>46165</v>
      </c>
      <c r="B325" s="15" t="n">
        <f aca="false">COUNTIF('Raw - Sessions'!$R$5:$R$292,A325)</f>
        <v>1</v>
      </c>
      <c r="C325" s="31" t="n">
        <f aca="false">SUMIF('Raw - Sessions'!$R$5:$R$292,A325,'Raw - Sessions'!$D$5:$D$292)</f>
        <v>0.589722222222222</v>
      </c>
      <c r="D325" s="31" t="n">
        <f aca="false">SUMIF('Raw - Sessions'!$R$5:$R$292,A325,'Raw - Sessions'!$E$5:$E$292)</f>
        <v>14.4048</v>
      </c>
      <c r="E325" s="31" t="n">
        <f aca="false">'Raw - Daily Energy'!B320</f>
        <v>14.405</v>
      </c>
      <c r="F325" s="37" t="n">
        <f aca="false">SUMIF('Raw - Sessions'!$R$5:$R$292,A325,'Raw - Sessions'!$P$5:$P$292)</f>
        <v>11.75</v>
      </c>
    </row>
    <row r="326" customFormat="false" ht="15" hidden="false" customHeight="false" outlineLevel="0" collapsed="false">
      <c r="A326" s="46" t="n">
        <f aca="false">'Raw - Daily Energy'!A321</f>
        <v>46166</v>
      </c>
      <c r="B326" s="13" t="n">
        <f aca="false">COUNTIF('Raw - Sessions'!$R$5:$R$292,A326)</f>
        <v>1</v>
      </c>
      <c r="C326" s="30" t="n">
        <f aca="false">SUMIF('Raw - Sessions'!$R$5:$R$292,A326,'Raw - Sessions'!$D$5:$D$292)</f>
        <v>0.447222222222222</v>
      </c>
      <c r="D326" s="30" t="n">
        <f aca="false">SUMIF('Raw - Sessions'!$R$5:$R$292,A326,'Raw - Sessions'!$E$5:$E$292)</f>
        <v>16.1868</v>
      </c>
      <c r="E326" s="30" t="n">
        <f aca="false">'Raw - Daily Energy'!B321</f>
        <v>16.187</v>
      </c>
      <c r="F326" s="35" t="n">
        <f aca="false">SUMIF('Raw - Sessions'!$R$5:$R$292,A326,'Raw - Sessions'!$P$5:$P$292)</f>
        <v>11.44</v>
      </c>
    </row>
    <row r="327" customFormat="false" ht="15" hidden="false" customHeight="false" outlineLevel="0" collapsed="false">
      <c r="A327" s="47" t="n">
        <f aca="false">'Raw - Daily Energy'!A322</f>
        <v>46167</v>
      </c>
      <c r="B327" s="15" t="n">
        <f aca="false">COUNTIF('Raw - Sessions'!$R$5:$R$292,A327)</f>
        <v>2</v>
      </c>
      <c r="C327" s="31" t="n">
        <f aca="false">SUMIF('Raw - Sessions'!$R$5:$R$292,A327,'Raw - Sessions'!$D$5:$D$292)</f>
        <v>1.12194444444444</v>
      </c>
      <c r="D327" s="31" t="n">
        <f aca="false">SUMIF('Raw - Sessions'!$R$5:$R$292,A327,'Raw - Sessions'!$E$5:$E$292)</f>
        <v>37.5135</v>
      </c>
      <c r="E327" s="31" t="n">
        <f aca="false">'Raw - Daily Energy'!B322</f>
        <v>37.514</v>
      </c>
      <c r="F327" s="37" t="n">
        <f aca="false">SUMIF('Raw - Sessions'!$R$5:$R$292,A327,'Raw - Sessions'!$P$5:$P$292)</f>
        <v>26.81</v>
      </c>
    </row>
    <row r="328" customFormat="false" ht="15" hidden="false" customHeight="false" outlineLevel="0" collapsed="false">
      <c r="A328" s="46" t="n">
        <f aca="false">'Raw - Daily Energy'!A323</f>
        <v>46168</v>
      </c>
      <c r="B328" s="13" t="n">
        <f aca="false">COUNTIF('Raw - Sessions'!$R$5:$R$292,A328)</f>
        <v>4</v>
      </c>
      <c r="C328" s="30" t="n">
        <f aca="false">SUMIF('Raw - Sessions'!$R$5:$R$292,A328,'Raw - Sessions'!$D$5:$D$292)</f>
        <v>2.29444444444444</v>
      </c>
      <c r="D328" s="30" t="n">
        <f aca="false">SUMIF('Raw - Sessions'!$R$5:$R$292,A328,'Raw - Sessions'!$E$5:$E$292)</f>
        <v>50.898906</v>
      </c>
      <c r="E328" s="30" t="n">
        <f aca="false">'Raw - Daily Energy'!B323</f>
        <v>50.899</v>
      </c>
      <c r="F328" s="35" t="n">
        <f aca="false">SUMIF('Raw - Sessions'!$R$5:$R$292,A328,'Raw - Sessions'!$P$5:$P$292)</f>
        <v>39.97</v>
      </c>
    </row>
    <row r="329" customFormat="false" ht="15" hidden="false" customHeight="false" outlineLevel="0" collapsed="false">
      <c r="A329" s="47" t="n">
        <f aca="false">'Raw - Daily Energy'!A324</f>
        <v>46169</v>
      </c>
      <c r="B329" s="15" t="n">
        <f aca="false">COUNTIF('Raw - Sessions'!$R$5:$R$292,A329)</f>
        <v>3</v>
      </c>
      <c r="C329" s="31" t="n">
        <f aca="false">SUMIF('Raw - Sessions'!$R$5:$R$292,A329,'Raw - Sessions'!$D$5:$D$292)</f>
        <v>0.966944444444444</v>
      </c>
      <c r="D329" s="31" t="n">
        <f aca="false">SUMIF('Raw - Sessions'!$R$5:$R$292,A329,'Raw - Sessions'!$E$5:$E$292)</f>
        <v>23.6188</v>
      </c>
      <c r="E329" s="31" t="n">
        <f aca="false">'Raw - Daily Energy'!B324</f>
        <v>38.017</v>
      </c>
      <c r="F329" s="37" t="n">
        <f aca="false">SUMIF('Raw - Sessions'!$R$5:$R$292,A329,'Raw - Sessions'!$P$5:$P$292)</f>
        <v>17.56</v>
      </c>
    </row>
    <row r="330" customFormat="false" ht="15" hidden="false" customHeight="false" outlineLevel="0" collapsed="false">
      <c r="A330" s="46" t="n">
        <f aca="false">'Raw - Daily Energy'!A325</f>
        <v>46170</v>
      </c>
      <c r="B330" s="13" t="n">
        <f aca="false">COUNTIF('Raw - Sessions'!$R$5:$R$292,A330)</f>
        <v>4</v>
      </c>
      <c r="C330" s="30" t="n">
        <f aca="false">SUMIF('Raw - Sessions'!$R$5:$R$292,A330,'Raw - Sessions'!$D$5:$D$292)</f>
        <v>2.30166666666667</v>
      </c>
      <c r="D330" s="30" t="n">
        <f aca="false">SUMIF('Raw - Sessions'!$R$5:$R$292,A330,'Raw - Sessions'!$E$5:$E$292)</f>
        <v>58.812487</v>
      </c>
      <c r="E330" s="30" t="n">
        <f aca="false">'Raw - Daily Energy'!B325</f>
        <v>44.415</v>
      </c>
      <c r="F330" s="35" t="n">
        <f aca="false">SUMIF('Raw - Sessions'!$R$5:$R$292,A330,'Raw - Sessions'!$P$5:$P$292)</f>
        <v>46.22</v>
      </c>
    </row>
    <row r="331" customFormat="false" ht="15" hidden="false" customHeight="false" outlineLevel="0" collapsed="false">
      <c r="A331" s="47" t="n">
        <f aca="false">'Raw - Daily Energy'!A326</f>
        <v>46171</v>
      </c>
      <c r="B331" s="15" t="n">
        <f aca="false">COUNTIF('Raw - Sessions'!$R$5:$R$292,A331)</f>
        <v>2</v>
      </c>
      <c r="C331" s="31" t="n">
        <f aca="false">SUMIF('Raw - Sessions'!$R$5:$R$292,A331,'Raw - Sessions'!$D$5:$D$292)</f>
        <v>2.8175</v>
      </c>
      <c r="D331" s="31" t="n">
        <f aca="false">SUMIF('Raw - Sessions'!$R$5:$R$292,A331,'Raw - Sessions'!$E$5:$E$292)</f>
        <v>20.088461</v>
      </c>
      <c r="E331" s="31" t="n">
        <f aca="false">'Raw - Daily Energy'!B326</f>
        <v>20.088</v>
      </c>
      <c r="F331" s="37" t="n">
        <f aca="false">SUMIF('Raw - Sessions'!$R$5:$R$292,A331,'Raw - Sessions'!$P$5:$P$292)</f>
        <v>25.9</v>
      </c>
    </row>
    <row r="332" customFormat="false" ht="15" hidden="false" customHeight="false" outlineLevel="0" collapsed="false">
      <c r="A332" s="46" t="n">
        <f aca="false">'Raw - Daily Energy'!A327</f>
        <v>46172</v>
      </c>
      <c r="B332" s="13" t="n">
        <f aca="false">COUNTIF('Raw - Sessions'!$R$5:$R$292,A332)</f>
        <v>0</v>
      </c>
      <c r="C332" s="30" t="n">
        <f aca="false">SUMIF('Raw - Sessions'!$R$5:$R$292,A332,'Raw - Sessions'!$D$5:$D$292)</f>
        <v>0</v>
      </c>
      <c r="D332" s="30" t="n">
        <f aca="false">SUMIF('Raw - Sessions'!$R$5:$R$292,A332,'Raw - Sessions'!$E$5:$E$292)</f>
        <v>0</v>
      </c>
      <c r="E332" s="30" t="n">
        <f aca="false">'Raw - Daily Energy'!B327</f>
        <v>0</v>
      </c>
      <c r="F332" s="35" t="n">
        <f aca="false">SUMIF('Raw - Sessions'!$R$5:$R$292,A332,'Raw - Sessions'!$P$5:$P$292)</f>
        <v>0</v>
      </c>
    </row>
    <row r="333" customFormat="false" ht="15" hidden="false" customHeight="false" outlineLevel="0" collapsed="false">
      <c r="A333" s="47" t="n">
        <f aca="false">'Raw - Daily Energy'!A328</f>
        <v>46173</v>
      </c>
      <c r="B333" s="15" t="n">
        <f aca="false">COUNTIF('Raw - Sessions'!$R$5:$R$292,A333)</f>
        <v>0</v>
      </c>
      <c r="C333" s="31" t="n">
        <f aca="false">SUMIF('Raw - Sessions'!$R$5:$R$292,A333,'Raw - Sessions'!$D$5:$D$292)</f>
        <v>0</v>
      </c>
      <c r="D333" s="31" t="n">
        <f aca="false">SUMIF('Raw - Sessions'!$R$5:$R$292,A333,'Raw - Sessions'!$E$5:$E$292)</f>
        <v>0</v>
      </c>
      <c r="E333" s="31" t="n">
        <f aca="false">'Raw - Daily Energy'!B328</f>
        <v>0</v>
      </c>
      <c r="F333" s="37" t="n">
        <f aca="false">SUMIF('Raw - Sessions'!$R$5:$R$292,A333,'Raw - Sessions'!$P$5:$P$292)</f>
        <v>0</v>
      </c>
    </row>
    <row r="334" customFormat="false" ht="15" hidden="false" customHeight="false" outlineLevel="0" collapsed="false">
      <c r="A334" s="46" t="n">
        <f aca="false">'Raw - Daily Energy'!A329</f>
        <v>46174</v>
      </c>
      <c r="B334" s="13" t="n">
        <f aca="false">COUNTIF('Raw - Sessions'!$R$5:$R$292,A334)</f>
        <v>0</v>
      </c>
      <c r="C334" s="30" t="n">
        <f aca="false">SUMIF('Raw - Sessions'!$R$5:$R$292,A334,'Raw - Sessions'!$D$5:$D$292)</f>
        <v>0</v>
      </c>
      <c r="D334" s="30" t="n">
        <f aca="false">SUMIF('Raw - Sessions'!$R$5:$R$292,A334,'Raw - Sessions'!$E$5:$E$292)</f>
        <v>0</v>
      </c>
      <c r="E334" s="30" t="n">
        <f aca="false">'Raw - Daily Energy'!B329</f>
        <v>0</v>
      </c>
      <c r="F334" s="35" t="n">
        <f aca="false">SUMIF('Raw - Sessions'!$R$5:$R$292,A334,'Raw - Sessions'!$P$5:$P$292)</f>
        <v>0</v>
      </c>
    </row>
    <row r="335" customFormat="false" ht="15" hidden="false" customHeight="false" outlineLevel="0" collapsed="false">
      <c r="A335" s="47" t="n">
        <f aca="false">'Raw - Daily Energy'!A330</f>
        <v>46175</v>
      </c>
      <c r="B335" s="15" t="n">
        <f aca="false">COUNTIF('Raw - Sessions'!$R$5:$R$292,A335)</f>
        <v>2</v>
      </c>
      <c r="C335" s="31" t="n">
        <f aca="false">SUMIF('Raw - Sessions'!$R$5:$R$292,A335,'Raw - Sessions'!$D$5:$D$292)</f>
        <v>0.0333333333333333</v>
      </c>
      <c r="D335" s="31" t="n">
        <f aca="false">SUMIF('Raw - Sessions'!$R$5:$R$292,A335,'Raw - Sessions'!$E$5:$E$292)</f>
        <v>0</v>
      </c>
      <c r="E335" s="31" t="n">
        <f aca="false">'Raw - Daily Energy'!B330</f>
        <v>0</v>
      </c>
      <c r="F335" s="37" t="n">
        <f aca="false">SUMIF('Raw - Sessions'!$R$5:$R$292,A335,'Raw - Sessions'!$P$5:$P$292)</f>
        <v>0</v>
      </c>
    </row>
    <row r="336" customFormat="false" ht="15" hidden="false" customHeight="false" outlineLevel="0" collapsed="false">
      <c r="A336" s="46" t="n">
        <f aca="false">'Raw - Daily Energy'!A331</f>
        <v>46176</v>
      </c>
      <c r="B336" s="13" t="n">
        <f aca="false">COUNTIF('Raw - Sessions'!$R$5:$R$292,A336)</f>
        <v>2</v>
      </c>
      <c r="C336" s="30" t="n">
        <f aca="false">SUMIF('Raw - Sessions'!$R$5:$R$292,A336,'Raw - Sessions'!$D$5:$D$292)</f>
        <v>0.928611111111111</v>
      </c>
      <c r="D336" s="30" t="n">
        <f aca="false">SUMIF('Raw - Sessions'!$R$5:$R$292,A336,'Raw - Sessions'!$E$5:$E$292)</f>
        <v>31.9954</v>
      </c>
      <c r="E336" s="30" t="n">
        <f aca="false">'Raw - Daily Energy'!B331</f>
        <v>57.645</v>
      </c>
      <c r="F336" s="35" t="n">
        <f aca="false">SUMIF('Raw - Sessions'!$R$5:$R$292,A336,'Raw - Sessions'!$P$5:$P$292)</f>
        <v>23.24</v>
      </c>
    </row>
    <row r="337" customFormat="false" ht="15" hidden="false" customHeight="false" outlineLevel="0" collapsed="false">
      <c r="A337" s="47" t="n">
        <f aca="false">'Raw - Daily Energy'!A332</f>
        <v>46177</v>
      </c>
      <c r="B337" s="15" t="n">
        <f aca="false">COUNTIF('Raw - Sessions'!$R$5:$R$292,A337)</f>
        <v>2</v>
      </c>
      <c r="C337" s="31" t="n">
        <f aca="false">SUMIF('Raw - Sessions'!$R$5:$R$292,A337,'Raw - Sessions'!$D$5:$D$292)</f>
        <v>1.17888888888889</v>
      </c>
      <c r="D337" s="31" t="n">
        <f aca="false">SUMIF('Raw - Sessions'!$R$5:$R$292,A337,'Raw - Sessions'!$E$5:$E$292)</f>
        <v>25.6493</v>
      </c>
      <c r="E337" s="31" t="n">
        <f aca="false">'Raw - Daily Energy'!B332</f>
        <v>0</v>
      </c>
      <c r="F337" s="37" t="n">
        <f aca="false">SUMIF('Raw - Sessions'!$R$5:$R$292,A337,'Raw - Sessions'!$P$5:$P$292)</f>
        <v>20.15</v>
      </c>
    </row>
    <row r="338" customFormat="false" ht="15" hidden="false" customHeight="false" outlineLevel="0" collapsed="false">
      <c r="A338" s="46" t="n">
        <f aca="false">'Raw - Daily Energy'!A333</f>
        <v>46178</v>
      </c>
      <c r="B338" s="13" t="n">
        <f aca="false">COUNTIF('Raw - Sessions'!$R$5:$R$292,A338)</f>
        <v>2</v>
      </c>
      <c r="C338" s="30" t="n">
        <f aca="false">SUMIF('Raw - Sessions'!$R$5:$R$292,A338,'Raw - Sessions'!$D$5:$D$292)</f>
        <v>0.0072222222222221</v>
      </c>
      <c r="D338" s="30" t="n">
        <f aca="false">SUMIF('Raw - Sessions'!$R$5:$R$292,A338,'Raw - Sessions'!$E$5:$E$292)</f>
        <v>0</v>
      </c>
      <c r="E338" s="30" t="n">
        <f aca="false">'Raw - Daily Energy'!B333</f>
        <v>28.49</v>
      </c>
      <c r="F338" s="35" t="n">
        <f aca="false">SUMIF('Raw - Sessions'!$R$5:$R$292,A338,'Raw - Sessions'!$P$5:$P$292)</f>
        <v>0</v>
      </c>
    </row>
    <row r="339" customFormat="false" ht="15" hidden="false" customHeight="false" outlineLevel="0" collapsed="false">
      <c r="A339" s="47" t="n">
        <f aca="false">'Raw - Daily Energy'!A334</f>
        <v>46179</v>
      </c>
      <c r="B339" s="15" t="n">
        <f aca="false">COUNTIF('Raw - Sessions'!$R$5:$R$292,A339)</f>
        <v>2</v>
      </c>
      <c r="C339" s="31" t="n">
        <f aca="false">SUMIF('Raw - Sessions'!$R$5:$R$292,A339,'Raw - Sessions'!$D$5:$D$292)</f>
        <v>0.824444444444444</v>
      </c>
      <c r="D339" s="31" t="n">
        <f aca="false">SUMIF('Raw - Sessions'!$R$5:$R$292,A339,'Raw - Sessions'!$E$5:$E$292)</f>
        <v>28.4904</v>
      </c>
      <c r="E339" s="31" t="n">
        <f aca="false">'Raw - Daily Energy'!B334</f>
        <v>0</v>
      </c>
      <c r="F339" s="37" t="n">
        <f aca="false">SUMIF('Raw - Sessions'!$R$5:$R$292,A339,'Raw - Sessions'!$P$5:$P$292)</f>
        <v>19.48</v>
      </c>
    </row>
    <row r="340" customFormat="false" ht="15" hidden="false" customHeight="false" outlineLevel="0" collapsed="false">
      <c r="A340" s="46" t="n">
        <f aca="false">'Raw - Daily Energy'!A335</f>
        <v>46180</v>
      </c>
      <c r="B340" s="13" t="n">
        <f aca="false">COUNTIF('Raw - Sessions'!$R$5:$R$292,A340)</f>
        <v>3</v>
      </c>
      <c r="C340" s="30" t="n">
        <f aca="false">SUMIF('Raw - Sessions'!$R$5:$R$292,A340,'Raw - Sessions'!$D$5:$D$292)</f>
        <v>1.54333333333333</v>
      </c>
      <c r="D340" s="30" t="n">
        <f aca="false">SUMIF('Raw - Sessions'!$R$5:$R$292,A340,'Raw - Sessions'!$E$5:$E$292)</f>
        <v>55.3976</v>
      </c>
      <c r="E340" s="30" t="n">
        <f aca="false">'Raw - Daily Energy'!B335</f>
        <v>55.398</v>
      </c>
      <c r="F340" s="35" t="n">
        <f aca="false">SUMIF('Raw - Sessions'!$R$5:$R$292,A340,'Raw - Sessions'!$P$5:$P$292)</f>
        <v>39.01</v>
      </c>
    </row>
    <row r="341" customFormat="false" ht="15" hidden="false" customHeight="false" outlineLevel="0" collapsed="false">
      <c r="A341" s="47" t="n">
        <f aca="false">'Raw - Daily Energy'!A336</f>
        <v>46181</v>
      </c>
      <c r="B341" s="15" t="n">
        <f aca="false">COUNTIF('Raw - Sessions'!$R$5:$R$292,A341)</f>
        <v>0</v>
      </c>
      <c r="C341" s="31" t="n">
        <f aca="false">SUMIF('Raw - Sessions'!$R$5:$R$292,A341,'Raw - Sessions'!$D$5:$D$292)</f>
        <v>0</v>
      </c>
      <c r="D341" s="31" t="n">
        <f aca="false">SUMIF('Raw - Sessions'!$R$5:$R$292,A341,'Raw - Sessions'!$E$5:$E$292)</f>
        <v>0</v>
      </c>
      <c r="E341" s="31" t="n">
        <f aca="false">'Raw - Daily Energy'!B336</f>
        <v>0</v>
      </c>
      <c r="F341" s="37" t="n">
        <f aca="false">SUMIF('Raw - Sessions'!$R$5:$R$292,A341,'Raw - Sessions'!$P$5:$P$292)</f>
        <v>0</v>
      </c>
    </row>
    <row r="342" customFormat="false" ht="15" hidden="false" customHeight="false" outlineLevel="0" collapsed="false">
      <c r="A342" s="46" t="n">
        <f aca="false">'Raw - Daily Energy'!A337</f>
        <v>46182</v>
      </c>
      <c r="B342" s="13" t="n">
        <f aca="false">COUNTIF('Raw - Sessions'!$R$5:$R$292,A342)</f>
        <v>2</v>
      </c>
      <c r="C342" s="30" t="n">
        <f aca="false">SUMIF('Raw - Sessions'!$R$5:$R$292,A342,'Raw - Sessions'!$D$5:$D$292)</f>
        <v>1.25666666666667</v>
      </c>
      <c r="D342" s="30" t="n">
        <f aca="false">SUMIF('Raw - Sessions'!$R$5:$R$292,A342,'Raw - Sessions'!$E$5:$E$292)</f>
        <v>40.2134</v>
      </c>
      <c r="E342" s="30" t="n">
        <f aca="false">'Raw - Daily Energy'!B337</f>
        <v>40.213</v>
      </c>
      <c r="F342" s="35" t="n">
        <f aca="false">SUMIF('Raw - Sessions'!$R$5:$R$292,A342,'Raw - Sessions'!$P$5:$P$292)</f>
        <v>27.96</v>
      </c>
    </row>
    <row r="343" customFormat="false" ht="15" hidden="false" customHeight="false" outlineLevel="0" collapsed="false">
      <c r="A343" s="47" t="n">
        <f aca="false">'Raw - Daily Energy'!A338</f>
        <v>46183</v>
      </c>
      <c r="B343" s="15" t="n">
        <f aca="false">COUNTIF('Raw - Sessions'!$R$5:$R$292,A343)</f>
        <v>0</v>
      </c>
      <c r="C343" s="31" t="n">
        <f aca="false">SUMIF('Raw - Sessions'!$R$5:$R$292,A343,'Raw - Sessions'!$D$5:$D$292)</f>
        <v>0</v>
      </c>
      <c r="D343" s="31" t="n">
        <f aca="false">SUMIF('Raw - Sessions'!$R$5:$R$292,A343,'Raw - Sessions'!$E$5:$E$292)</f>
        <v>0</v>
      </c>
      <c r="E343" s="31" t="n">
        <f aca="false">'Raw - Daily Energy'!B338</f>
        <v>0</v>
      </c>
      <c r="F343" s="37" t="n">
        <f aca="false">SUMIF('Raw - Sessions'!$R$5:$R$292,A343,'Raw - Sessions'!$P$5:$P$292)</f>
        <v>0</v>
      </c>
    </row>
    <row r="344" customFormat="false" ht="15" hidden="false" customHeight="false" outlineLevel="0" collapsed="false">
      <c r="A344" s="46" t="n">
        <f aca="false">'Raw - Daily Energy'!A339</f>
        <v>46184</v>
      </c>
      <c r="B344" s="13" t="n">
        <f aca="false">COUNTIF('Raw - Sessions'!$R$5:$R$292,A344)</f>
        <v>4</v>
      </c>
      <c r="C344" s="30" t="n">
        <f aca="false">SUMIF('Raw - Sessions'!$R$5:$R$292,A344,'Raw - Sessions'!$D$5:$D$292)</f>
        <v>1.50694444444444</v>
      </c>
      <c r="D344" s="30" t="n">
        <f aca="false">SUMIF('Raw - Sessions'!$R$5:$R$292,A344,'Raw - Sessions'!$E$5:$E$292)</f>
        <v>50.39</v>
      </c>
      <c r="E344" s="30" t="n">
        <f aca="false">'Raw - Daily Energy'!B339</f>
        <v>50.39</v>
      </c>
      <c r="F344" s="35" t="n">
        <f aca="false">SUMIF('Raw - Sessions'!$R$5:$R$292,A344,'Raw - Sessions'!$P$5:$P$292)</f>
        <v>36.58</v>
      </c>
    </row>
    <row r="345" customFormat="false" ht="15" hidden="false" customHeight="false" outlineLevel="0" collapsed="false">
      <c r="A345" s="47" t="n">
        <f aca="false">'Raw - Daily Energy'!A340</f>
        <v>46185</v>
      </c>
      <c r="B345" s="15" t="n">
        <f aca="false">COUNTIF('Raw - Sessions'!$R$5:$R$292,A345)</f>
        <v>2</v>
      </c>
      <c r="C345" s="31" t="n">
        <f aca="false">SUMIF('Raw - Sessions'!$R$5:$R$292,A345,'Raw - Sessions'!$D$5:$D$292)</f>
        <v>1.71888888888889</v>
      </c>
      <c r="D345" s="31" t="n">
        <f aca="false">SUMIF('Raw - Sessions'!$R$5:$R$292,A345,'Raw - Sessions'!$E$5:$E$292)</f>
        <v>58.4114</v>
      </c>
      <c r="E345" s="31" t="n">
        <f aca="false">'Raw - Daily Energy'!B340</f>
        <v>58.411</v>
      </c>
      <c r="F345" s="37" t="n">
        <f aca="false">SUMIF('Raw - Sessions'!$R$5:$R$292,A345,'Raw - Sessions'!$P$5:$P$292)</f>
        <v>41</v>
      </c>
    </row>
    <row r="346" customFormat="false" ht="15" hidden="false" customHeight="false" outlineLevel="0" collapsed="false">
      <c r="A346" s="46" t="n">
        <f aca="false">'Raw - Daily Energy'!A341</f>
        <v>46186</v>
      </c>
      <c r="B346" s="13" t="n">
        <f aca="false">COUNTIF('Raw - Sessions'!$R$5:$R$292,A346)</f>
        <v>1</v>
      </c>
      <c r="C346" s="30" t="n">
        <f aca="false">SUMIF('Raw - Sessions'!$R$5:$R$292,A346,'Raw - Sessions'!$D$5:$D$292)</f>
        <v>0.723333333333333</v>
      </c>
      <c r="D346" s="30" t="n">
        <f aca="false">SUMIF('Raw - Sessions'!$R$5:$R$292,A346,'Raw - Sessions'!$E$5:$E$292)</f>
        <v>27.5466</v>
      </c>
      <c r="E346" s="30" t="n">
        <f aca="false">'Raw - Daily Energy'!B341</f>
        <v>27.547</v>
      </c>
      <c r="F346" s="35" t="n">
        <f aca="false">SUMIF('Raw - Sessions'!$R$5:$R$292,A346,'Raw - Sessions'!$P$5:$P$292)</f>
        <v>18.42</v>
      </c>
    </row>
    <row r="347" customFormat="false" ht="15" hidden="false" customHeight="false" outlineLevel="0" collapsed="false">
      <c r="A347" s="47" t="n">
        <f aca="false">'Raw - Daily Energy'!A342</f>
        <v>46187</v>
      </c>
      <c r="B347" s="15" t="n">
        <f aca="false">COUNTIF('Raw - Sessions'!$R$5:$R$292,A347)</f>
        <v>2</v>
      </c>
      <c r="C347" s="31" t="n">
        <f aca="false">SUMIF('Raw - Sessions'!$R$5:$R$292,A347,'Raw - Sessions'!$D$5:$D$292)</f>
        <v>0.868611111111111</v>
      </c>
      <c r="D347" s="31" t="n">
        <f aca="false">SUMIF('Raw - Sessions'!$R$5:$R$292,A347,'Raw - Sessions'!$E$5:$E$292)</f>
        <v>16.1638</v>
      </c>
      <c r="E347" s="31" t="n">
        <f aca="false">'Raw - Daily Energy'!B342</f>
        <v>16.164</v>
      </c>
      <c r="F347" s="37" t="n">
        <f aca="false">SUMIF('Raw - Sessions'!$R$5:$R$292,A347,'Raw - Sessions'!$P$5:$P$292)</f>
        <v>14.03</v>
      </c>
    </row>
    <row r="348" customFormat="false" ht="15" hidden="false" customHeight="false" outlineLevel="0" collapsed="false">
      <c r="A348" s="46" t="n">
        <f aca="false">'Raw - Daily Energy'!A343</f>
        <v>46188</v>
      </c>
      <c r="B348" s="13" t="n">
        <f aca="false">COUNTIF('Raw - Sessions'!$R$5:$R$292,A348)</f>
        <v>1</v>
      </c>
      <c r="C348" s="30" t="n">
        <f aca="false">SUMIF('Raw - Sessions'!$R$5:$R$292,A348,'Raw - Sessions'!$D$5:$D$292)</f>
        <v>1.57055555555556</v>
      </c>
      <c r="D348" s="30" t="n">
        <f aca="false">SUMIF('Raw - Sessions'!$R$5:$R$292,A348,'Raw - Sessions'!$E$5:$E$292)</f>
        <v>46.2622</v>
      </c>
      <c r="E348" s="30" t="n">
        <f aca="false">'Raw - Daily Energy'!B343</f>
        <v>46.262</v>
      </c>
      <c r="F348" s="35" t="n">
        <f aca="false">SUMIF('Raw - Sessions'!$R$5:$R$292,A348,'Raw - Sessions'!$P$5:$P$292)</f>
        <v>33.8</v>
      </c>
    </row>
    <row r="349" customFormat="false" ht="15" hidden="false" customHeight="false" outlineLevel="0" collapsed="false">
      <c r="A349" s="47" t="n">
        <f aca="false">'Raw - Daily Energy'!A344</f>
        <v>46189</v>
      </c>
      <c r="B349" s="15" t="n">
        <f aca="false">COUNTIF('Raw - Sessions'!$R$5:$R$292,A349)</f>
        <v>0</v>
      </c>
      <c r="C349" s="31" t="n">
        <f aca="false">SUMIF('Raw - Sessions'!$R$5:$R$292,A349,'Raw - Sessions'!$D$5:$D$292)</f>
        <v>0</v>
      </c>
      <c r="D349" s="31" t="n">
        <f aca="false">SUMIF('Raw - Sessions'!$R$5:$R$292,A349,'Raw - Sessions'!$E$5:$E$292)</f>
        <v>0</v>
      </c>
      <c r="E349" s="31" t="n">
        <f aca="false">'Raw - Daily Energy'!B344</f>
        <v>0</v>
      </c>
      <c r="F349" s="37" t="n">
        <f aca="false">SUMIF('Raw - Sessions'!$R$5:$R$292,A349,'Raw - Sessions'!$P$5:$P$292)</f>
        <v>0</v>
      </c>
    </row>
    <row r="350" customFormat="false" ht="15" hidden="false" customHeight="false" outlineLevel="0" collapsed="false">
      <c r="A350" s="46" t="n">
        <f aca="false">'Raw - Daily Energy'!A345</f>
        <v>46190</v>
      </c>
      <c r="B350" s="13" t="n">
        <f aca="false">COUNTIF('Raw - Sessions'!$R$5:$R$292,A350)</f>
        <v>0</v>
      </c>
      <c r="C350" s="30" t="n">
        <f aca="false">SUMIF('Raw - Sessions'!$R$5:$R$292,A350,'Raw - Sessions'!$D$5:$D$292)</f>
        <v>0</v>
      </c>
      <c r="D350" s="30" t="n">
        <f aca="false">SUMIF('Raw - Sessions'!$R$5:$R$292,A350,'Raw - Sessions'!$E$5:$E$292)</f>
        <v>0</v>
      </c>
      <c r="E350" s="30" t="n">
        <f aca="false">'Raw - Daily Energy'!B345</f>
        <v>0</v>
      </c>
      <c r="F350" s="35" t="n">
        <f aca="false">SUMIF('Raw - Sessions'!$R$5:$R$292,A350,'Raw - Sessions'!$P$5:$P$292)</f>
        <v>0</v>
      </c>
    </row>
    <row r="351" customFormat="false" ht="15" hidden="false" customHeight="false" outlineLevel="0" collapsed="false">
      <c r="A351" s="47" t="n">
        <f aca="false">'Raw - Daily Energy'!A346</f>
        <v>46191</v>
      </c>
      <c r="B351" s="15" t="n">
        <f aca="false">COUNTIF('Raw - Sessions'!$R$5:$R$292,A351)</f>
        <v>2</v>
      </c>
      <c r="C351" s="31" t="n">
        <f aca="false">SUMIF('Raw - Sessions'!$R$5:$R$292,A351,'Raw - Sessions'!$D$5:$D$292)</f>
        <v>1.56583333333333</v>
      </c>
      <c r="D351" s="31" t="n">
        <f aca="false">SUMIF('Raw - Sessions'!$R$5:$R$292,A351,'Raw - Sessions'!$E$5:$E$292)</f>
        <v>60.6686</v>
      </c>
      <c r="E351" s="31" t="n">
        <f aca="false">'Raw - Daily Energy'!B346</f>
        <v>60.669</v>
      </c>
      <c r="F351" s="37" t="n">
        <f aca="false">SUMIF('Raw - Sessions'!$R$5:$R$292,A351,'Raw - Sessions'!$P$5:$P$292)</f>
        <v>41.37</v>
      </c>
    </row>
    <row r="352" customFormat="false" ht="15" hidden="false" customHeight="false" outlineLevel="0" collapsed="false">
      <c r="A352" s="46" t="n">
        <f aca="false">'Raw - Daily Energy'!A347</f>
        <v>46192</v>
      </c>
      <c r="B352" s="13" t="n">
        <f aca="false">COUNTIF('Raw - Sessions'!$R$5:$R$292,A352)</f>
        <v>0</v>
      </c>
      <c r="C352" s="30" t="n">
        <f aca="false">SUMIF('Raw - Sessions'!$R$5:$R$292,A352,'Raw - Sessions'!$D$5:$D$292)</f>
        <v>0</v>
      </c>
      <c r="D352" s="30" t="n">
        <f aca="false">SUMIF('Raw - Sessions'!$R$5:$R$292,A352,'Raw - Sessions'!$E$5:$E$292)</f>
        <v>0</v>
      </c>
      <c r="E352" s="30" t="n">
        <f aca="false">'Raw - Daily Energy'!B347</f>
        <v>0</v>
      </c>
      <c r="F352" s="35" t="n">
        <f aca="false">SUMIF('Raw - Sessions'!$R$5:$R$292,A352,'Raw - Sessions'!$P$5:$P$292)</f>
        <v>0</v>
      </c>
    </row>
    <row r="353" customFormat="false" ht="15" hidden="false" customHeight="false" outlineLevel="0" collapsed="false">
      <c r="A353" s="47" t="n">
        <f aca="false">'Raw - Daily Energy'!A348</f>
        <v>46193</v>
      </c>
      <c r="B353" s="15" t="n">
        <f aca="false">COUNTIF('Raw - Sessions'!$R$5:$R$292,A353)</f>
        <v>0</v>
      </c>
      <c r="C353" s="31" t="n">
        <f aca="false">SUMIF('Raw - Sessions'!$R$5:$R$292,A353,'Raw - Sessions'!$D$5:$D$292)</f>
        <v>0</v>
      </c>
      <c r="D353" s="31" t="n">
        <f aca="false">SUMIF('Raw - Sessions'!$R$5:$R$292,A353,'Raw - Sessions'!$E$5:$E$292)</f>
        <v>0</v>
      </c>
      <c r="E353" s="31" t="n">
        <f aca="false">'Raw - Daily Energy'!B348</f>
        <v>0</v>
      </c>
      <c r="F353" s="37" t="n">
        <f aca="false">SUMIF('Raw - Sessions'!$R$5:$R$292,A353,'Raw - Sessions'!$P$5:$P$292)</f>
        <v>0</v>
      </c>
    </row>
    <row r="354" customFormat="false" ht="15" hidden="false" customHeight="false" outlineLevel="0" collapsed="false">
      <c r="A354" s="46" t="n">
        <f aca="false">'Raw - Daily Energy'!A349</f>
        <v>46194</v>
      </c>
      <c r="B354" s="13" t="n">
        <f aca="false">COUNTIF('Raw - Sessions'!$R$5:$R$292,A354)</f>
        <v>0</v>
      </c>
      <c r="C354" s="30" t="n">
        <f aca="false">SUMIF('Raw - Sessions'!$R$5:$R$292,A354,'Raw - Sessions'!$D$5:$D$292)</f>
        <v>0</v>
      </c>
      <c r="D354" s="30" t="n">
        <f aca="false">SUMIF('Raw - Sessions'!$R$5:$R$292,A354,'Raw - Sessions'!$E$5:$E$292)</f>
        <v>0</v>
      </c>
      <c r="E354" s="30" t="n">
        <f aca="false">'Raw - Daily Energy'!B349</f>
        <v>0</v>
      </c>
      <c r="F354" s="35" t="n">
        <f aca="false">SUMIF('Raw - Sessions'!$R$5:$R$292,A354,'Raw - Sessions'!$P$5:$P$292)</f>
        <v>0</v>
      </c>
    </row>
    <row r="355" customFormat="false" ht="15" hidden="false" customHeight="false" outlineLevel="0" collapsed="false">
      <c r="A355" s="47" t="n">
        <f aca="false">'Raw - Daily Energy'!A350</f>
        <v>46195</v>
      </c>
      <c r="B355" s="15" t="n">
        <f aca="false">COUNTIF('Raw - Sessions'!$R$5:$R$292,A355)</f>
        <v>2</v>
      </c>
      <c r="C355" s="31" t="n">
        <f aca="false">SUMIF('Raw - Sessions'!$R$5:$R$292,A355,'Raw - Sessions'!$D$5:$D$292)</f>
        <v>1.37944444444444</v>
      </c>
      <c r="D355" s="31" t="n">
        <f aca="false">SUMIF('Raw - Sessions'!$R$5:$R$292,A355,'Raw - Sessions'!$E$5:$E$292)</f>
        <v>47.8904</v>
      </c>
      <c r="E355" s="31" t="n">
        <f aca="false">'Raw - Daily Energy'!B350</f>
        <v>47.89</v>
      </c>
      <c r="F355" s="37" t="n">
        <f aca="false">SUMIF('Raw - Sessions'!$R$5:$R$292,A355,'Raw - Sessions'!$P$5:$P$292)</f>
        <v>33.14</v>
      </c>
    </row>
    <row r="356" customFormat="false" ht="15" hidden="false" customHeight="false" outlineLevel="0" collapsed="false">
      <c r="A356" s="46" t="n">
        <f aca="false">'Raw - Daily Energy'!A351</f>
        <v>46196</v>
      </c>
      <c r="B356" s="13" t="n">
        <f aca="false">COUNTIF('Raw - Sessions'!$R$5:$R$292,A356)</f>
        <v>1</v>
      </c>
      <c r="C356" s="30" t="n">
        <f aca="false">SUMIF('Raw - Sessions'!$R$5:$R$292,A356,'Raw - Sessions'!$D$5:$D$292)</f>
        <v>0.834444444444444</v>
      </c>
      <c r="D356" s="30" t="n">
        <f aca="false">SUMIF('Raw - Sessions'!$R$5:$R$292,A356,'Raw - Sessions'!$E$5:$E$292)</f>
        <v>27.8244</v>
      </c>
      <c r="E356" s="30" t="n">
        <f aca="false">'Raw - Daily Energy'!B351</f>
        <v>27.824</v>
      </c>
      <c r="F356" s="35" t="n">
        <f aca="false">SUMIF('Raw - Sessions'!$R$5:$R$292,A356,'Raw - Sessions'!$P$5:$P$292)</f>
        <v>19.14</v>
      </c>
    </row>
    <row r="357" customFormat="false" ht="15" hidden="false" customHeight="false" outlineLevel="0" collapsed="false">
      <c r="A357" s="47" t="n">
        <f aca="false">'Raw - Daily Energy'!A352</f>
        <v>46197</v>
      </c>
      <c r="B357" s="15" t="n">
        <f aca="false">COUNTIF('Raw - Sessions'!$R$5:$R$292,A357)</f>
        <v>0</v>
      </c>
      <c r="C357" s="31" t="n">
        <f aca="false">SUMIF('Raw - Sessions'!$R$5:$R$292,A357,'Raw - Sessions'!$D$5:$D$292)</f>
        <v>0</v>
      </c>
      <c r="D357" s="31" t="n">
        <f aca="false">SUMIF('Raw - Sessions'!$R$5:$R$292,A357,'Raw - Sessions'!$E$5:$E$292)</f>
        <v>0</v>
      </c>
      <c r="E357" s="31" t="n">
        <f aca="false">'Raw - Daily Energy'!B352</f>
        <v>0</v>
      </c>
      <c r="F357" s="37" t="n">
        <f aca="false">SUMIF('Raw - Sessions'!$R$5:$R$292,A357,'Raw - Sessions'!$P$5:$P$292)</f>
        <v>0</v>
      </c>
    </row>
    <row r="358" customFormat="false" ht="15" hidden="false" customHeight="false" outlineLevel="0" collapsed="false">
      <c r="A358" s="46" t="n">
        <f aca="false">'Raw - Daily Energy'!A353</f>
        <v>46198</v>
      </c>
      <c r="B358" s="13" t="n">
        <f aca="false">COUNTIF('Raw - Sessions'!$R$5:$R$292,A358)</f>
        <v>2</v>
      </c>
      <c r="C358" s="30" t="n">
        <f aca="false">SUMIF('Raw - Sessions'!$R$5:$R$292,A358,'Raw - Sessions'!$D$5:$D$292)</f>
        <v>0.815</v>
      </c>
      <c r="D358" s="30" t="n">
        <f aca="false">SUMIF('Raw - Sessions'!$R$5:$R$292,A358,'Raw - Sessions'!$E$5:$E$292)</f>
        <v>29.5188</v>
      </c>
      <c r="E358" s="30" t="n">
        <f aca="false">'Raw - Daily Energy'!B353</f>
        <v>29.519</v>
      </c>
      <c r="F358" s="35" t="n">
        <f aca="false">SUMIF('Raw - Sessions'!$R$5:$R$292,A358,'Raw - Sessions'!$P$5:$P$292)</f>
        <v>20.28</v>
      </c>
    </row>
    <row r="359" customFormat="false" ht="15" hidden="false" customHeight="false" outlineLevel="0" collapsed="false">
      <c r="A359" s="47" t="n">
        <f aca="false">'Raw - Daily Energy'!A354</f>
        <v>46199</v>
      </c>
      <c r="B359" s="15" t="n">
        <f aca="false">COUNTIF('Raw - Sessions'!$R$5:$R$292,A359)</f>
        <v>0</v>
      </c>
      <c r="C359" s="31" t="n">
        <f aca="false">SUMIF('Raw - Sessions'!$R$5:$R$292,A359,'Raw - Sessions'!$D$5:$D$292)</f>
        <v>0</v>
      </c>
      <c r="D359" s="31" t="n">
        <f aca="false">SUMIF('Raw - Sessions'!$R$5:$R$292,A359,'Raw - Sessions'!$E$5:$E$292)</f>
        <v>0</v>
      </c>
      <c r="E359" s="31" t="n">
        <f aca="false">'Raw - Daily Energy'!B354</f>
        <v>1.451</v>
      </c>
      <c r="F359" s="37" t="n">
        <f aca="false">SUMIF('Raw - Sessions'!$R$5:$R$292,A359,'Raw - Sessions'!$P$5:$P$292)</f>
        <v>0</v>
      </c>
    </row>
    <row r="360" customFormat="false" ht="15" hidden="false" customHeight="false" outlineLevel="0" collapsed="false">
      <c r="A360" s="46" t="n">
        <f aca="false">'Raw - Daily Energy'!A355</f>
        <v>46200</v>
      </c>
      <c r="B360" s="13" t="n">
        <f aca="false">COUNTIF('Raw - Sessions'!$R$5:$R$292,A360)</f>
        <v>8</v>
      </c>
      <c r="C360" s="30" t="n">
        <f aca="false">SUMIF('Raw - Sessions'!$R$5:$R$292,A360,'Raw - Sessions'!$D$5:$D$292)</f>
        <v>0.473888888888889</v>
      </c>
      <c r="D360" s="30" t="n">
        <f aca="false">SUMIF('Raw - Sessions'!$R$5:$R$292,A360,'Raw - Sessions'!$E$5:$E$292)</f>
        <v>1.450754</v>
      </c>
      <c r="E360" s="30" t="n">
        <f aca="false">'Raw - Daily Energy'!B355</f>
        <v>0</v>
      </c>
      <c r="F360" s="35" t="n">
        <f aca="false">SUMIF('Raw - Sessions'!$R$5:$R$292,A360,'Raw - Sessions'!$P$5:$P$292)</f>
        <v>3.19</v>
      </c>
    </row>
    <row r="361" customFormat="false" ht="15" hidden="false" customHeight="false" outlineLevel="0" collapsed="false">
      <c r="A361" s="47" t="n">
        <f aca="false">'Raw - Daily Energy'!A356</f>
        <v>46201</v>
      </c>
      <c r="B361" s="15" t="n">
        <f aca="false">COUNTIF('Raw - Sessions'!$R$5:$R$292,A361)</f>
        <v>1</v>
      </c>
      <c r="C361" s="31" t="n">
        <f aca="false">SUMIF('Raw - Sessions'!$R$5:$R$292,A361,'Raw - Sessions'!$D$5:$D$292)</f>
        <v>0.410277777777778</v>
      </c>
      <c r="D361" s="31" t="n">
        <f aca="false">SUMIF('Raw - Sessions'!$R$5:$R$292,A361,'Raw - Sessions'!$E$5:$E$292)</f>
        <v>11.8481</v>
      </c>
      <c r="E361" s="31" t="n">
        <f aca="false">'Raw - Daily Energy'!B356</f>
        <v>11.848</v>
      </c>
      <c r="F361" s="37" t="n">
        <f aca="false">SUMIF('Raw - Sessions'!$R$5:$R$292,A361,'Raw - Sessions'!$P$5:$P$292)</f>
        <v>8.45</v>
      </c>
    </row>
    <row r="362" customFormat="false" ht="15" hidden="false" customHeight="false" outlineLevel="0" collapsed="false">
      <c r="A362" s="46" t="n">
        <f aca="false">'Raw - Daily Energy'!A357</f>
        <v>46202</v>
      </c>
      <c r="B362" s="13" t="n">
        <f aca="false">COUNTIF('Raw - Sessions'!$R$5:$R$292,A362)</f>
        <v>1</v>
      </c>
      <c r="C362" s="30" t="n">
        <f aca="false">SUMIF('Raw - Sessions'!$R$5:$R$292,A362,'Raw - Sessions'!$D$5:$D$292)</f>
        <v>0.342222222222222</v>
      </c>
      <c r="D362" s="30" t="n">
        <f aca="false">SUMIF('Raw - Sessions'!$R$5:$R$292,A362,'Raw - Sessions'!$E$5:$E$292)</f>
        <v>9.7997</v>
      </c>
      <c r="E362" s="30" t="n">
        <f aca="false">'Raw - Daily Energy'!B357</f>
        <v>9.8</v>
      </c>
      <c r="F362" s="35" t="n">
        <f aca="false">SUMIF('Raw - Sessions'!$R$5:$R$292,A362,'Raw - Sessions'!$P$5:$P$292)</f>
        <v>7.97</v>
      </c>
    </row>
    <row r="363" customFormat="false" ht="15" hidden="false" customHeight="false" outlineLevel="0" collapsed="false">
      <c r="A363" s="47" t="n">
        <f aca="false">'Raw - Daily Energy'!A358</f>
        <v>46203</v>
      </c>
      <c r="B363" s="15" t="n">
        <f aca="false">COUNTIF('Raw - Sessions'!$R$5:$R$292,A363)</f>
        <v>4</v>
      </c>
      <c r="C363" s="31" t="n">
        <f aca="false">SUMIF('Raw - Sessions'!$R$5:$R$292,A363,'Raw - Sessions'!$D$5:$D$292)</f>
        <v>2.18</v>
      </c>
      <c r="D363" s="31" t="n">
        <f aca="false">SUMIF('Raw - Sessions'!$R$5:$R$292,A363,'Raw - Sessions'!$E$5:$E$292)</f>
        <v>12.276874</v>
      </c>
      <c r="E363" s="31" t="n">
        <f aca="false">'Raw - Daily Energy'!B358</f>
        <v>12.277</v>
      </c>
      <c r="F363" s="37" t="n">
        <f aca="false">SUMIF('Raw - Sessions'!$R$5:$R$292,A363,'Raw - Sessions'!$P$5:$P$292)</f>
        <v>18.51</v>
      </c>
    </row>
    <row r="364" customFormat="false" ht="15" hidden="false" customHeight="false" outlineLevel="0" collapsed="false">
      <c r="A364" s="46" t="n">
        <f aca="false">'Raw - Daily Energy'!A359</f>
        <v>46204</v>
      </c>
      <c r="B364" s="13" t="n">
        <f aca="false">COUNTIF('Raw - Sessions'!$R$5:$R$292,A364)</f>
        <v>0</v>
      </c>
      <c r="C364" s="30" t="n">
        <f aca="false">SUMIF('Raw - Sessions'!$R$5:$R$292,A364,'Raw - Sessions'!$D$5:$D$292)</f>
        <v>0</v>
      </c>
      <c r="D364" s="30" t="n">
        <f aca="false">SUMIF('Raw - Sessions'!$R$5:$R$292,A364,'Raw - Sessions'!$E$5:$E$292)</f>
        <v>0</v>
      </c>
      <c r="E364" s="30" t="n">
        <f aca="false">'Raw - Daily Energy'!B359</f>
        <v>0</v>
      </c>
      <c r="F364" s="35" t="n">
        <f aca="false">SUMIF('Raw - Sessions'!$R$5:$R$292,A364,'Raw - Sessions'!$P$5:$P$292)</f>
        <v>0</v>
      </c>
    </row>
    <row r="365" customFormat="false" ht="15" hidden="false" customHeight="false" outlineLevel="0" collapsed="false">
      <c r="A365" s="47" t="n">
        <f aca="false">'Raw - Daily Energy'!A360</f>
        <v>46205</v>
      </c>
      <c r="B365" s="15" t="n">
        <f aca="false">COUNTIF('Raw - Sessions'!$R$5:$R$292,A365)</f>
        <v>1</v>
      </c>
      <c r="C365" s="31" t="n">
        <f aca="false">SUMIF('Raw - Sessions'!$R$5:$R$292,A365,'Raw - Sessions'!$D$5:$D$292)</f>
        <v>0.718888888888889</v>
      </c>
      <c r="D365" s="31" t="n">
        <f aca="false">SUMIF('Raw - Sessions'!$R$5:$R$292,A365,'Raw - Sessions'!$E$5:$E$292)</f>
        <v>24.9589</v>
      </c>
      <c r="E365" s="31" t="n">
        <f aca="false">'Raw - Daily Energy'!B360</f>
        <v>24.959</v>
      </c>
      <c r="F365" s="37" t="n">
        <f aca="false">SUMIF('Raw - Sessions'!$R$5:$R$292,A365,'Raw - Sessions'!$P$5:$P$292)</f>
        <v>18.03</v>
      </c>
    </row>
    <row r="366" customFormat="false" ht="15" hidden="false" customHeight="false" outlineLevel="0" collapsed="false">
      <c r="A366" s="46" t="n">
        <f aca="false">'Raw - Daily Energy'!A361</f>
        <v>46206</v>
      </c>
      <c r="B366" s="13" t="n">
        <f aca="false">COUNTIF('Raw - Sessions'!$R$5:$R$292,A366)</f>
        <v>2</v>
      </c>
      <c r="C366" s="30" t="n">
        <f aca="false">SUMIF('Raw - Sessions'!$R$5:$R$292,A366,'Raw - Sessions'!$D$5:$D$292)</f>
        <v>0.685833333333333</v>
      </c>
      <c r="D366" s="30" t="n">
        <f aca="false">SUMIF('Raw - Sessions'!$R$5:$R$292,A366,'Raw - Sessions'!$E$5:$E$292)</f>
        <v>23.4882</v>
      </c>
      <c r="E366" s="30" t="n">
        <f aca="false">'Raw - Daily Energy'!B361</f>
        <v>23.488</v>
      </c>
      <c r="F366" s="35" t="n">
        <f aca="false">SUMIF('Raw - Sessions'!$R$5:$R$292,A366,'Raw - Sessions'!$P$5:$P$292)</f>
        <v>17.56</v>
      </c>
    </row>
    <row r="367" customFormat="false" ht="15" hidden="false" customHeight="false" outlineLevel="0" collapsed="false">
      <c r="A367" s="47" t="n">
        <f aca="false">'Raw - Daily Energy'!A362</f>
        <v>46207</v>
      </c>
      <c r="B367" s="15" t="n">
        <f aca="false">COUNTIF('Raw - Sessions'!$R$5:$R$292,A367)</f>
        <v>0</v>
      </c>
      <c r="C367" s="31" t="n">
        <f aca="false">SUMIF('Raw - Sessions'!$R$5:$R$292,A367,'Raw - Sessions'!$D$5:$D$292)</f>
        <v>0</v>
      </c>
      <c r="D367" s="31" t="n">
        <f aca="false">SUMIF('Raw - Sessions'!$R$5:$R$292,A367,'Raw - Sessions'!$E$5:$E$292)</f>
        <v>0</v>
      </c>
      <c r="E367" s="31" t="n">
        <f aca="false">'Raw - Daily Energy'!B362</f>
        <v>0</v>
      </c>
      <c r="F367" s="37" t="n">
        <f aca="false">SUMIF('Raw - Sessions'!$R$5:$R$292,A367,'Raw - Sessions'!$P$5:$P$292)</f>
        <v>0</v>
      </c>
    </row>
    <row r="368" customFormat="false" ht="15" hidden="false" customHeight="false" outlineLevel="0" collapsed="false">
      <c r="A368" s="46" t="n">
        <f aca="false">'Raw - Daily Energy'!A363</f>
        <v>46208</v>
      </c>
      <c r="B368" s="13" t="n">
        <f aca="false">COUNTIF('Raw - Sessions'!$R$5:$R$292,A368)</f>
        <v>2</v>
      </c>
      <c r="C368" s="30" t="n">
        <f aca="false">SUMIF('Raw - Sessions'!$R$5:$R$292,A368,'Raw - Sessions'!$D$5:$D$292)</f>
        <v>0.482222222222222</v>
      </c>
      <c r="D368" s="30" t="n">
        <f aca="false">SUMIF('Raw - Sessions'!$R$5:$R$292,A368,'Raw - Sessions'!$E$5:$E$292)</f>
        <v>16.0578</v>
      </c>
      <c r="E368" s="30" t="n">
        <f aca="false">'Raw - Daily Energy'!B363</f>
        <v>16.058</v>
      </c>
      <c r="F368" s="35" t="n">
        <f aca="false">SUMIF('Raw - Sessions'!$R$5:$R$292,A368,'Raw - Sessions'!$P$5:$P$292)</f>
        <v>11.5</v>
      </c>
    </row>
    <row r="369" customFormat="false" ht="15" hidden="false" customHeight="false" outlineLevel="0" collapsed="false">
      <c r="A369" s="47" t="n">
        <f aca="false">'Raw - Daily Energy'!A364</f>
        <v>46209</v>
      </c>
      <c r="B369" s="15" t="n">
        <f aca="false">COUNTIF('Raw - Sessions'!$R$5:$R$292,A369)</f>
        <v>0</v>
      </c>
      <c r="C369" s="31" t="n">
        <f aca="false">SUMIF('Raw - Sessions'!$R$5:$R$292,A369,'Raw - Sessions'!$D$5:$D$292)</f>
        <v>0</v>
      </c>
      <c r="D369" s="31" t="n">
        <f aca="false">SUMIF('Raw - Sessions'!$R$5:$R$292,A369,'Raw - Sessions'!$E$5:$E$292)</f>
        <v>0</v>
      </c>
      <c r="E369" s="31" t="n">
        <f aca="false">'Raw - Daily Energy'!B364</f>
        <v>0</v>
      </c>
      <c r="F369" s="37" t="n">
        <f aca="false">SUMIF('Raw - Sessions'!$R$5:$R$292,A369,'Raw - Sessions'!$P$5:$P$292)</f>
        <v>0</v>
      </c>
    </row>
    <row r="370" customFormat="false" ht="15" hidden="false" customHeight="false" outlineLevel="0" collapsed="false">
      <c r="A370" s="46" t="n">
        <f aca="false">'Raw - Daily Energy'!A365</f>
        <v>46210</v>
      </c>
      <c r="B370" s="13" t="n">
        <f aca="false">COUNTIF('Raw - Sessions'!$R$5:$R$292,A370)</f>
        <v>1</v>
      </c>
      <c r="C370" s="30" t="n">
        <f aca="false">SUMIF('Raw - Sessions'!$R$5:$R$292,A370,'Raw - Sessions'!$D$5:$D$292)</f>
        <v>0.777222222222222</v>
      </c>
      <c r="D370" s="30" t="n">
        <f aca="false">SUMIF('Raw - Sessions'!$R$5:$R$292,A370,'Raw - Sessions'!$E$5:$E$292)</f>
        <v>29.0876</v>
      </c>
      <c r="E370" s="30" t="n">
        <f aca="false">'Raw - Daily Energy'!B365</f>
        <v>29.088</v>
      </c>
      <c r="F370" s="35" t="n">
        <f aca="false">SUMIF('Raw - Sessions'!$R$5:$R$292,A370,'Raw - Sessions'!$P$5:$P$292)</f>
        <v>19.47</v>
      </c>
    </row>
    <row r="371" customFormat="false" ht="15" hidden="false" customHeight="false" outlineLevel="0" collapsed="false">
      <c r="A371" s="47" t="n">
        <f aca="false">'Raw - Daily Energy'!A366</f>
        <v>46211</v>
      </c>
      <c r="B371" s="15" t="n">
        <f aca="false">COUNTIF('Raw - Sessions'!$R$5:$R$292,A371)</f>
        <v>0</v>
      </c>
      <c r="C371" s="31" t="n">
        <f aca="false">SUMIF('Raw - Sessions'!$R$5:$R$292,A371,'Raw - Sessions'!$D$5:$D$292)</f>
        <v>0</v>
      </c>
      <c r="D371" s="31" t="n">
        <f aca="false">SUMIF('Raw - Sessions'!$R$5:$R$292,A371,'Raw - Sessions'!$E$5:$E$292)</f>
        <v>0</v>
      </c>
      <c r="E371" s="31" t="n">
        <f aca="false">'Raw - Daily Energy'!B366</f>
        <v>12.305</v>
      </c>
      <c r="F371" s="37" t="n">
        <f aca="false">SUMIF('Raw - Sessions'!$R$5:$R$292,A371,'Raw - Sessions'!$P$5:$P$292)</f>
        <v>0</v>
      </c>
    </row>
    <row r="372" customFormat="false" ht="15" hidden="false" customHeight="false" outlineLevel="0" collapsed="false">
      <c r="A372" s="46" t="n">
        <f aca="false">'Raw - Daily Energy'!A367</f>
        <v>46212</v>
      </c>
      <c r="B372" s="13" t="n">
        <f aca="false">COUNTIF('Raw - Sessions'!$R$5:$R$292,A372)</f>
        <v>1</v>
      </c>
      <c r="C372" s="30" t="n">
        <f aca="false">SUMIF('Raw - Sessions'!$R$5:$R$292,A372,'Raw - Sessions'!$D$5:$D$292)</f>
        <v>3.71555555555556</v>
      </c>
      <c r="D372" s="30" t="n">
        <f aca="false">SUMIF('Raw - Sessions'!$R$5:$R$292,A372,'Raw - Sessions'!$E$5:$E$292)</f>
        <v>12.304789</v>
      </c>
      <c r="E372" s="30" t="n">
        <f aca="false">'Raw - Daily Energy'!B367</f>
        <v>0</v>
      </c>
      <c r="F372" s="35" t="n">
        <f aca="false">SUMIF('Raw - Sessions'!$R$5:$R$292,A372,'Raw - Sessions'!$P$5:$P$292)</f>
        <v>26.7</v>
      </c>
    </row>
    <row r="373" customFormat="false" ht="15" hidden="false" customHeight="false" outlineLevel="0" collapsed="false">
      <c r="A373" s="47" t="n">
        <f aca="false">'Raw - Daily Energy'!A368</f>
        <v>46213</v>
      </c>
      <c r="B373" s="15" t="n">
        <f aca="false">COUNTIF('Raw - Sessions'!$R$5:$R$292,A373)</f>
        <v>0</v>
      </c>
      <c r="C373" s="31" t="n">
        <f aca="false">SUMIF('Raw - Sessions'!$R$5:$R$292,A373,'Raw - Sessions'!$D$5:$D$292)</f>
        <v>0</v>
      </c>
      <c r="D373" s="31" t="n">
        <f aca="false">SUMIF('Raw - Sessions'!$R$5:$R$292,A373,'Raw - Sessions'!$E$5:$E$292)</f>
        <v>0</v>
      </c>
      <c r="E373" s="31" t="n">
        <f aca="false">'Raw - Daily Energy'!B368</f>
        <v>6.159</v>
      </c>
      <c r="F373" s="37" t="n">
        <f aca="false">SUMIF('Raw - Sessions'!$R$5:$R$292,A373,'Raw - Sessions'!$P$5:$P$292)</f>
        <v>0</v>
      </c>
    </row>
    <row r="374" customFormat="false" ht="15" hidden="false" customHeight="false" outlineLevel="0" collapsed="false">
      <c r="A374" s="46" t="n">
        <f aca="false">'Raw - Daily Energy'!A369</f>
        <v>46214</v>
      </c>
      <c r="B374" s="13" t="n">
        <f aca="false">COUNTIF('Raw - Sessions'!$R$5:$R$292,A374)</f>
        <v>0</v>
      </c>
      <c r="C374" s="30" t="n">
        <f aca="false">SUMIF('Raw - Sessions'!$R$5:$R$292,A374,'Raw - Sessions'!$D$5:$D$292)</f>
        <v>0</v>
      </c>
      <c r="D374" s="30" t="n">
        <f aca="false">SUMIF('Raw - Sessions'!$R$5:$R$292,A374,'Raw - Sessions'!$E$5:$E$292)</f>
        <v>0</v>
      </c>
      <c r="E374" s="30" t="n">
        <f aca="false">'Raw - Daily Energy'!B369</f>
        <v>0</v>
      </c>
      <c r="F374" s="35" t="n">
        <f aca="false">SUMIF('Raw - Sessions'!$R$5:$R$292,A374,'Raw - Sessions'!$P$5:$P$292)</f>
        <v>0</v>
      </c>
    </row>
  </sheetData>
  <mergeCells count="10">
    <mergeCell ref="A4:B4"/>
    <mergeCell ref="C4:D4"/>
    <mergeCell ref="E4:F4"/>
    <mergeCell ref="G4:H4"/>
    <mergeCell ref="I4:J4"/>
    <mergeCell ref="A5:B6"/>
    <mergeCell ref="C5:D6"/>
    <mergeCell ref="E5:F6"/>
    <mergeCell ref="G5:H6"/>
    <mergeCell ref="I5:J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43" t="s">
        <v>86</v>
      </c>
    </row>
    <row r="2" customFormat="false" ht="15" hidden="false" customHeight="false" outlineLevel="0" collapsed="false">
      <c r="A2" s="22" t="s">
        <v>87</v>
      </c>
    </row>
    <row r="4" customFormat="false" ht="23.85" hidden="false" customHeight="false" outlineLevel="0" collapsed="false">
      <c r="A4" s="29" t="s">
        <v>59</v>
      </c>
      <c r="B4" s="29" t="s">
        <v>47</v>
      </c>
      <c r="C4" s="29" t="s">
        <v>88</v>
      </c>
      <c r="D4" s="29" t="s">
        <v>60</v>
      </c>
      <c r="E4" s="29" t="s">
        <v>38</v>
      </c>
      <c r="F4" s="29" t="s">
        <v>89</v>
      </c>
    </row>
    <row r="5" customFormat="false" ht="15" hidden="false" customHeight="false" outlineLevel="0" collapsed="false">
      <c r="A5" s="13" t="s">
        <v>61</v>
      </c>
      <c r="B5" s="13" t="n">
        <f aca="false">COUNTIF('Raw - Sessions'!$G$5:$G$292,A5)</f>
        <v>4</v>
      </c>
      <c r="C5" s="48" t="n">
        <f aca="false">B5/SUM($B$5:$B$8)</f>
        <v>0.0138888888888889</v>
      </c>
      <c r="D5" s="30" t="n">
        <f aca="false">AVERAGEIF('Raw - Sessions'!$G$5:$G$292,A5,'Raw - Sessions'!$D$5:$D$292)</f>
        <v>0.541805555555555</v>
      </c>
      <c r="E5" s="19" t="n">
        <f aca="false">SUMIF('Raw - Sessions'!$G$5:$G$292,A5,'Raw - Sessions'!$E$5:$E$292)</f>
        <v>57.8262</v>
      </c>
      <c r="F5" s="48" t="n">
        <f aca="false">AVERAGEIF('Raw - Sessions'!$G$5:$G$292,A5,'Raw - Sessions'!$J$5:$J$292)</f>
        <v>0.927454457520555</v>
      </c>
    </row>
    <row r="6" customFormat="false" ht="15" hidden="false" customHeight="false" outlineLevel="0" collapsed="false">
      <c r="A6" s="13" t="s">
        <v>62</v>
      </c>
      <c r="B6" s="13" t="n">
        <f aca="false">COUNTIF('Raw - Sessions'!$G$5:$G$292,A6)</f>
        <v>96</v>
      </c>
      <c r="C6" s="48" t="n">
        <f aca="false">B6/SUM($B$5:$B$8)</f>
        <v>0.333333333333333</v>
      </c>
      <c r="D6" s="30" t="n">
        <f aca="false">AVERAGEIF('Raw - Sessions'!$G$5:$G$292,A6,'Raw - Sessions'!$D$5:$D$292)</f>
        <v>0.728987268518519</v>
      </c>
      <c r="E6" s="19" t="n">
        <f aca="false">SUMIF('Raw - Sessions'!$G$5:$G$292,A6,'Raw - Sessions'!$E$5:$E$292)</f>
        <v>2231.979682</v>
      </c>
      <c r="F6" s="48" t="n">
        <f aca="false">AVERAGEIF('Raw - Sessions'!$G$5:$G$292,A6,'Raw - Sessions'!$J$5:$J$292)</f>
        <v>0.81222661278207</v>
      </c>
    </row>
    <row r="7" customFormat="false" ht="15" hidden="false" customHeight="false" outlineLevel="0" collapsed="false">
      <c r="A7" s="13" t="s">
        <v>63</v>
      </c>
      <c r="B7" s="13" t="n">
        <f aca="false">COUNTIF('Raw - Sessions'!$G$5:$G$292,A7)</f>
        <v>102</v>
      </c>
      <c r="C7" s="48" t="n">
        <f aca="false">B7/SUM($B$5:$B$8)</f>
        <v>0.354166666666667</v>
      </c>
      <c r="D7" s="30" t="n">
        <f aca="false">AVERAGEIF('Raw - Sessions'!$G$5:$G$292,A7,'Raw - Sessions'!$D$5:$D$292)</f>
        <v>0.790653594771242</v>
      </c>
      <c r="E7" s="19" t="n">
        <f aca="false">SUMIF('Raw - Sessions'!$G$5:$G$292,A7,'Raw - Sessions'!$E$5:$E$292)</f>
        <v>2266.263728</v>
      </c>
      <c r="F7" s="48" t="n">
        <f aca="false">AVERAGEIF('Raw - Sessions'!$G$5:$G$292,A7,'Raw - Sessions'!$J$5:$J$292)</f>
        <v>0.838342403233846</v>
      </c>
    </row>
    <row r="8" customFormat="false" ht="15" hidden="false" customHeight="false" outlineLevel="0" collapsed="false">
      <c r="A8" s="13" t="s">
        <v>64</v>
      </c>
      <c r="B8" s="13" t="n">
        <f aca="false">COUNTIF('Raw - Sessions'!$G$5:$G$292,A8)</f>
        <v>86</v>
      </c>
      <c r="C8" s="48" t="n">
        <f aca="false">B8/SUM($B$5:$B$8)</f>
        <v>0.298611111111111</v>
      </c>
      <c r="D8" s="30" t="n">
        <f aca="false">AVERAGEIF('Raw - Sessions'!$G$5:$G$292,A8,'Raw - Sessions'!$D$5:$D$292)</f>
        <v>0.70030684754522</v>
      </c>
      <c r="E8" s="19" t="n">
        <f aca="false">SUMIF('Raw - Sessions'!$G$5:$G$292,A8,'Raw - Sessions'!$E$5:$E$292)</f>
        <v>1660.635918</v>
      </c>
      <c r="F8" s="48" t="n">
        <f aca="false">AVERAGEIF('Raw - Sessions'!$G$5:$G$292,A8,'Raw - Sessions'!$J$5:$J$292)</f>
        <v>0.756581776062084</v>
      </c>
    </row>
    <row r="28" customFormat="false" ht="15" hidden="false" customHeight="false" outlineLevel="0" collapsed="false">
      <c r="A28" s="4" t="s">
        <v>90</v>
      </c>
    </row>
    <row r="29" customFormat="false" ht="15" hidden="false" customHeight="false" outlineLevel="0" collapsed="false">
      <c r="A29" s="2" t="s">
        <v>65</v>
      </c>
      <c r="C29" s="49" t="n">
        <f aca="false">COUNTIF('Raw - Sessions'!$I$5:$I$292,TRUE())</f>
        <v>86</v>
      </c>
    </row>
    <row r="30" customFormat="false" ht="15" hidden="false" customHeight="false" outlineLevel="0" collapsed="false">
      <c r="A30" s="2" t="s">
        <v>91</v>
      </c>
      <c r="C30" s="49" t="n">
        <f aca="false">'Raw - Daily Energy'!A369-'Raw - Daily Energy'!A5+1</f>
        <v>365</v>
      </c>
    </row>
    <row r="31" customFormat="false" ht="15" hidden="false" customHeight="false" outlineLevel="0" collapsed="false">
      <c r="A31" s="2" t="s">
        <v>92</v>
      </c>
      <c r="C31" s="49" t="n">
        <f aca="false">SUM('Raw - Sessions'!$S$5:$S$292)</f>
        <v>61</v>
      </c>
      <c r="D31" s="22" t="s">
        <v>93</v>
      </c>
    </row>
    <row r="32" customFormat="false" ht="15" hidden="false" customHeight="false" outlineLevel="0" collapsed="false">
      <c r="A32" s="2" t="s">
        <v>94</v>
      </c>
      <c r="C32" s="50"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95</v>
      </c>
    </row>
    <row r="2" customFormat="false" ht="27.75" hidden="false" customHeight="true" outlineLevel="0" collapsed="false">
      <c r="A2" s="23" t="s">
        <v>96</v>
      </c>
      <c r="B2" s="23"/>
      <c r="C2" s="23"/>
      <c r="D2" s="23"/>
      <c r="E2" s="23"/>
      <c r="F2" s="23"/>
      <c r="G2" s="23"/>
      <c r="H2" s="23"/>
    </row>
    <row r="5" customFormat="false" ht="15" hidden="false" customHeight="false" outlineLevel="0" collapsed="false">
      <c r="A5" s="4" t="s">
        <v>97</v>
      </c>
    </row>
    <row r="6" customFormat="false" ht="15" hidden="false" customHeight="false" outlineLevel="0" collapsed="false">
      <c r="A6" s="12" t="s">
        <v>98</v>
      </c>
      <c r="B6" s="12" t="s">
        <v>47</v>
      </c>
      <c r="C6" s="12" t="s">
        <v>99</v>
      </c>
    </row>
    <row r="7" customFormat="false" ht="15" hidden="false" customHeight="false" outlineLevel="0" collapsed="false">
      <c r="A7" s="13" t="s">
        <v>100</v>
      </c>
      <c r="B7" s="51" t="n">
        <f aca="false">COUNTIF('Raw - Sessions'!$X$5:$X$292,A7)</f>
        <v>32</v>
      </c>
      <c r="C7" s="52" t="n">
        <f aca="false">B7/SUM($B$7:$B$13)</f>
        <v>0.111111111111111</v>
      </c>
    </row>
    <row r="8" customFormat="false" ht="15" hidden="false" customHeight="false" outlineLevel="0" collapsed="false">
      <c r="A8" s="15" t="s">
        <v>101</v>
      </c>
      <c r="B8" s="53" t="n">
        <f aca="false">COUNTIF('Raw - Sessions'!$X$5:$X$292,A8)</f>
        <v>42</v>
      </c>
      <c r="C8" s="54" t="n">
        <f aca="false">B8/SUM($B$7:$B$13)</f>
        <v>0.145833333333333</v>
      </c>
    </row>
    <row r="9" customFormat="false" ht="15" hidden="false" customHeight="false" outlineLevel="0" collapsed="false">
      <c r="A9" s="13" t="s">
        <v>102</v>
      </c>
      <c r="B9" s="51" t="n">
        <f aca="false">COUNTIF('Raw - Sessions'!$X$5:$X$292,A9)</f>
        <v>28</v>
      </c>
      <c r="C9" s="52" t="n">
        <f aca="false">B9/SUM($B$7:$B$13)</f>
        <v>0.0972222222222222</v>
      </c>
    </row>
    <row r="10" customFormat="false" ht="15" hidden="false" customHeight="false" outlineLevel="0" collapsed="false">
      <c r="A10" s="15" t="s">
        <v>103</v>
      </c>
      <c r="B10" s="53" t="n">
        <f aca="false">COUNTIF('Raw - Sessions'!$X$5:$X$292,A10)</f>
        <v>32</v>
      </c>
      <c r="C10" s="54" t="n">
        <f aca="false">B10/SUM($B$7:$B$13)</f>
        <v>0.111111111111111</v>
      </c>
    </row>
    <row r="11" customFormat="false" ht="15" hidden="false" customHeight="false" outlineLevel="0" collapsed="false">
      <c r="A11" s="13" t="s">
        <v>104</v>
      </c>
      <c r="B11" s="51" t="n">
        <f aca="false">COUNTIF('Raw - Sessions'!$X$5:$X$292,A11)</f>
        <v>52</v>
      </c>
      <c r="C11" s="52" t="n">
        <f aca="false">B11/SUM($B$7:$B$13)</f>
        <v>0.180555555555556</v>
      </c>
    </row>
    <row r="12" customFormat="false" ht="15" hidden="false" customHeight="false" outlineLevel="0" collapsed="false">
      <c r="A12" s="15" t="s">
        <v>105</v>
      </c>
      <c r="B12" s="53" t="n">
        <f aca="false">COUNTIF('Raw - Sessions'!$X$5:$X$292,A12)</f>
        <v>53</v>
      </c>
      <c r="C12" s="54" t="n">
        <f aca="false">B12/SUM($B$7:$B$13)</f>
        <v>0.184027777777778</v>
      </c>
    </row>
    <row r="13" customFormat="false" ht="15" hidden="false" customHeight="false" outlineLevel="0" collapsed="false">
      <c r="A13" s="13" t="s">
        <v>106</v>
      </c>
      <c r="B13" s="51" t="n">
        <f aca="false">COUNTIF('Raw - Sessions'!$X$5:$X$292,A13)</f>
        <v>49</v>
      </c>
      <c r="C13" s="52" t="n">
        <f aca="false">B13/SUM($B$7:$B$13)</f>
        <v>0.170138888888889</v>
      </c>
    </row>
    <row r="16" customFormat="false" ht="15" hidden="false" customHeight="false" outlineLevel="0" collapsed="false">
      <c r="A16" s="4" t="s">
        <v>107</v>
      </c>
    </row>
    <row r="17" customFormat="false" ht="15" hidden="false" customHeight="false" outlineLevel="0" collapsed="false">
      <c r="A17" s="33" t="s">
        <v>108</v>
      </c>
      <c r="B17" s="33" t="s">
        <v>47</v>
      </c>
      <c r="C17" s="33" t="s">
        <v>48</v>
      </c>
      <c r="D17" s="33" t="s">
        <v>49</v>
      </c>
    </row>
    <row r="18" customFormat="false" ht="15" hidden="false" customHeight="false" outlineLevel="0" collapsed="false">
      <c r="A18" s="46" t="n">
        <v>45943</v>
      </c>
      <c r="B18" s="13" t="n">
        <f aca="false">COUNTIF('Raw - Sessions'!$Y$5:$Y$292,A18)</f>
        <v>3</v>
      </c>
      <c r="C18" s="19" t="n">
        <f aca="false">SUMIF('Raw - Sessions'!$Y$5:$Y$292,A18,'Raw - Sessions'!$E$5:$E$292)</f>
        <v>22.571108</v>
      </c>
      <c r="D18" s="35" t="n">
        <f aca="false">SUMIF('Raw - Sessions'!$Y$5:$Y$292,A18,'Raw - Sessions'!$P$5:$P$292)</f>
        <v>3.53</v>
      </c>
    </row>
    <row r="19" customFormat="false" ht="15" hidden="false" customHeight="false" outlineLevel="0" collapsed="false">
      <c r="A19" s="47" t="n">
        <v>45950</v>
      </c>
      <c r="B19" s="15" t="n">
        <f aca="false">COUNTIF('Raw - Sessions'!$Y$5:$Y$292,A19)</f>
        <v>17</v>
      </c>
      <c r="C19" s="32" t="n">
        <f aca="false">SUMIF('Raw - Sessions'!$Y$5:$Y$292,A19,'Raw - Sessions'!$E$5:$E$292)</f>
        <v>225.061461</v>
      </c>
      <c r="D19" s="37" t="n">
        <f aca="false">SUMIF('Raw - Sessions'!$Y$5:$Y$292,A19,'Raw - Sessions'!$P$5:$P$292)</f>
        <v>98.16</v>
      </c>
    </row>
    <row r="20" customFormat="false" ht="15" hidden="false" customHeight="false" outlineLevel="0" collapsed="false">
      <c r="A20" s="46" t="n">
        <v>45957</v>
      </c>
      <c r="B20" s="13" t="n">
        <f aca="false">COUNTIF('Raw - Sessions'!$Y$5:$Y$292,A20)</f>
        <v>11</v>
      </c>
      <c r="C20" s="19" t="n">
        <f aca="false">SUMIF('Raw - Sessions'!$Y$5:$Y$292,A20,'Raw - Sessions'!$E$5:$E$292)</f>
        <v>235.291303</v>
      </c>
      <c r="D20" s="35" t="n">
        <f aca="false">SUMIF('Raw - Sessions'!$Y$5:$Y$292,A20,'Raw - Sessions'!$P$5:$P$292)</f>
        <v>126.14</v>
      </c>
    </row>
    <row r="21" customFormat="false" ht="15" hidden="false" customHeight="false" outlineLevel="0" collapsed="false">
      <c r="A21" s="47" t="n">
        <v>45964</v>
      </c>
      <c r="B21" s="15" t="n">
        <f aca="false">COUNTIF('Raw - Sessions'!$Y$5:$Y$292,A21)</f>
        <v>6</v>
      </c>
      <c r="C21" s="32" t="n">
        <f aca="false">SUMIF('Raw - Sessions'!$Y$5:$Y$292,A21,'Raw - Sessions'!$E$5:$E$292)</f>
        <v>186.243601</v>
      </c>
      <c r="D21" s="37" t="n">
        <f aca="false">SUMIF('Raw - Sessions'!$Y$5:$Y$292,A21,'Raw - Sessions'!$P$5:$P$292)</f>
        <v>94.05</v>
      </c>
    </row>
    <row r="22" customFormat="false" ht="15" hidden="false" customHeight="false" outlineLevel="0" collapsed="false">
      <c r="A22" s="46" t="n">
        <v>45971</v>
      </c>
      <c r="B22" s="13" t="n">
        <f aca="false">COUNTIF('Raw - Sessions'!$Y$5:$Y$292,A22)</f>
        <v>7</v>
      </c>
      <c r="C22" s="19" t="n">
        <f aca="false">SUMIF('Raw - Sessions'!$Y$5:$Y$292,A22,'Raw - Sessions'!$E$5:$E$292)</f>
        <v>182.086062</v>
      </c>
      <c r="D22" s="35" t="n">
        <f aca="false">SUMIF('Raw - Sessions'!$Y$5:$Y$292,A22,'Raw - Sessions'!$P$5:$P$292)</f>
        <v>92.64</v>
      </c>
    </row>
    <row r="23" customFormat="false" ht="15" hidden="false" customHeight="false" outlineLevel="0" collapsed="false">
      <c r="A23" s="47" t="n">
        <v>45978</v>
      </c>
      <c r="B23" s="15" t="n">
        <f aca="false">COUNTIF('Raw - Sessions'!$Y$5:$Y$292,A23)</f>
        <v>3</v>
      </c>
      <c r="C23" s="32" t="n">
        <f aca="false">SUMIF('Raw - Sessions'!$Y$5:$Y$292,A23,'Raw - Sessions'!$E$5:$E$292)</f>
        <v>134.156301</v>
      </c>
      <c r="D23" s="37" t="n">
        <f aca="false">SUMIF('Raw - Sessions'!$Y$5:$Y$292,A23,'Raw - Sessions'!$P$5:$P$292)</f>
        <v>70.5</v>
      </c>
    </row>
    <row r="24" customFormat="false" ht="15" hidden="false" customHeight="false" outlineLevel="0" collapsed="false">
      <c r="A24" s="46" t="n">
        <v>45985</v>
      </c>
      <c r="B24" s="13" t="n">
        <f aca="false">COUNTIF('Raw - Sessions'!$Y$5:$Y$292,A24)</f>
        <v>9</v>
      </c>
      <c r="C24" s="19" t="n">
        <f aca="false">SUMIF('Raw - Sessions'!$Y$5:$Y$292,A24,'Raw - Sessions'!$E$5:$E$292)</f>
        <v>204.882782</v>
      </c>
      <c r="D24" s="35" t="n">
        <f aca="false">SUMIF('Raw - Sessions'!$Y$5:$Y$292,A24,'Raw - Sessions'!$P$5:$P$292)</f>
        <v>104.89</v>
      </c>
    </row>
    <row r="25" customFormat="false" ht="15" hidden="false" customHeight="false" outlineLevel="0" collapsed="false">
      <c r="A25" s="47" t="n">
        <v>45992</v>
      </c>
      <c r="B25" s="15" t="n">
        <f aca="false">COUNTIF('Raw - Sessions'!$Y$5:$Y$292,A25)</f>
        <v>3</v>
      </c>
      <c r="C25" s="32" t="n">
        <f aca="false">SUMIF('Raw - Sessions'!$Y$5:$Y$292,A25,'Raw - Sessions'!$E$5:$E$292)</f>
        <v>45.4715</v>
      </c>
      <c r="D25" s="37" t="n">
        <f aca="false">SUMIF('Raw - Sessions'!$Y$5:$Y$292,A25,'Raw - Sessions'!$P$5:$P$292)</f>
        <v>23.17</v>
      </c>
    </row>
    <row r="26" customFormat="false" ht="15" hidden="false" customHeight="false" outlineLevel="0" collapsed="false">
      <c r="A26" s="46" t="n">
        <v>45999</v>
      </c>
      <c r="B26" s="13" t="n">
        <f aca="false">COUNTIF('Raw - Sessions'!$Y$5:$Y$292,A26)</f>
        <v>4</v>
      </c>
      <c r="C26" s="19" t="n">
        <f aca="false">SUMIF('Raw - Sessions'!$Y$5:$Y$292,A26,'Raw - Sessions'!$E$5:$E$292)</f>
        <v>145.334408</v>
      </c>
      <c r="D26" s="35" t="n">
        <f aca="false">SUMIF('Raw - Sessions'!$Y$5:$Y$292,A26,'Raw - Sessions'!$P$5:$P$292)</f>
        <v>104.5</v>
      </c>
    </row>
    <row r="27" customFormat="false" ht="15" hidden="false" customHeight="false" outlineLevel="0" collapsed="false">
      <c r="A27" s="47" t="n">
        <v>46006</v>
      </c>
      <c r="B27" s="15" t="n">
        <f aca="false">COUNTIF('Raw - Sessions'!$Y$5:$Y$292,A27)</f>
        <v>11</v>
      </c>
      <c r="C27" s="32" t="n">
        <f aca="false">SUMIF('Raw - Sessions'!$Y$5:$Y$292,A27,'Raw - Sessions'!$E$5:$E$292)</f>
        <v>217.189996</v>
      </c>
      <c r="D27" s="37" t="n">
        <f aca="false">SUMIF('Raw - Sessions'!$Y$5:$Y$292,A27,'Raw - Sessions'!$P$5:$P$292)</f>
        <v>138.42</v>
      </c>
    </row>
    <row r="28" customFormat="false" ht="15" hidden="false" customHeight="false" outlineLevel="0" collapsed="false">
      <c r="A28" s="46" t="n">
        <v>46013</v>
      </c>
      <c r="B28" s="13" t="n">
        <f aca="false">COUNTIF('Raw - Sessions'!$Y$5:$Y$292,A28)</f>
        <v>14</v>
      </c>
      <c r="C28" s="19" t="n">
        <f aca="false">SUMIF('Raw - Sessions'!$Y$5:$Y$292,A28,'Raw - Sessions'!$E$5:$E$292)</f>
        <v>325.922359</v>
      </c>
      <c r="D28" s="35" t="n">
        <f aca="false">SUMIF('Raw - Sessions'!$Y$5:$Y$292,A28,'Raw - Sessions'!$P$5:$P$292)</f>
        <v>201.67</v>
      </c>
    </row>
    <row r="29" customFormat="false" ht="15" hidden="false" customHeight="false" outlineLevel="0" collapsed="false">
      <c r="A29" s="47" t="n">
        <v>46020</v>
      </c>
      <c r="B29" s="15" t="n">
        <f aca="false">COUNTIF('Raw - Sessions'!$Y$5:$Y$292,A29)</f>
        <v>3</v>
      </c>
      <c r="C29" s="32" t="n">
        <f aca="false">SUMIF('Raw - Sessions'!$Y$5:$Y$292,A29,'Raw - Sessions'!$E$5:$E$292)</f>
        <v>42.590099</v>
      </c>
      <c r="D29" s="37" t="n">
        <f aca="false">SUMIF('Raw - Sessions'!$Y$5:$Y$292,A29,'Raw - Sessions'!$P$5:$P$292)</f>
        <v>18.25</v>
      </c>
    </row>
    <row r="30" customFormat="false" ht="15" hidden="false" customHeight="false" outlineLevel="0" collapsed="false">
      <c r="A30" s="46" t="n">
        <v>46027</v>
      </c>
      <c r="B30" s="13" t="n">
        <f aca="false">COUNTIF('Raw - Sessions'!$Y$5:$Y$292,A30)</f>
        <v>3</v>
      </c>
      <c r="C30" s="19" t="n">
        <f aca="false">SUMIF('Raw - Sessions'!$Y$5:$Y$292,A30,'Raw - Sessions'!$E$5:$E$292)</f>
        <v>53.829602</v>
      </c>
      <c r="D30" s="35" t="n">
        <f aca="false">SUMIF('Raw - Sessions'!$Y$5:$Y$292,A30,'Raw - Sessions'!$P$5:$P$292)</f>
        <v>27.23</v>
      </c>
    </row>
    <row r="31" customFormat="false" ht="15" hidden="false" customHeight="false" outlineLevel="0" collapsed="false">
      <c r="A31" s="47" t="n">
        <v>46034</v>
      </c>
      <c r="B31" s="15" t="n">
        <f aca="false">COUNTIF('Raw - Sessions'!$Y$5:$Y$292,A31)</f>
        <v>6</v>
      </c>
      <c r="C31" s="32" t="n">
        <f aca="false">SUMIF('Raw - Sessions'!$Y$5:$Y$292,A31,'Raw - Sessions'!$E$5:$E$292)</f>
        <v>32.1281</v>
      </c>
      <c r="D31" s="37" t="n">
        <f aca="false">SUMIF('Raw - Sessions'!$Y$5:$Y$292,A31,'Raw - Sessions'!$P$5:$P$292)</f>
        <v>16.9</v>
      </c>
    </row>
    <row r="32" customFormat="false" ht="15" hidden="false" customHeight="false" outlineLevel="0" collapsed="false">
      <c r="A32" s="46" t="n">
        <v>46041</v>
      </c>
      <c r="B32" s="13" t="n">
        <f aca="false">COUNTIF('Raw - Sessions'!$Y$5:$Y$292,A32)</f>
        <v>0</v>
      </c>
      <c r="C32" s="19" t="n">
        <f aca="false">SUMIF('Raw - Sessions'!$Y$5:$Y$292,A32,'Raw - Sessions'!$E$5:$E$292)</f>
        <v>0</v>
      </c>
      <c r="D32" s="35" t="n">
        <f aca="false">SUMIF('Raw - Sessions'!$Y$5:$Y$292,A32,'Raw - Sessions'!$P$5:$P$292)</f>
        <v>0</v>
      </c>
    </row>
    <row r="33" customFormat="false" ht="15" hidden="false" customHeight="false" outlineLevel="0" collapsed="false">
      <c r="A33" s="47" t="n">
        <v>46048</v>
      </c>
      <c r="B33" s="15" t="n">
        <f aca="false">COUNTIF('Raw - Sessions'!$Y$5:$Y$292,A33)</f>
        <v>2</v>
      </c>
      <c r="C33" s="32" t="n">
        <f aca="false">SUMIF('Raw - Sessions'!$Y$5:$Y$292,A33,'Raw - Sessions'!$E$5:$E$292)</f>
        <v>73.232498</v>
      </c>
      <c r="D33" s="37" t="n">
        <f aca="false">SUMIF('Raw - Sessions'!$Y$5:$Y$292,A33,'Raw - Sessions'!$P$5:$P$292)</f>
        <v>36.95</v>
      </c>
    </row>
    <row r="34" customFormat="false" ht="15" hidden="false" customHeight="false" outlineLevel="0" collapsed="false">
      <c r="A34" s="46" t="n">
        <v>46055</v>
      </c>
      <c r="B34" s="13" t="n">
        <f aca="false">COUNTIF('Raw - Sessions'!$Y$5:$Y$292,A34)</f>
        <v>7</v>
      </c>
      <c r="C34" s="19" t="n">
        <f aca="false">SUMIF('Raw - Sessions'!$Y$5:$Y$292,A34,'Raw - Sessions'!$E$5:$E$292)</f>
        <v>292.915105</v>
      </c>
      <c r="D34" s="35" t="n">
        <f aca="false">SUMIF('Raw - Sessions'!$Y$5:$Y$292,A34,'Raw - Sessions'!$P$5:$P$292)</f>
        <v>163.37</v>
      </c>
    </row>
    <row r="35" customFormat="false" ht="15" hidden="false" customHeight="false" outlineLevel="0" collapsed="false">
      <c r="A35" s="47" t="n">
        <v>46062</v>
      </c>
      <c r="B35" s="15" t="n">
        <f aca="false">COUNTIF('Raw - Sessions'!$Y$5:$Y$292,A35)</f>
        <v>2</v>
      </c>
      <c r="C35" s="32" t="n">
        <f aca="false">SUMIF('Raw - Sessions'!$Y$5:$Y$292,A35,'Raw - Sessions'!$E$5:$E$292)</f>
        <v>77.815399</v>
      </c>
      <c r="D35" s="37" t="n">
        <f aca="false">SUMIF('Raw - Sessions'!$Y$5:$Y$292,A35,'Raw - Sessions'!$P$5:$P$292)</f>
        <v>50.22</v>
      </c>
    </row>
    <row r="36" customFormat="false" ht="15" hidden="false" customHeight="false" outlineLevel="0" collapsed="false">
      <c r="A36" s="46" t="n">
        <v>46069</v>
      </c>
      <c r="B36" s="13" t="n">
        <f aca="false">COUNTIF('Raw - Sessions'!$Y$5:$Y$292,A36)</f>
        <v>7</v>
      </c>
      <c r="C36" s="19" t="n">
        <f aca="false">SUMIF('Raw - Sessions'!$Y$5:$Y$292,A36,'Raw - Sessions'!$E$5:$E$292)</f>
        <v>165.007048</v>
      </c>
      <c r="D36" s="35" t="n">
        <f aca="false">SUMIF('Raw - Sessions'!$Y$5:$Y$292,A36,'Raw - Sessions'!$P$5:$P$292)</f>
        <v>123</v>
      </c>
    </row>
    <row r="37" customFormat="false" ht="15" hidden="false" customHeight="false" outlineLevel="0" collapsed="false">
      <c r="A37" s="47" t="n">
        <v>46076</v>
      </c>
      <c r="B37" s="15" t="n">
        <f aca="false">COUNTIF('Raw - Sessions'!$Y$5:$Y$292,A37)</f>
        <v>9</v>
      </c>
      <c r="C37" s="32" t="n">
        <f aca="false">SUMIF('Raw - Sessions'!$Y$5:$Y$292,A37,'Raw - Sessions'!$E$5:$E$292)</f>
        <v>198.335301</v>
      </c>
      <c r="D37" s="37" t="n">
        <f aca="false">SUMIF('Raw - Sessions'!$Y$5:$Y$292,A37,'Raw - Sessions'!$P$5:$P$292)</f>
        <v>129.85</v>
      </c>
    </row>
    <row r="38" customFormat="false" ht="15" hidden="false" customHeight="false" outlineLevel="0" collapsed="false">
      <c r="A38" s="46" t="n">
        <v>46083</v>
      </c>
      <c r="B38" s="13" t="n">
        <f aca="false">COUNTIF('Raw - Sessions'!$Y$5:$Y$292,A38)</f>
        <v>4</v>
      </c>
      <c r="C38" s="19" t="n">
        <f aca="false">SUMIF('Raw - Sessions'!$Y$5:$Y$292,A38,'Raw - Sessions'!$E$5:$E$292)</f>
        <v>107.428208</v>
      </c>
      <c r="D38" s="35" t="n">
        <f aca="false">SUMIF('Raw - Sessions'!$Y$5:$Y$292,A38,'Raw - Sessions'!$P$5:$P$292)</f>
        <v>71.1</v>
      </c>
    </row>
    <row r="39" customFormat="false" ht="15" hidden="false" customHeight="false" outlineLevel="0" collapsed="false">
      <c r="A39" s="47" t="n">
        <v>46090</v>
      </c>
      <c r="B39" s="15" t="n">
        <f aca="false">COUNTIF('Raw - Sessions'!$Y$5:$Y$292,A39)</f>
        <v>3</v>
      </c>
      <c r="C39" s="32" t="n">
        <f aca="false">SUMIF('Raw - Sessions'!$Y$5:$Y$292,A39,'Raw - Sessions'!$E$5:$E$292)</f>
        <v>126.902799</v>
      </c>
      <c r="D39" s="37" t="n">
        <f aca="false">SUMIF('Raw - Sessions'!$Y$5:$Y$292,A39,'Raw - Sessions'!$P$5:$P$292)</f>
        <v>82.92</v>
      </c>
    </row>
    <row r="40" customFormat="false" ht="15" hidden="false" customHeight="false" outlineLevel="0" collapsed="false">
      <c r="A40" s="46" t="n">
        <v>46097</v>
      </c>
      <c r="B40" s="13" t="n">
        <f aca="false">COUNTIF('Raw - Sessions'!$Y$5:$Y$292,A40)</f>
        <v>3</v>
      </c>
      <c r="C40" s="19" t="n">
        <f aca="false">SUMIF('Raw - Sessions'!$Y$5:$Y$292,A40,'Raw - Sessions'!$E$5:$E$292)</f>
        <v>120.495498</v>
      </c>
      <c r="D40" s="35" t="n">
        <f aca="false">SUMIF('Raw - Sessions'!$Y$5:$Y$292,A40,'Raw - Sessions'!$P$5:$P$292)</f>
        <v>75.99</v>
      </c>
    </row>
    <row r="41" customFormat="false" ht="15" hidden="false" customHeight="false" outlineLevel="0" collapsed="false">
      <c r="A41" s="47" t="n">
        <v>46104</v>
      </c>
      <c r="B41" s="15" t="n">
        <f aca="false">COUNTIF('Raw - Sessions'!$Y$5:$Y$292,A41)</f>
        <v>10</v>
      </c>
      <c r="C41" s="32" t="n">
        <f aca="false">SUMIF('Raw - Sessions'!$Y$5:$Y$292,A41,'Raw - Sessions'!$E$5:$E$292)</f>
        <v>242.539944</v>
      </c>
      <c r="D41" s="37" t="n">
        <f aca="false">SUMIF('Raw - Sessions'!$Y$5:$Y$292,A41,'Raw - Sessions'!$P$5:$P$292)</f>
        <v>187.59</v>
      </c>
    </row>
    <row r="42" customFormat="false" ht="15" hidden="false" customHeight="false" outlineLevel="0" collapsed="false">
      <c r="A42" s="46" t="n">
        <v>46111</v>
      </c>
      <c r="B42" s="13" t="n">
        <f aca="false">COUNTIF('Raw - Sessions'!$Y$5:$Y$292,A42)</f>
        <v>11</v>
      </c>
      <c r="C42" s="19" t="n">
        <f aca="false">SUMIF('Raw - Sessions'!$Y$5:$Y$292,A42,'Raw - Sessions'!$E$5:$E$292)</f>
        <v>298.474873</v>
      </c>
      <c r="D42" s="35" t="n">
        <f aca="false">SUMIF('Raw - Sessions'!$Y$5:$Y$292,A42,'Raw - Sessions'!$P$5:$P$292)</f>
        <v>229.66</v>
      </c>
    </row>
    <row r="43" customFormat="false" ht="15" hidden="false" customHeight="false" outlineLevel="0" collapsed="false">
      <c r="A43" s="47" t="n">
        <v>46118</v>
      </c>
      <c r="B43" s="15" t="n">
        <f aca="false">COUNTIF('Raw - Sessions'!$Y$5:$Y$292,A43)</f>
        <v>16</v>
      </c>
      <c r="C43" s="32" t="n">
        <f aca="false">SUMIF('Raw - Sessions'!$Y$5:$Y$292,A43,'Raw - Sessions'!$E$5:$E$292)</f>
        <v>467.037496</v>
      </c>
      <c r="D43" s="37" t="n">
        <f aca="false">SUMIF('Raw - Sessions'!$Y$5:$Y$292,A43,'Raw - Sessions'!$P$5:$P$292)</f>
        <v>300.85</v>
      </c>
    </row>
    <row r="44" customFormat="false" ht="15" hidden="false" customHeight="false" outlineLevel="0" collapsed="false">
      <c r="A44" s="46" t="n">
        <v>46125</v>
      </c>
      <c r="B44" s="13" t="n">
        <f aca="false">COUNTIF('Raw - Sessions'!$Y$5:$Y$292,A44)</f>
        <v>6</v>
      </c>
      <c r="C44" s="19" t="n">
        <f aca="false">SUMIF('Raw - Sessions'!$Y$5:$Y$292,A44,'Raw - Sessions'!$E$5:$E$292)</f>
        <v>215.727396</v>
      </c>
      <c r="D44" s="35" t="n">
        <f aca="false">SUMIF('Raw - Sessions'!$Y$5:$Y$292,A44,'Raw - Sessions'!$P$5:$P$292)</f>
        <v>138.38</v>
      </c>
    </row>
    <row r="45" customFormat="false" ht="15" hidden="false" customHeight="false" outlineLevel="0" collapsed="false">
      <c r="A45" s="47" t="n">
        <v>46132</v>
      </c>
      <c r="B45" s="15" t="n">
        <f aca="false">COUNTIF('Raw - Sessions'!$Y$5:$Y$292,A45)</f>
        <v>12</v>
      </c>
      <c r="C45" s="32" t="n">
        <f aca="false">SUMIF('Raw - Sessions'!$Y$5:$Y$292,A45,'Raw - Sessions'!$E$5:$E$292)</f>
        <v>197.710873</v>
      </c>
      <c r="D45" s="37" t="n">
        <f aca="false">SUMIF('Raw - Sessions'!$Y$5:$Y$292,A45,'Raw - Sessions'!$P$5:$P$292)</f>
        <v>154.2</v>
      </c>
    </row>
    <row r="46" customFormat="false" ht="15" hidden="false" customHeight="false" outlineLevel="0" collapsed="false">
      <c r="A46" s="46" t="n">
        <v>46139</v>
      </c>
      <c r="B46" s="13" t="n">
        <f aca="false">COUNTIF('Raw - Sessions'!$Y$5:$Y$292,A46)</f>
        <v>7</v>
      </c>
      <c r="C46" s="19" t="n">
        <f aca="false">SUMIF('Raw - Sessions'!$Y$5:$Y$292,A46,'Raw - Sessions'!$E$5:$E$292)</f>
        <v>157.671369</v>
      </c>
      <c r="D46" s="35" t="n">
        <f aca="false">SUMIF('Raw - Sessions'!$Y$5:$Y$292,A46,'Raw - Sessions'!$P$5:$P$292)</f>
        <v>105.07</v>
      </c>
    </row>
    <row r="47" customFormat="false" ht="15" hidden="false" customHeight="false" outlineLevel="0" collapsed="false">
      <c r="A47" s="47" t="n">
        <v>46146</v>
      </c>
      <c r="B47" s="15" t="n">
        <f aca="false">COUNTIF('Raw - Sessions'!$Y$5:$Y$292,A47)</f>
        <v>11</v>
      </c>
      <c r="C47" s="32" t="n">
        <f aca="false">SUMIF('Raw - Sessions'!$Y$5:$Y$292,A47,'Raw - Sessions'!$E$5:$E$292)</f>
        <v>285.427198</v>
      </c>
      <c r="D47" s="37" t="n">
        <f aca="false">SUMIF('Raw - Sessions'!$Y$5:$Y$292,A47,'Raw - Sessions'!$P$5:$P$292)</f>
        <v>201.26</v>
      </c>
    </row>
    <row r="48" customFormat="false" ht="15" hidden="false" customHeight="false" outlineLevel="0" collapsed="false">
      <c r="A48" s="46" t="n">
        <v>46153</v>
      </c>
      <c r="B48" s="13" t="n">
        <f aca="false">COUNTIF('Raw - Sessions'!$Y$5:$Y$292,A48)</f>
        <v>2</v>
      </c>
      <c r="C48" s="19" t="n">
        <f aca="false">SUMIF('Raw - Sessions'!$Y$5:$Y$292,A48,'Raw - Sessions'!$E$5:$E$292)</f>
        <v>92.4982</v>
      </c>
      <c r="D48" s="35" t="n">
        <f aca="false">SUMIF('Raw - Sessions'!$Y$5:$Y$292,A48,'Raw - Sessions'!$P$5:$P$292)</f>
        <v>63.85</v>
      </c>
    </row>
    <row r="49" customFormat="false" ht="15" hidden="false" customHeight="false" outlineLevel="0" collapsed="false">
      <c r="A49" s="47" t="n">
        <v>46160</v>
      </c>
      <c r="B49" s="15" t="n">
        <f aca="false">COUNTIF('Raw - Sessions'!$Y$5:$Y$292,A49)</f>
        <v>8</v>
      </c>
      <c r="C49" s="32" t="n">
        <f aca="false">SUMIF('Raw - Sessions'!$Y$5:$Y$292,A49,'Raw - Sessions'!$E$5:$E$292)</f>
        <v>166.10047</v>
      </c>
      <c r="D49" s="37" t="n">
        <f aca="false">SUMIF('Raw - Sessions'!$Y$5:$Y$292,A49,'Raw - Sessions'!$P$5:$P$292)</f>
        <v>126.37</v>
      </c>
    </row>
    <row r="50" customFormat="false" ht="15" hidden="false" customHeight="false" outlineLevel="0" collapsed="false">
      <c r="A50" s="46" t="n">
        <v>46167</v>
      </c>
      <c r="B50" s="13" t="n">
        <f aca="false">COUNTIF('Raw - Sessions'!$Y$5:$Y$292,A50)</f>
        <v>15</v>
      </c>
      <c r="C50" s="19" t="n">
        <f aca="false">SUMIF('Raw - Sessions'!$Y$5:$Y$292,A50,'Raw - Sessions'!$E$5:$E$292)</f>
        <v>190.932154</v>
      </c>
      <c r="D50" s="35" t="n">
        <f aca="false">SUMIF('Raw - Sessions'!$Y$5:$Y$292,A50,'Raw - Sessions'!$P$5:$P$292)</f>
        <v>156.46</v>
      </c>
    </row>
    <row r="51" customFormat="false" ht="15" hidden="false" customHeight="false" outlineLevel="0" collapsed="false">
      <c r="A51" s="47" t="n">
        <v>46174</v>
      </c>
      <c r="B51" s="15" t="n">
        <f aca="false">COUNTIF('Raw - Sessions'!$Y$5:$Y$292,A51)</f>
        <v>13</v>
      </c>
      <c r="C51" s="32" t="n">
        <f aca="false">SUMIF('Raw - Sessions'!$Y$5:$Y$292,A51,'Raw - Sessions'!$E$5:$E$292)</f>
        <v>141.5327</v>
      </c>
      <c r="D51" s="37" t="n">
        <f aca="false">SUMIF('Raw - Sessions'!$Y$5:$Y$292,A51,'Raw - Sessions'!$P$5:$P$292)</f>
        <v>101.88</v>
      </c>
    </row>
    <row r="52" customFormat="false" ht="15" hidden="false" customHeight="false" outlineLevel="0" collapsed="false">
      <c r="A52" s="46" t="n">
        <v>46181</v>
      </c>
      <c r="B52" s="13" t="n">
        <f aca="false">COUNTIF('Raw - Sessions'!$Y$5:$Y$292,A52)</f>
        <v>11</v>
      </c>
      <c r="C52" s="19" t="n">
        <f aca="false">SUMIF('Raw - Sessions'!$Y$5:$Y$292,A52,'Raw - Sessions'!$E$5:$E$292)</f>
        <v>192.7252</v>
      </c>
      <c r="D52" s="35" t="n">
        <f aca="false">SUMIF('Raw - Sessions'!$Y$5:$Y$292,A52,'Raw - Sessions'!$P$5:$P$292)</f>
        <v>137.99</v>
      </c>
    </row>
    <row r="53" customFormat="false" ht="15" hidden="false" customHeight="false" outlineLevel="0" collapsed="false">
      <c r="A53" s="47" t="n">
        <v>46188</v>
      </c>
      <c r="B53" s="15" t="n">
        <f aca="false">COUNTIF('Raw - Sessions'!$Y$5:$Y$292,A53)</f>
        <v>3</v>
      </c>
      <c r="C53" s="32" t="n">
        <f aca="false">SUMIF('Raw - Sessions'!$Y$5:$Y$292,A53,'Raw - Sessions'!$E$5:$E$292)</f>
        <v>106.9308</v>
      </c>
      <c r="D53" s="37" t="n">
        <f aca="false">SUMIF('Raw - Sessions'!$Y$5:$Y$292,A53,'Raw - Sessions'!$P$5:$P$292)</f>
        <v>75.17</v>
      </c>
    </row>
    <row r="54" customFormat="false" ht="15" hidden="false" customHeight="false" outlineLevel="0" collapsed="false">
      <c r="A54" s="46" t="n">
        <v>46195</v>
      </c>
      <c r="B54" s="13" t="n">
        <f aca="false">COUNTIF('Raw - Sessions'!$Y$5:$Y$292,A54)</f>
        <v>14</v>
      </c>
      <c r="C54" s="19" t="n">
        <f aca="false">SUMIF('Raw - Sessions'!$Y$5:$Y$292,A54,'Raw - Sessions'!$E$5:$E$292)</f>
        <v>118.532454</v>
      </c>
      <c r="D54" s="35" t="n">
        <f aca="false">SUMIF('Raw - Sessions'!$Y$5:$Y$292,A54,'Raw - Sessions'!$P$5:$P$292)</f>
        <v>84.2</v>
      </c>
    </row>
    <row r="55" customFormat="false" ht="15" hidden="false" customHeight="false" outlineLevel="0" collapsed="false">
      <c r="A55" s="47" t="n">
        <v>46202</v>
      </c>
      <c r="B55" s="15" t="n">
        <f aca="false">COUNTIF('Raw - Sessions'!$Y$5:$Y$292,A55)</f>
        <v>10</v>
      </c>
      <c r="C55" s="32" t="n">
        <f aca="false">SUMIF('Raw - Sessions'!$Y$5:$Y$292,A55,'Raw - Sessions'!$E$5:$E$292)</f>
        <v>86.581474</v>
      </c>
      <c r="D55" s="37" t="n">
        <f aca="false">SUMIF('Raw - Sessions'!$Y$5:$Y$292,A55,'Raw - Sessions'!$P$5:$P$292)</f>
        <v>73.57</v>
      </c>
    </row>
    <row r="56" customFormat="false" ht="15" hidden="false" customHeight="false" outlineLevel="0" collapsed="false">
      <c r="A56" s="46" t="n">
        <v>46209</v>
      </c>
      <c r="B56" s="13" t="n">
        <f aca="false">COUNTIF('Raw - Sessions'!$Y$5:$Y$292,A56)</f>
        <v>2</v>
      </c>
      <c r="C56" s="19" t="n">
        <f aca="false">SUMIF('Raw - Sessions'!$Y$5:$Y$292,A56,'Raw - Sessions'!$E$5:$E$292)</f>
        <v>41.392389</v>
      </c>
      <c r="D56" s="35" t="n">
        <f aca="false">SUMIF('Raw - Sessions'!$Y$5:$Y$292,A56,'Raw - Sessions'!$P$5:$P$292)</f>
        <v>46.17</v>
      </c>
    </row>
    <row r="57" customFormat="false" ht="15" hidden="false" customHeight="false" outlineLevel="0" collapsed="false">
      <c r="A57" s="4" t="s">
        <v>109</v>
      </c>
      <c r="B57" s="55"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3" t="s">
        <v>110</v>
      </c>
    </row>
    <row r="2" customFormat="false" ht="15" hidden="false" customHeight="false" outlineLevel="0" collapsed="false">
      <c r="A2" s="22" t="s">
        <v>111</v>
      </c>
    </row>
    <row r="4" customFormat="false" ht="15" hidden="false" customHeight="false" outlineLevel="0" collapsed="false">
      <c r="A4" s="8" t="s">
        <v>55</v>
      </c>
      <c r="B4" s="8"/>
      <c r="C4" s="8" t="s">
        <v>112</v>
      </c>
      <c r="D4" s="8"/>
      <c r="E4" s="8" t="s">
        <v>113</v>
      </c>
      <c r="F4" s="8"/>
      <c r="G4" s="8" t="s">
        <v>114</v>
      </c>
      <c r="H4" s="8"/>
    </row>
    <row r="5" customFormat="false" ht="15" hidden="false" customHeight="false" outlineLevel="0" collapsed="false">
      <c r="A5" s="56" t="n">
        <f aca="false">SUM('Raw - Sessions'!P5:P292)</f>
        <v>4036.12</v>
      </c>
      <c r="B5" s="56"/>
      <c r="C5" s="56" t="n">
        <f aca="false">SUM('Raw - Sessions'!Q5:Q292)</f>
        <v>3415.92</v>
      </c>
      <c r="D5" s="56"/>
      <c r="E5" s="57" t="n">
        <f aca="false">AVERAGE('Raw - Sessions'!P5:P292)</f>
        <v>17.1749787234043</v>
      </c>
      <c r="F5" s="57"/>
      <c r="G5" s="57" t="n">
        <f aca="false">C5/SUM('Raw - Sessions'!E5:E292)</f>
        <v>0.549474313141377</v>
      </c>
      <c r="H5" s="57"/>
    </row>
    <row r="6" customFormat="false" ht="15" hidden="false" customHeight="false" outlineLevel="0" collapsed="false">
      <c r="A6" s="56"/>
      <c r="B6" s="56"/>
      <c r="C6" s="56"/>
      <c r="D6" s="56"/>
      <c r="E6" s="57"/>
      <c r="F6" s="57"/>
      <c r="G6" s="57"/>
      <c r="H6" s="57"/>
    </row>
    <row r="9" customFormat="false" ht="15" hidden="false" customHeight="false" outlineLevel="0" collapsed="false">
      <c r="A9" s="4" t="s">
        <v>66</v>
      </c>
    </row>
    <row r="10" customFormat="false" ht="15" hidden="false" customHeight="false" outlineLevel="0" collapsed="false">
      <c r="A10" s="33" t="s">
        <v>115</v>
      </c>
      <c r="B10" s="33" t="s">
        <v>47</v>
      </c>
      <c r="C10" s="33" t="s">
        <v>49</v>
      </c>
      <c r="D10" s="33" t="s">
        <v>48</v>
      </c>
    </row>
    <row r="11" customFormat="false" ht="15" hidden="false" customHeight="false" outlineLevel="0" collapsed="false">
      <c r="A11" s="34" t="n">
        <v>45931</v>
      </c>
      <c r="B11" s="13" t="n">
        <f aca="false">COUNTIFS('Raw - Sessions'!$B$5:$B$292,"&gt;="&amp;A11,'Raw - Sessions'!$B$5:$B$292,"&lt;"&amp;DATE(YEAR(A11),MONTH(A11)+1,1))</f>
        <v>27</v>
      </c>
      <c r="C11" s="35" t="n">
        <f aca="false">SUMIFS('Raw - Sessions'!$P$5:$P$292,'Raw - Sessions'!$B$5:$B$292,"&gt;="&amp;A11,'Raw - Sessions'!$B$5:$B$292,"&lt;"&amp;DATE(YEAR(A11),MONTH(A11)+1,1))</f>
        <v>188.56</v>
      </c>
      <c r="D11" s="19" t="n">
        <f aca="false">SUMIFS('Raw - Sessions'!$E$5:$E$292,'Raw - Sessions'!$B$5:$B$292,"&gt;="&amp;A11,'Raw - Sessions'!$B$5:$B$292,"&lt;"&amp;DATE(YEAR(A11),MONTH(A11)+1,1))</f>
        <v>407.11997</v>
      </c>
    </row>
    <row r="12" customFormat="false" ht="15" hidden="false" customHeight="false" outlineLevel="0" collapsed="false">
      <c r="A12" s="36" t="n">
        <v>45962</v>
      </c>
      <c r="B12" s="15" t="n">
        <f aca="false">COUNTIFS('Raw - Sessions'!$B$5:$B$292,"&gt;="&amp;A12,'Raw - Sessions'!$B$5:$B$292,"&lt;"&amp;DATE(YEAR(A12),MONTH(A12)+1,1))</f>
        <v>29</v>
      </c>
      <c r="C12" s="37" t="n">
        <f aca="false">SUMIFS('Raw - Sessions'!$P$5:$P$292,'Raw - Sessions'!$B$5:$B$292,"&gt;="&amp;A12,'Raw - Sessions'!$B$5:$B$292,"&lt;"&amp;DATE(YEAR(A12),MONTH(A12)+1,1))</f>
        <v>401.35</v>
      </c>
      <c r="D12" s="32" t="n">
        <f aca="false">SUMIFS('Raw - Sessions'!$E$5:$E$292,'Raw - Sessions'!$B$5:$B$292,"&gt;="&amp;A12,'Raw - Sessions'!$B$5:$B$292,"&lt;"&amp;DATE(YEAR(A12),MONTH(A12)+1,1))</f>
        <v>783.172648</v>
      </c>
    </row>
    <row r="13" customFormat="false" ht="15" hidden="false" customHeight="false" outlineLevel="0" collapsed="false">
      <c r="A13" s="34" t="n">
        <v>45992</v>
      </c>
      <c r="B13" s="13" t="n">
        <f aca="false">COUNTIFS('Raw - Sessions'!$B$5:$B$292,"&gt;="&amp;A13,'Raw - Sessions'!$B$5:$B$292,"&lt;"&amp;DATE(YEAR(A13),MONTH(A13)+1,1))</f>
        <v>33</v>
      </c>
      <c r="C13" s="35" t="n">
        <f aca="false">SUMIFS('Raw - Sessions'!$P$5:$P$292,'Raw - Sessions'!$B$5:$B$292,"&gt;="&amp;A13,'Raw - Sessions'!$B$5:$B$292,"&lt;"&amp;DATE(YEAR(A13),MONTH(A13)+1,1))</f>
        <v>479.65</v>
      </c>
      <c r="D13" s="19" t="n">
        <f aca="false">SUMIFS('Raw - Sessions'!$E$5:$E$292,'Raw - Sessions'!$B$5:$B$292,"&gt;="&amp;A13,'Raw - Sessions'!$B$5:$B$292,"&lt;"&amp;DATE(YEAR(A13),MONTH(A13)+1,1))</f>
        <v>764.135962</v>
      </c>
    </row>
    <row r="14" customFormat="false" ht="15" hidden="false" customHeight="false" outlineLevel="0" collapsed="false">
      <c r="A14" s="36" t="n">
        <v>46023</v>
      </c>
      <c r="B14" s="15" t="n">
        <f aca="false">COUNTIFS('Raw - Sessions'!$B$5:$B$292,"&gt;="&amp;A14,'Raw - Sessions'!$B$5:$B$292,"&lt;"&amp;DATE(YEAR(A14),MONTH(A14)+1,1))</f>
        <v>11</v>
      </c>
      <c r="C14" s="37" t="n">
        <f aca="false">SUMIFS('Raw - Sessions'!$P$5:$P$292,'Raw - Sessions'!$B$5:$B$292,"&gt;="&amp;A14,'Raw - Sessions'!$B$5:$B$292,"&lt;"&amp;DATE(YEAR(A14),MONTH(A14)+1,1))</f>
        <v>50.49</v>
      </c>
      <c r="D14" s="32" t="n">
        <f aca="false">SUMIFS('Raw - Sessions'!$E$5:$E$292,'Raw - Sessions'!$B$5:$B$292,"&gt;="&amp;A14,'Raw - Sessions'!$B$5:$B$292,"&lt;"&amp;DATE(YEAR(A14),MONTH(A14)+1,1))</f>
        <v>98.330102</v>
      </c>
    </row>
    <row r="15" customFormat="false" ht="15" hidden="false" customHeight="false" outlineLevel="0" collapsed="false">
      <c r="A15" s="34" t="n">
        <v>46054</v>
      </c>
      <c r="B15" s="13" t="n">
        <f aca="false">COUNTIFS('Raw - Sessions'!$B$5:$B$292,"&gt;="&amp;A15,'Raw - Sessions'!$B$5:$B$292,"&lt;"&amp;DATE(YEAR(A15),MONTH(A15)+1,1))</f>
        <v>27</v>
      </c>
      <c r="C15" s="35" t="n">
        <f aca="false">SUMIFS('Raw - Sessions'!$P$5:$P$292,'Raw - Sessions'!$B$5:$B$292,"&gt;="&amp;A15,'Raw - Sessions'!$B$5:$B$292,"&lt;"&amp;DATE(YEAR(A15),MONTH(A15)+1,1))</f>
        <v>503.39</v>
      </c>
      <c r="D15" s="19" t="n">
        <f aca="false">SUMIFS('Raw - Sessions'!$E$5:$E$292,'Raw - Sessions'!$B$5:$B$292,"&gt;="&amp;A15,'Raw - Sessions'!$B$5:$B$292,"&lt;"&amp;DATE(YEAR(A15),MONTH(A15)+1,1))</f>
        <v>807.305351</v>
      </c>
    </row>
    <row r="16" customFormat="false" ht="15" hidden="false" customHeight="false" outlineLevel="0" collapsed="false">
      <c r="A16" s="36" t="n">
        <v>46082</v>
      </c>
      <c r="B16" s="15" t="n">
        <f aca="false">COUNTIFS('Raw - Sessions'!$B$5:$B$292,"&gt;="&amp;A16,'Raw - Sessions'!$B$5:$B$292,"&lt;"&amp;DATE(YEAR(A16),MONTH(A16)+1,1))</f>
        <v>21</v>
      </c>
      <c r="C16" s="37" t="n">
        <f aca="false">SUMIFS('Raw - Sessions'!$P$5:$P$292,'Raw - Sessions'!$B$5:$B$292,"&gt;="&amp;A16,'Raw - Sessions'!$B$5:$B$292,"&lt;"&amp;DATE(YEAR(A16),MONTH(A16)+1,1))</f>
        <v>462.35</v>
      </c>
      <c r="D16" s="32" t="n">
        <f aca="false">SUMIFS('Raw - Sessions'!$E$5:$E$292,'Raw - Sessions'!$B$5:$B$292,"&gt;="&amp;A16,'Raw - Sessions'!$B$5:$B$292,"&lt;"&amp;DATE(YEAR(A16),MONTH(A16)+1,1))</f>
        <v>655.183347</v>
      </c>
    </row>
    <row r="17" customFormat="false" ht="15" hidden="false" customHeight="false" outlineLevel="0" collapsed="false">
      <c r="A17" s="34" t="n">
        <v>46113</v>
      </c>
      <c r="B17" s="13" t="n">
        <f aca="false">COUNTIFS('Raw - Sessions'!$B$5:$B$292,"&gt;="&amp;A17,'Raw - Sessions'!$B$5:$B$292,"&lt;"&amp;DATE(YEAR(A17),MONTH(A17)+1,1))</f>
        <v>47</v>
      </c>
      <c r="C17" s="35" t="n">
        <f aca="false">SUMIFS('Raw - Sessions'!$P$5:$P$292,'Raw - Sessions'!$B$5:$B$292,"&gt;="&amp;A17,'Raw - Sessions'!$B$5:$B$292,"&lt;"&amp;DATE(YEAR(A17),MONTH(A17)+1,1))</f>
        <v>825.21</v>
      </c>
      <c r="D17" s="19" t="n">
        <f aca="false">SUMIFS('Raw - Sessions'!$E$5:$E$292,'Raw - Sessions'!$B$5:$B$292,"&gt;="&amp;A17,'Raw - Sessions'!$B$5:$B$292,"&lt;"&amp;DATE(YEAR(A17),MONTH(A17)+1,1))</f>
        <v>1195.58804</v>
      </c>
    </row>
    <row r="18" customFormat="false" ht="15" hidden="false" customHeight="false" outlineLevel="0" collapsed="false">
      <c r="A18" s="36" t="n">
        <v>46143</v>
      </c>
      <c r="B18" s="15" t="n">
        <f aca="false">COUNTIFS('Raw - Sessions'!$B$5:$B$292,"&gt;="&amp;A18,'Raw - Sessions'!$B$5:$B$292,"&lt;"&amp;DATE(YEAR(A18),MONTH(A18)+1,1))</f>
        <v>40</v>
      </c>
      <c r="C18" s="37" t="n">
        <f aca="false">SUMIFS('Raw - Sessions'!$P$5:$P$292,'Raw - Sessions'!$B$5:$B$292,"&gt;="&amp;A18,'Raw - Sessions'!$B$5:$B$292,"&lt;"&amp;DATE(YEAR(A18),MONTH(A18)+1,1))</f>
        <v>606.14</v>
      </c>
      <c r="D18" s="32" t="n">
        <f aca="false">SUMIFS('Raw - Sessions'!$E$5:$E$292,'Raw - Sessions'!$B$5:$B$292,"&gt;="&amp;A18,'Raw - Sessions'!$B$5:$B$292,"&lt;"&amp;DATE(YEAR(A18),MONTH(A18)+1,1))</f>
        <v>818.175091</v>
      </c>
    </row>
    <row r="19" customFormat="false" ht="15" hidden="false" customHeight="false" outlineLevel="0" collapsed="false">
      <c r="A19" s="34" t="n">
        <v>46174</v>
      </c>
      <c r="B19" s="13" t="n">
        <f aca="false">COUNTIFS('Raw - Sessions'!$B$5:$B$292,"&gt;="&amp;A19,'Raw - Sessions'!$B$5:$B$292,"&lt;"&amp;DATE(YEAR(A19),MONTH(A19)+1,1))</f>
        <v>46</v>
      </c>
      <c r="C19" s="35" t="n">
        <f aca="false">SUMIFS('Raw - Sessions'!$P$5:$P$292,'Raw - Sessions'!$B$5:$B$292,"&gt;="&amp;A19,'Raw - Sessions'!$B$5:$B$292,"&lt;"&amp;DATE(YEAR(A19),MONTH(A19)+1,1))</f>
        <v>425.72</v>
      </c>
      <c r="D19" s="19" t="n">
        <f aca="false">SUMIFS('Raw - Sessions'!$E$5:$E$292,'Raw - Sessions'!$B$5:$B$292,"&gt;="&amp;A19,'Raw - Sessions'!$B$5:$B$292,"&lt;"&amp;DATE(YEAR(A19),MONTH(A19)+1,1))</f>
        <v>581.797728</v>
      </c>
    </row>
    <row r="20" customFormat="false" ht="15" hidden="false" customHeight="false" outlineLevel="0" collapsed="false">
      <c r="A20" s="36" t="n">
        <v>46204</v>
      </c>
      <c r="B20" s="15" t="n">
        <f aca="false">COUNTIFS('Raw - Sessions'!$B$5:$B$292,"&gt;="&amp;A20,'Raw - Sessions'!$B$5:$B$292,"&lt;"&amp;DATE(YEAR(A20),MONTH(A20)+1,1))</f>
        <v>7</v>
      </c>
      <c r="C20" s="37" t="n">
        <f aca="false">SUMIFS('Raw - Sessions'!$P$5:$P$292,'Raw - Sessions'!$B$5:$B$292,"&gt;="&amp;A20,'Raw - Sessions'!$B$5:$B$292,"&lt;"&amp;DATE(YEAR(A20),MONTH(A20)+1,1))</f>
        <v>93.26</v>
      </c>
      <c r="D20" s="32" t="n">
        <f aca="false">SUMIFS('Raw - Sessions'!$E$5:$E$292,'Raw - Sessions'!$B$5:$B$292,"&gt;="&amp;A20,'Raw - Sessions'!$B$5:$B$292,"&lt;"&amp;DATE(YEAR(A20),MONTH(A20)+1,1))</f>
        <v>105.897289</v>
      </c>
    </row>
    <row r="23" customFormat="false" ht="15" hidden="false" customHeight="false" outlineLevel="0" collapsed="false">
      <c r="A23" s="4" t="s">
        <v>116</v>
      </c>
    </row>
    <row r="24" customFormat="false" ht="43.5" hidden="false" customHeight="true" outlineLevel="0" collapsed="false">
      <c r="A24" s="3" t="s">
        <v>117</v>
      </c>
      <c r="B24" s="3"/>
      <c r="C24" s="3"/>
      <c r="D24" s="3"/>
      <c r="E24" s="3"/>
      <c r="F24" s="3"/>
    </row>
    <row r="25" customFormat="false" ht="43.5" hidden="false" customHeight="true" outlineLevel="0" collapsed="false">
      <c r="A25" s="3" t="s">
        <v>118</v>
      </c>
      <c r="B25" s="3"/>
      <c r="C25" s="3"/>
      <c r="D25" s="3"/>
      <c r="E25" s="3"/>
      <c r="F25" s="3"/>
    </row>
    <row r="26" customFormat="false" ht="43.5" hidden="false" customHeight="true" outlineLevel="0" collapsed="false">
      <c r="A26" s="3" t="s">
        <v>119</v>
      </c>
      <c r="B26" s="3"/>
      <c r="C26" s="3"/>
      <c r="D26" s="3"/>
      <c r="E26" s="3"/>
      <c r="F26" s="3"/>
    </row>
    <row r="27" customFormat="false" ht="43.5" hidden="false" customHeight="true" outlineLevel="0" collapsed="false">
      <c r="A27" s="3" t="s">
        <v>120</v>
      </c>
      <c r="B27" s="3"/>
      <c r="C27" s="3"/>
      <c r="D27" s="3"/>
      <c r="E27" s="3"/>
      <c r="F27" s="3"/>
    </row>
    <row r="28" customFormat="false" ht="43.5" hidden="false" customHeight="true" outlineLevel="0" collapsed="false">
      <c r="A28" s="3" t="s">
        <v>121</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4" min="12" style="0" width="12"/>
    <col collapsed="false" customWidth="true" hidden="false" outlineLevel="0" max="15" min="15" style="0" width="10"/>
  </cols>
  <sheetData>
    <row r="1" customFormat="false" ht="16.15" hidden="false" customHeight="false" outlineLevel="0" collapsed="false">
      <c r="A1" s="43" t="s">
        <v>122</v>
      </c>
    </row>
    <row r="2" customFormat="false" ht="15" hidden="false" customHeight="false" outlineLevel="0" collapsed="false">
      <c r="A2" s="22" t="s">
        <v>123</v>
      </c>
    </row>
    <row r="4" customFormat="false" ht="22.35" hidden="false" customHeight="true" outlineLevel="0" collapsed="false">
      <c r="A4" s="24" t="s">
        <v>124</v>
      </c>
      <c r="B4" s="24"/>
      <c r="C4" s="24" t="s">
        <v>125</v>
      </c>
      <c r="D4" s="24"/>
      <c r="E4" s="24" t="s">
        <v>126</v>
      </c>
      <c r="F4" s="24"/>
      <c r="G4" s="24" t="s">
        <v>127</v>
      </c>
      <c r="H4" s="24"/>
    </row>
    <row r="5" customFormat="false" ht="15" hidden="false" customHeight="false" outlineLevel="0" collapsed="false">
      <c r="A5" s="56" t="n">
        <f aca="false">SUM('Raw - Sessions'!$P$5:$P$292)</f>
        <v>4036.12</v>
      </c>
      <c r="B5" s="56"/>
      <c r="C5" s="56" t="n">
        <f aca="false">SUM('Raw - Sessions'!$W$5:$W$292)</f>
        <v>619.21</v>
      </c>
      <c r="D5" s="56"/>
      <c r="E5" s="56" t="n">
        <f aca="false">SUM('Raw - Sessions'!$Q$5:$Q$292)</f>
        <v>3415.92</v>
      </c>
      <c r="F5" s="56"/>
      <c r="G5" s="58" t="n">
        <f aca="false">C5/A5</f>
        <v>0.153417143196932</v>
      </c>
      <c r="H5" s="58"/>
    </row>
    <row r="6" customFormat="false" ht="15" hidden="false" customHeight="false" outlineLevel="0" collapsed="false">
      <c r="A6" s="56"/>
      <c r="B6" s="56"/>
      <c r="C6" s="56"/>
      <c r="D6" s="56"/>
      <c r="E6" s="56"/>
      <c r="F6" s="56"/>
      <c r="G6" s="58"/>
      <c r="H6" s="58"/>
    </row>
    <row r="9" customFormat="false" ht="15" hidden="false" customHeight="false" outlineLevel="0" collapsed="false">
      <c r="A9" s="4" t="s">
        <v>128</v>
      </c>
    </row>
    <row r="10" customFormat="false" ht="15" hidden="false" customHeight="false" outlineLevel="0" collapsed="false">
      <c r="A10" s="12" t="s">
        <v>129</v>
      </c>
      <c r="B10" s="12" t="s">
        <v>130</v>
      </c>
      <c r="C10" s="12" t="s">
        <v>131</v>
      </c>
    </row>
    <row r="11" customFormat="false" ht="15" hidden="false" customHeight="false" outlineLevel="0" collapsed="false">
      <c r="A11" s="13" t="s">
        <v>132</v>
      </c>
      <c r="B11" s="35" t="n">
        <v>212.16</v>
      </c>
      <c r="C11" s="59" t="s">
        <v>133</v>
      </c>
    </row>
    <row r="12" customFormat="false" ht="15" hidden="false" customHeight="false" outlineLevel="0" collapsed="false">
      <c r="A12" s="15" t="s">
        <v>134</v>
      </c>
      <c r="B12" s="37" t="n">
        <v>30.57</v>
      </c>
      <c r="C12" s="60" t="s">
        <v>135</v>
      </c>
    </row>
    <row r="13" customFormat="false" ht="15" hidden="false" customHeight="false" outlineLevel="0" collapsed="false">
      <c r="A13" s="13" t="s">
        <v>136</v>
      </c>
      <c r="B13" s="35" t="n">
        <v>376.48</v>
      </c>
      <c r="C13" s="59" t="s">
        <v>137</v>
      </c>
    </row>
    <row r="14" customFormat="false" ht="15" hidden="false" customHeight="false" outlineLevel="0" collapsed="false">
      <c r="A14" s="15" t="s">
        <v>138</v>
      </c>
      <c r="B14" s="37" t="n">
        <v>0</v>
      </c>
      <c r="C14" s="60" t="s">
        <v>139</v>
      </c>
    </row>
    <row r="15" customFormat="false" ht="15" hidden="false" customHeight="false" outlineLevel="0" collapsed="false">
      <c r="A15" s="13" t="s">
        <v>140</v>
      </c>
      <c r="B15" s="35" t="n">
        <v>0</v>
      </c>
      <c r="C15" s="59" t="s">
        <v>139</v>
      </c>
    </row>
    <row r="16" customFormat="false" ht="15" hidden="false" customHeight="false" outlineLevel="0" collapsed="false">
      <c r="A16" s="15" t="s">
        <v>141</v>
      </c>
      <c r="B16" s="37" t="n">
        <v>0</v>
      </c>
      <c r="C16" s="60" t="s">
        <v>139</v>
      </c>
    </row>
    <row r="17" customFormat="false" ht="25.5" hidden="false" customHeight="true" outlineLevel="0" collapsed="false">
      <c r="A17" s="7" t="s">
        <v>142</v>
      </c>
      <c r="B17" s="7"/>
      <c r="C17" s="7"/>
      <c r="D17" s="7"/>
      <c r="E17" s="7"/>
    </row>
    <row r="20" customFormat="false" ht="15" hidden="false" customHeight="false" outlineLevel="0" collapsed="false">
      <c r="A20" s="4" t="s">
        <v>143</v>
      </c>
    </row>
    <row r="21" customFormat="false" ht="55.5" hidden="false" customHeight="true" outlineLevel="0" collapsed="false">
      <c r="A21" s="3" t="s">
        <v>144</v>
      </c>
      <c r="B21" s="3"/>
      <c r="C21" s="3"/>
      <c r="D21" s="3"/>
      <c r="E21" s="3"/>
      <c r="F21" s="3"/>
    </row>
    <row r="22" customFormat="false" ht="55.5" hidden="false" customHeight="true" outlineLevel="0" collapsed="false">
      <c r="A22" s="3" t="s">
        <v>145</v>
      </c>
      <c r="B22" s="3"/>
      <c r="C22" s="3"/>
      <c r="D22" s="3"/>
      <c r="E22" s="3"/>
      <c r="F22" s="3"/>
    </row>
    <row r="23" customFormat="false" ht="55.5" hidden="false" customHeight="true" outlineLevel="0" collapsed="false">
      <c r="A23" s="3" t="s">
        <v>146</v>
      </c>
      <c r="B23" s="3"/>
      <c r="C23" s="3"/>
      <c r="D23" s="3"/>
      <c r="E23" s="3"/>
      <c r="F23" s="3"/>
    </row>
    <row r="24" customFormat="false" ht="21.75" hidden="false" customHeight="true" outlineLevel="0" collapsed="false">
      <c r="A24" s="61" t="s">
        <v>147</v>
      </c>
      <c r="B24" s="61"/>
      <c r="C24" s="61"/>
      <c r="D24" s="61"/>
      <c r="E24" s="61"/>
      <c r="F24" s="61"/>
    </row>
    <row r="26" customFormat="false" ht="22.35" hidden="false" customHeight="true" outlineLevel="0" collapsed="false">
      <c r="A26" s="24" t="s">
        <v>148</v>
      </c>
      <c r="B26" s="24"/>
      <c r="C26" s="24" t="s">
        <v>149</v>
      </c>
      <c r="D26" s="24"/>
      <c r="E26" s="62" t="s">
        <v>150</v>
      </c>
      <c r="F26" s="62"/>
      <c r="G26" s="62" t="s">
        <v>151</v>
      </c>
      <c r="H26" s="62"/>
    </row>
    <row r="27" customFormat="false" ht="15" hidden="false" customHeight="false" outlineLevel="0" collapsed="false">
      <c r="A27" s="25" t="n">
        <v>235</v>
      </c>
      <c r="B27" s="25"/>
      <c r="C27" s="25" t="n">
        <v>0</v>
      </c>
      <c r="D27" s="25"/>
      <c r="E27" s="63" t="n">
        <v>1</v>
      </c>
      <c r="F27" s="63"/>
      <c r="G27" s="64" t="n">
        <v>0.99</v>
      </c>
      <c r="H27" s="64"/>
    </row>
    <row r="28" customFormat="false" ht="15" hidden="false" customHeight="false" outlineLevel="0" collapsed="false">
      <c r="A28" s="25"/>
      <c r="B28" s="25"/>
      <c r="C28" s="25"/>
      <c r="D28" s="25"/>
      <c r="E28" s="63"/>
      <c r="F28" s="63"/>
      <c r="G28" s="64"/>
      <c r="H28" s="64"/>
    </row>
    <row r="30" customFormat="false" ht="15" hidden="false" customHeight="false" outlineLevel="0" collapsed="false">
      <c r="A30" s="4" t="s">
        <v>152</v>
      </c>
    </row>
    <row r="31" customFormat="false" ht="23.85" hidden="false" customHeight="false" outlineLevel="0" collapsed="false">
      <c r="A31" s="29" t="s">
        <v>153</v>
      </c>
      <c r="B31" s="29" t="s">
        <v>154</v>
      </c>
      <c r="C31" s="29" t="s">
        <v>155</v>
      </c>
      <c r="D31" s="29" t="s">
        <v>48</v>
      </c>
      <c r="E31" s="29" t="s">
        <v>156</v>
      </c>
      <c r="F31" s="29" t="s">
        <v>132</v>
      </c>
      <c r="G31" s="29" t="s">
        <v>157</v>
      </c>
      <c r="H31" s="29" t="s">
        <v>158</v>
      </c>
      <c r="I31" s="29" t="s">
        <v>159</v>
      </c>
      <c r="J31" s="29" t="s">
        <v>160</v>
      </c>
      <c r="K31" s="29" t="s">
        <v>161</v>
      </c>
      <c r="L31" s="29" t="s">
        <v>162</v>
      </c>
      <c r="M31" s="29" t="s">
        <v>163</v>
      </c>
      <c r="N31" s="29" t="s">
        <v>164</v>
      </c>
      <c r="O31" s="29" t="s">
        <v>165</v>
      </c>
    </row>
    <row r="32" customFormat="false" ht="15" hidden="false" customHeight="false" outlineLevel="0" collapsed="false">
      <c r="A32" s="65" t="n">
        <v>4707150431</v>
      </c>
      <c r="B32" s="65" t="s">
        <v>166</v>
      </c>
      <c r="C32" s="66" t="n">
        <v>0.4</v>
      </c>
      <c r="D32" s="67" t="n">
        <v>34.400398</v>
      </c>
      <c r="E32" s="68" t="n">
        <v>16.31</v>
      </c>
      <c r="F32" s="68" t="n">
        <v>0.98</v>
      </c>
      <c r="G32" s="68" t="n">
        <v>0.99</v>
      </c>
      <c r="H32" s="68" t="n">
        <v>0.64</v>
      </c>
      <c r="I32" s="68" t="n">
        <v>18.28</v>
      </c>
      <c r="J32" s="68" t="n">
        <v>18.28</v>
      </c>
      <c r="K32" s="68" t="n">
        <v>3.5527136788005E-015</v>
      </c>
      <c r="L32" s="68" t="n">
        <v>14.68</v>
      </c>
      <c r="M32" s="68" t="n">
        <v>15.67</v>
      </c>
      <c r="N32" s="68" t="n">
        <v>-0.990000000000002</v>
      </c>
      <c r="O32" s="65" t="s">
        <v>167</v>
      </c>
    </row>
    <row r="33" customFormat="false" ht="15" hidden="false" customHeight="false" outlineLevel="0" collapsed="false">
      <c r="A33" s="15" t="n">
        <v>4511566811</v>
      </c>
      <c r="B33" s="15" t="s">
        <v>168</v>
      </c>
      <c r="C33" s="69" t="n">
        <v>0.25</v>
      </c>
      <c r="D33" s="31" t="n">
        <v>8.483508</v>
      </c>
      <c r="E33" s="37" t="n">
        <v>2.12</v>
      </c>
      <c r="F33" s="37" t="n">
        <v>0.13</v>
      </c>
      <c r="G33" s="37" t="n">
        <v>0</v>
      </c>
      <c r="H33" s="37" t="n">
        <v>0.21</v>
      </c>
      <c r="I33" s="37" t="n">
        <v>2.25</v>
      </c>
      <c r="J33" s="37" t="n">
        <v>2.25</v>
      </c>
      <c r="K33" s="37" t="n">
        <v>0</v>
      </c>
      <c r="L33" s="37" t="n">
        <v>1.91</v>
      </c>
      <c r="M33" s="37" t="n">
        <v>1.91</v>
      </c>
      <c r="N33" s="37" t="n">
        <v>-2.22044604925031E-016</v>
      </c>
      <c r="O33" s="15"/>
    </row>
    <row r="34" customFormat="false" ht="15" hidden="false" customHeight="false" outlineLevel="0" collapsed="false">
      <c r="A34" s="13" t="n">
        <v>5085521961</v>
      </c>
      <c r="B34" s="13" t="s">
        <v>166</v>
      </c>
      <c r="C34" s="70" t="n">
        <v>0.5</v>
      </c>
      <c r="D34" s="30" t="n">
        <v>26.5085</v>
      </c>
      <c r="E34" s="35" t="n">
        <v>15.96</v>
      </c>
      <c r="F34" s="35" t="n">
        <v>0.96</v>
      </c>
      <c r="G34" s="35" t="n">
        <v>0</v>
      </c>
      <c r="H34" s="35" t="n">
        <v>1.6</v>
      </c>
      <c r="I34" s="35" t="n">
        <v>16.92</v>
      </c>
      <c r="J34" s="35" t="n">
        <v>16.92</v>
      </c>
      <c r="K34" s="35" t="n">
        <v>0</v>
      </c>
      <c r="L34" s="35" t="n">
        <v>14.36</v>
      </c>
      <c r="M34" s="35" t="n">
        <v>14.36</v>
      </c>
      <c r="N34" s="35" t="n">
        <v>-3.5527136788005E-015</v>
      </c>
      <c r="O34" s="13"/>
    </row>
    <row r="35" customFormat="false" ht="15" hidden="false" customHeight="false" outlineLevel="0" collapsed="false">
      <c r="A35" s="15" t="n">
        <v>5052659961</v>
      </c>
      <c r="B35" s="15" t="s">
        <v>166</v>
      </c>
      <c r="C35" s="69" t="n">
        <v>0.5</v>
      </c>
      <c r="D35" s="31" t="n">
        <v>15.6444</v>
      </c>
      <c r="E35" s="37" t="n">
        <v>9.74</v>
      </c>
      <c r="F35" s="37" t="n">
        <v>0.59</v>
      </c>
      <c r="G35" s="37" t="n">
        <v>0</v>
      </c>
      <c r="H35" s="37" t="n">
        <v>0.97</v>
      </c>
      <c r="I35" s="37" t="n">
        <v>10.33</v>
      </c>
      <c r="J35" s="37" t="n">
        <v>10.33</v>
      </c>
      <c r="K35" s="37" t="n">
        <v>0</v>
      </c>
      <c r="L35" s="37" t="n">
        <v>8.77</v>
      </c>
      <c r="M35" s="37" t="n">
        <v>8.77</v>
      </c>
      <c r="N35" s="37" t="n">
        <v>0</v>
      </c>
      <c r="O35" s="15"/>
    </row>
    <row r="36" customFormat="false" ht="15" hidden="false" customHeight="false" outlineLevel="0" collapsed="false">
      <c r="A36" s="13" t="n">
        <v>5061988191</v>
      </c>
      <c r="B36" s="13" t="s">
        <v>168</v>
      </c>
      <c r="C36" s="70" t="n">
        <v>0.5</v>
      </c>
      <c r="D36" s="30" t="n">
        <v>0.336346</v>
      </c>
      <c r="E36" s="35" t="n">
        <v>0.45</v>
      </c>
      <c r="F36" s="35" t="n">
        <v>0.03</v>
      </c>
      <c r="G36" s="35" t="n">
        <v>0</v>
      </c>
      <c r="H36" s="35" t="n">
        <v>0.04</v>
      </c>
      <c r="I36" s="35" t="n">
        <v>0.48</v>
      </c>
      <c r="J36" s="35" t="n">
        <v>0.48</v>
      </c>
      <c r="K36" s="35" t="n">
        <v>0</v>
      </c>
      <c r="L36" s="35" t="n">
        <v>0.41</v>
      </c>
      <c r="M36" s="35" t="n">
        <v>0.41</v>
      </c>
      <c r="N36" s="35" t="n">
        <v>-5.55111512312578E-017</v>
      </c>
      <c r="O36" s="13"/>
    </row>
    <row r="37" customFormat="false" ht="15" hidden="false" customHeight="false" outlineLevel="0" collapsed="false">
      <c r="A37" s="15" t="n">
        <v>5062680061</v>
      </c>
      <c r="B37" s="15" t="s">
        <v>168</v>
      </c>
      <c r="C37" s="69" t="n">
        <v>0.5</v>
      </c>
      <c r="D37" s="31" t="n">
        <v>2.029098</v>
      </c>
      <c r="E37" s="37" t="n">
        <v>2.46</v>
      </c>
      <c r="F37" s="37" t="n">
        <v>0.15</v>
      </c>
      <c r="G37" s="37" t="n">
        <v>0</v>
      </c>
      <c r="H37" s="37" t="n">
        <v>0.25</v>
      </c>
      <c r="I37" s="37" t="n">
        <v>2.61</v>
      </c>
      <c r="J37" s="37" t="n">
        <v>2.61</v>
      </c>
      <c r="K37" s="37" t="n">
        <v>0</v>
      </c>
      <c r="L37" s="37" t="n">
        <v>2.21</v>
      </c>
      <c r="M37" s="37" t="n">
        <v>2.21</v>
      </c>
      <c r="N37" s="37" t="n">
        <v>0</v>
      </c>
      <c r="O37" s="15"/>
    </row>
    <row r="38" customFormat="false" ht="15" hidden="false" customHeight="false" outlineLevel="0" collapsed="false">
      <c r="A38" s="13" t="n">
        <v>5063306431</v>
      </c>
      <c r="B38" s="13" t="s">
        <v>166</v>
      </c>
      <c r="C38" s="70" t="n">
        <v>0.5</v>
      </c>
      <c r="D38" s="30" t="n">
        <v>14.9672</v>
      </c>
      <c r="E38" s="35" t="n">
        <v>8.9</v>
      </c>
      <c r="F38" s="35" t="n">
        <v>0.54</v>
      </c>
      <c r="G38" s="35" t="n">
        <v>0</v>
      </c>
      <c r="H38" s="35" t="n">
        <v>0.89</v>
      </c>
      <c r="I38" s="35" t="n">
        <v>9.44</v>
      </c>
      <c r="J38" s="35" t="n">
        <v>9.44</v>
      </c>
      <c r="K38" s="35" t="n">
        <v>-1.77635683940025E-015</v>
      </c>
      <c r="L38" s="35" t="n">
        <v>8.01</v>
      </c>
      <c r="M38" s="35" t="n">
        <v>8.01</v>
      </c>
      <c r="N38" s="35" t="n">
        <v>1.77635683940025E-015</v>
      </c>
      <c r="O38" s="13"/>
    </row>
    <row r="39" customFormat="false" ht="15" hidden="false" customHeight="false" outlineLevel="0" collapsed="false">
      <c r="A39" s="15" t="n">
        <v>5064310421</v>
      </c>
      <c r="B39" s="15" t="s">
        <v>168</v>
      </c>
      <c r="C39" s="69" t="n">
        <v>0.5</v>
      </c>
      <c r="D39" s="31" t="n">
        <v>8.386854</v>
      </c>
      <c r="E39" s="37" t="n">
        <v>10.02</v>
      </c>
      <c r="F39" s="37" t="n">
        <v>0.6</v>
      </c>
      <c r="G39" s="37" t="n">
        <v>0</v>
      </c>
      <c r="H39" s="37" t="n">
        <v>1</v>
      </c>
      <c r="I39" s="37" t="n">
        <v>10.62</v>
      </c>
      <c r="J39" s="37" t="n">
        <v>10.62</v>
      </c>
      <c r="K39" s="37" t="n">
        <v>0</v>
      </c>
      <c r="L39" s="37" t="n">
        <v>9.02</v>
      </c>
      <c r="M39" s="37" t="n">
        <v>9.02</v>
      </c>
      <c r="N39" s="37" t="n">
        <v>0</v>
      </c>
      <c r="O39" s="15"/>
    </row>
    <row r="40" customFormat="false" ht="15" hidden="false" customHeight="false" outlineLevel="0" collapsed="false">
      <c r="A40" s="13" t="n">
        <v>5065498161</v>
      </c>
      <c r="B40" s="13" t="s">
        <v>166</v>
      </c>
      <c r="C40" s="70" t="n">
        <v>0.5</v>
      </c>
      <c r="D40" s="30" t="n">
        <v>47.786</v>
      </c>
      <c r="E40" s="35" t="n">
        <v>28.77</v>
      </c>
      <c r="F40" s="35" t="n">
        <v>1.72</v>
      </c>
      <c r="G40" s="35" t="n">
        <v>0</v>
      </c>
      <c r="H40" s="35" t="n">
        <v>2.88</v>
      </c>
      <c r="I40" s="35" t="n">
        <v>30.49</v>
      </c>
      <c r="J40" s="35" t="n">
        <v>30.49</v>
      </c>
      <c r="K40" s="35" t="n">
        <v>0</v>
      </c>
      <c r="L40" s="35" t="n">
        <v>25.89</v>
      </c>
      <c r="M40" s="35" t="n">
        <v>25.89</v>
      </c>
      <c r="N40" s="35" t="n">
        <v>0</v>
      </c>
      <c r="O40" s="13"/>
    </row>
    <row r="41" customFormat="false" ht="15" hidden="false" customHeight="false" outlineLevel="0" collapsed="false">
      <c r="A41" s="15" t="n">
        <v>5066116501</v>
      </c>
      <c r="B41" s="15" t="s">
        <v>168</v>
      </c>
      <c r="C41" s="69" t="n">
        <v>0.5</v>
      </c>
      <c r="D41" s="31" t="n">
        <v>9.556702</v>
      </c>
      <c r="E41" s="37" t="n">
        <v>11.44</v>
      </c>
      <c r="F41" s="37" t="n">
        <v>0.69</v>
      </c>
      <c r="G41" s="37" t="n">
        <v>0</v>
      </c>
      <c r="H41" s="37" t="n">
        <v>1.14</v>
      </c>
      <c r="I41" s="37" t="n">
        <v>12.13</v>
      </c>
      <c r="J41" s="37" t="n">
        <v>12.13</v>
      </c>
      <c r="K41" s="37" t="n">
        <v>1.77635683940025E-015</v>
      </c>
      <c r="L41" s="37" t="n">
        <v>10.3</v>
      </c>
      <c r="M41" s="37" t="n">
        <v>10.3</v>
      </c>
      <c r="N41" s="37" t="n">
        <v>0</v>
      </c>
      <c r="O41" s="15"/>
    </row>
    <row r="42" customFormat="false" ht="15" hidden="false" customHeight="false" outlineLevel="0" collapsed="false">
      <c r="A42" s="13" t="n">
        <v>5070019271</v>
      </c>
      <c r="B42" s="13" t="s">
        <v>166</v>
      </c>
      <c r="C42" s="70" t="n">
        <v>0.5</v>
      </c>
      <c r="D42" s="30" t="n">
        <v>34.3673</v>
      </c>
      <c r="E42" s="35" t="n">
        <v>21.95</v>
      </c>
      <c r="F42" s="35" t="n">
        <v>1.32</v>
      </c>
      <c r="G42" s="35" t="n">
        <v>0</v>
      </c>
      <c r="H42" s="35" t="n">
        <v>2.19</v>
      </c>
      <c r="I42" s="35" t="n">
        <v>23.27</v>
      </c>
      <c r="J42" s="35" t="n">
        <v>23.27</v>
      </c>
      <c r="K42" s="35" t="n">
        <v>0</v>
      </c>
      <c r="L42" s="35" t="n">
        <v>19.76</v>
      </c>
      <c r="M42" s="35" t="n">
        <v>19.76</v>
      </c>
      <c r="N42" s="35" t="n">
        <v>3.5527136788005E-015</v>
      </c>
      <c r="O42" s="13"/>
    </row>
    <row r="43" customFormat="false" ht="15" hidden="false" customHeight="false" outlineLevel="0" collapsed="false">
      <c r="A43" s="15" t="n">
        <v>5072058841</v>
      </c>
      <c r="B43" s="15" t="s">
        <v>166</v>
      </c>
      <c r="C43" s="69" t="n">
        <v>0.5</v>
      </c>
      <c r="D43" s="31" t="n">
        <v>69.3154</v>
      </c>
      <c r="E43" s="37" t="n">
        <v>48.36</v>
      </c>
      <c r="F43" s="37" t="n">
        <v>2.9</v>
      </c>
      <c r="G43" s="37" t="n">
        <v>0</v>
      </c>
      <c r="H43" s="37" t="n">
        <v>4.84</v>
      </c>
      <c r="I43" s="37" t="n">
        <v>51.26</v>
      </c>
      <c r="J43" s="37" t="n">
        <v>51.26</v>
      </c>
      <c r="K43" s="37" t="n">
        <v>0</v>
      </c>
      <c r="L43" s="37" t="n">
        <v>43.52</v>
      </c>
      <c r="M43" s="37" t="n">
        <v>43.52</v>
      </c>
      <c r="N43" s="37" t="n">
        <v>0</v>
      </c>
      <c r="O43" s="15"/>
    </row>
    <row r="44" customFormat="false" ht="15" hidden="false" customHeight="false" outlineLevel="0" collapsed="false">
      <c r="A44" s="13" t="n">
        <v>5075505841</v>
      </c>
      <c r="B44" s="13" t="s">
        <v>168</v>
      </c>
      <c r="C44" s="70" t="n">
        <v>0.5</v>
      </c>
      <c r="D44" s="30" t="n">
        <v>10.965973</v>
      </c>
      <c r="E44" s="35" t="n">
        <v>13.11</v>
      </c>
      <c r="F44" s="35" t="n">
        <v>0.79</v>
      </c>
      <c r="G44" s="35" t="n">
        <v>0</v>
      </c>
      <c r="H44" s="35" t="n">
        <v>1.31</v>
      </c>
      <c r="I44" s="35" t="n">
        <v>13.9</v>
      </c>
      <c r="J44" s="35" t="n">
        <v>13.9</v>
      </c>
      <c r="K44" s="35" t="n">
        <v>1.77635683940025E-015</v>
      </c>
      <c r="L44" s="35" t="n">
        <v>11.8</v>
      </c>
      <c r="M44" s="35" t="n">
        <v>11.8</v>
      </c>
      <c r="N44" s="35" t="n">
        <v>0</v>
      </c>
      <c r="O44" s="13"/>
    </row>
    <row r="45" customFormat="false" ht="15" hidden="false" customHeight="false" outlineLevel="0" collapsed="false">
      <c r="A45" s="15" t="n">
        <v>5080439231</v>
      </c>
      <c r="B45" s="15" t="s">
        <v>166</v>
      </c>
      <c r="C45" s="69" t="n">
        <v>0.5</v>
      </c>
      <c r="D45" s="31" t="n">
        <v>34.6041</v>
      </c>
      <c r="E45" s="37" t="n">
        <v>20.47</v>
      </c>
      <c r="F45" s="37" t="n">
        <v>1.23</v>
      </c>
      <c r="G45" s="37" t="n">
        <v>0</v>
      </c>
      <c r="H45" s="37" t="n">
        <v>2.05</v>
      </c>
      <c r="I45" s="37" t="n">
        <v>21.7</v>
      </c>
      <c r="J45" s="37" t="n">
        <v>21.7</v>
      </c>
      <c r="K45" s="37" t="n">
        <v>0</v>
      </c>
      <c r="L45" s="37" t="n">
        <v>18.42</v>
      </c>
      <c r="M45" s="37" t="n">
        <v>18.42</v>
      </c>
      <c r="N45" s="37" t="n">
        <v>3.5527136788005E-015</v>
      </c>
      <c r="O45" s="15"/>
    </row>
    <row r="46" customFormat="false" ht="15" hidden="false" customHeight="false" outlineLevel="0" collapsed="false">
      <c r="A46" s="13" t="n">
        <v>5084440871</v>
      </c>
      <c r="B46" s="13" t="s">
        <v>166</v>
      </c>
      <c r="C46" s="70" t="n">
        <v>0.5</v>
      </c>
      <c r="D46" s="30" t="n">
        <v>13.3417</v>
      </c>
      <c r="E46" s="35" t="n">
        <v>7.78</v>
      </c>
      <c r="F46" s="35" t="n">
        <v>0.47</v>
      </c>
      <c r="G46" s="35" t="n">
        <v>0</v>
      </c>
      <c r="H46" s="35" t="n">
        <v>0.78</v>
      </c>
      <c r="I46" s="35" t="n">
        <v>8.25</v>
      </c>
      <c r="J46" s="35" t="n">
        <v>8.25</v>
      </c>
      <c r="K46" s="35" t="n">
        <v>0</v>
      </c>
      <c r="L46" s="35" t="n">
        <v>7</v>
      </c>
      <c r="M46" s="35" t="n">
        <v>7</v>
      </c>
      <c r="N46" s="35" t="n">
        <v>0</v>
      </c>
      <c r="O46" s="13"/>
    </row>
    <row r="47" customFormat="false" ht="15" hidden="false" customHeight="false" outlineLevel="0" collapsed="false">
      <c r="A47" s="15" t="n">
        <v>5090967681</v>
      </c>
      <c r="B47" s="15" t="s">
        <v>166</v>
      </c>
      <c r="C47" s="69" t="n">
        <v>0.5</v>
      </c>
      <c r="D47" s="31" t="n">
        <v>24.7771</v>
      </c>
      <c r="E47" s="37" t="n">
        <v>14.99</v>
      </c>
      <c r="F47" s="37" t="n">
        <v>0.9</v>
      </c>
      <c r="G47" s="37" t="n">
        <v>0</v>
      </c>
      <c r="H47" s="37" t="n">
        <v>1.5</v>
      </c>
      <c r="I47" s="37" t="n">
        <v>15.89</v>
      </c>
      <c r="J47" s="37" t="n">
        <v>15.89</v>
      </c>
      <c r="K47" s="37" t="n">
        <v>0</v>
      </c>
      <c r="L47" s="37" t="n">
        <v>13.49</v>
      </c>
      <c r="M47" s="37" t="n">
        <v>13.49</v>
      </c>
      <c r="N47" s="37" t="n">
        <v>0</v>
      </c>
      <c r="O47" s="15"/>
    </row>
    <row r="48" customFormat="false" ht="15" hidden="false" customHeight="false" outlineLevel="0" collapsed="false">
      <c r="A48" s="13" t="n">
        <v>5049917011</v>
      </c>
      <c r="B48" s="13" t="s">
        <v>166</v>
      </c>
      <c r="C48" s="70" t="n">
        <v>0.5</v>
      </c>
      <c r="D48" s="30" t="n">
        <v>53.255798</v>
      </c>
      <c r="E48" s="35" t="n">
        <v>32.82</v>
      </c>
      <c r="F48" s="35" t="n">
        <v>1.97</v>
      </c>
      <c r="G48" s="35" t="n">
        <v>0</v>
      </c>
      <c r="H48" s="35" t="n">
        <v>3.28</v>
      </c>
      <c r="I48" s="35" t="n">
        <v>34.79</v>
      </c>
      <c r="J48" s="35" t="n">
        <v>34.79</v>
      </c>
      <c r="K48" s="35" t="n">
        <v>0</v>
      </c>
      <c r="L48" s="35" t="n">
        <v>29.54</v>
      </c>
      <c r="M48" s="35" t="n">
        <v>29.54</v>
      </c>
      <c r="N48" s="35" t="n">
        <v>0</v>
      </c>
      <c r="O48" s="13"/>
    </row>
    <row r="49" customFormat="false" ht="15" hidden="false" customHeight="false" outlineLevel="0" collapsed="false">
      <c r="A49" s="15" t="n">
        <v>5091525811</v>
      </c>
      <c r="B49" s="15" t="s">
        <v>166</v>
      </c>
      <c r="C49" s="69" t="n">
        <v>0.5</v>
      </c>
      <c r="D49" s="31" t="n">
        <v>19.8486</v>
      </c>
      <c r="E49" s="37" t="n">
        <v>11.74</v>
      </c>
      <c r="F49" s="37" t="n">
        <v>0.71</v>
      </c>
      <c r="G49" s="37" t="n">
        <v>0</v>
      </c>
      <c r="H49" s="37" t="n">
        <v>1.17</v>
      </c>
      <c r="I49" s="37" t="n">
        <v>12.45</v>
      </c>
      <c r="J49" s="37" t="n">
        <v>12.45</v>
      </c>
      <c r="K49" s="37" t="n">
        <v>0</v>
      </c>
      <c r="L49" s="37" t="n">
        <v>10.57</v>
      </c>
      <c r="M49" s="37" t="n">
        <v>10.57</v>
      </c>
      <c r="N49" s="37" t="n">
        <v>0</v>
      </c>
      <c r="O49" s="15"/>
    </row>
    <row r="50" customFormat="false" ht="15" hidden="false" customHeight="false" outlineLevel="0" collapsed="false">
      <c r="A50" s="13" t="n">
        <v>5091829711</v>
      </c>
      <c r="B50" s="13" t="s">
        <v>166</v>
      </c>
      <c r="C50" s="70" t="n">
        <v>0.5</v>
      </c>
      <c r="D50" s="30" t="n">
        <v>33.5751</v>
      </c>
      <c r="E50" s="35" t="n">
        <v>21.96</v>
      </c>
      <c r="F50" s="35" t="n">
        <v>1.32</v>
      </c>
      <c r="G50" s="35" t="n">
        <v>0</v>
      </c>
      <c r="H50" s="35" t="n">
        <v>2.2</v>
      </c>
      <c r="I50" s="35" t="n">
        <v>23.28</v>
      </c>
      <c r="J50" s="35" t="n">
        <v>23.28</v>
      </c>
      <c r="K50" s="35" t="n">
        <v>0</v>
      </c>
      <c r="L50" s="35" t="n">
        <v>19.76</v>
      </c>
      <c r="M50" s="35" t="n">
        <v>19.76</v>
      </c>
      <c r="N50" s="35" t="n">
        <v>0</v>
      </c>
      <c r="O50" s="13"/>
    </row>
    <row r="51" customFormat="false" ht="15" hidden="false" customHeight="false" outlineLevel="0" collapsed="false">
      <c r="A51" s="15" t="n">
        <v>5095371501</v>
      </c>
      <c r="B51" s="15" t="s">
        <v>168</v>
      </c>
      <c r="C51" s="69" t="n">
        <v>0.5</v>
      </c>
      <c r="D51" s="31" t="n">
        <v>5.016269</v>
      </c>
      <c r="E51" s="37" t="n">
        <v>6.21</v>
      </c>
      <c r="F51" s="37" t="n">
        <v>0.37</v>
      </c>
      <c r="G51" s="37" t="n">
        <v>0</v>
      </c>
      <c r="H51" s="37" t="n">
        <v>0.62</v>
      </c>
      <c r="I51" s="37" t="n">
        <v>6.58</v>
      </c>
      <c r="J51" s="37" t="n">
        <v>6.58</v>
      </c>
      <c r="K51" s="37" t="n">
        <v>0</v>
      </c>
      <c r="L51" s="37" t="n">
        <v>5.59</v>
      </c>
      <c r="M51" s="37" t="n">
        <v>5.59</v>
      </c>
      <c r="N51" s="37" t="n">
        <v>0</v>
      </c>
      <c r="O51" s="15"/>
    </row>
    <row r="52" customFormat="false" ht="15" hidden="false" customHeight="false" outlineLevel="0" collapsed="false">
      <c r="A52" s="13" t="n">
        <v>5101195401</v>
      </c>
      <c r="B52" s="13" t="s">
        <v>166</v>
      </c>
      <c r="C52" s="70" t="n">
        <v>0.5</v>
      </c>
      <c r="D52" s="30" t="n">
        <v>38.9751</v>
      </c>
      <c r="E52" s="35" t="n">
        <v>29.87</v>
      </c>
      <c r="F52" s="35" t="n">
        <v>1.79</v>
      </c>
      <c r="G52" s="35" t="n">
        <v>0</v>
      </c>
      <c r="H52" s="35" t="n">
        <v>2.99</v>
      </c>
      <c r="I52" s="35" t="n">
        <v>31.66</v>
      </c>
      <c r="J52" s="35" t="n">
        <v>31.66</v>
      </c>
      <c r="K52" s="35" t="n">
        <v>0</v>
      </c>
      <c r="L52" s="35" t="n">
        <v>26.88</v>
      </c>
      <c r="M52" s="35" t="n">
        <v>26.88</v>
      </c>
      <c r="N52" s="35" t="n">
        <v>-3.5527136788005E-015</v>
      </c>
      <c r="O52" s="13"/>
    </row>
    <row r="53" customFormat="false" ht="15" hidden="false" customHeight="false" outlineLevel="0" collapsed="false">
      <c r="A53" s="15" t="n">
        <v>5106765831</v>
      </c>
      <c r="B53" s="15" t="s">
        <v>166</v>
      </c>
      <c r="C53" s="69" t="n">
        <v>0.5</v>
      </c>
      <c r="D53" s="31" t="n">
        <v>47.9561</v>
      </c>
      <c r="E53" s="37" t="n">
        <v>27.92</v>
      </c>
      <c r="F53" s="37" t="n">
        <v>1.68</v>
      </c>
      <c r="G53" s="37" t="n">
        <v>0</v>
      </c>
      <c r="H53" s="37" t="n">
        <v>2.79</v>
      </c>
      <c r="I53" s="37" t="n">
        <v>29.6</v>
      </c>
      <c r="J53" s="37" t="n">
        <v>29.6</v>
      </c>
      <c r="K53" s="37" t="n">
        <v>0</v>
      </c>
      <c r="L53" s="37" t="n">
        <v>25.13</v>
      </c>
      <c r="M53" s="37" t="n">
        <v>25.13</v>
      </c>
      <c r="N53" s="37" t="n">
        <v>-3.5527136788005E-015</v>
      </c>
      <c r="O53" s="15"/>
    </row>
    <row r="54" customFormat="false" ht="15" hidden="false" customHeight="false" outlineLevel="0" collapsed="false">
      <c r="A54" s="13" t="n">
        <v>5109277721</v>
      </c>
      <c r="B54" s="13" t="s">
        <v>166</v>
      </c>
      <c r="C54" s="70" t="n">
        <v>0.5</v>
      </c>
      <c r="D54" s="30" t="n">
        <v>18.939</v>
      </c>
      <c r="E54" s="35" t="n">
        <v>11.47</v>
      </c>
      <c r="F54" s="35" t="n">
        <v>0.69</v>
      </c>
      <c r="G54" s="35" t="n">
        <v>0</v>
      </c>
      <c r="H54" s="35" t="n">
        <v>1.15</v>
      </c>
      <c r="I54" s="35" t="n">
        <v>12.16</v>
      </c>
      <c r="J54" s="35" t="n">
        <v>12.16</v>
      </c>
      <c r="K54" s="35" t="n">
        <v>0</v>
      </c>
      <c r="L54" s="35" t="n">
        <v>10.32</v>
      </c>
      <c r="M54" s="35" t="n">
        <v>10.32</v>
      </c>
      <c r="N54" s="35" t="n">
        <v>0</v>
      </c>
      <c r="O54" s="13"/>
    </row>
    <row r="55" customFormat="false" ht="15" hidden="false" customHeight="false" outlineLevel="0" collapsed="false">
      <c r="A55" s="15" t="n">
        <v>5110850871</v>
      </c>
      <c r="B55" s="15" t="s">
        <v>166</v>
      </c>
      <c r="C55" s="69" t="n">
        <v>0.5</v>
      </c>
      <c r="D55" s="31" t="n">
        <v>20.2164</v>
      </c>
      <c r="E55" s="37" t="n">
        <v>14.07</v>
      </c>
      <c r="F55" s="37" t="n">
        <v>0.85</v>
      </c>
      <c r="G55" s="37" t="n">
        <v>0</v>
      </c>
      <c r="H55" s="37" t="n">
        <v>1.41</v>
      </c>
      <c r="I55" s="37" t="n">
        <v>14.92</v>
      </c>
      <c r="J55" s="37" t="n">
        <v>14.92</v>
      </c>
      <c r="K55" s="37" t="n">
        <v>0</v>
      </c>
      <c r="L55" s="37" t="n">
        <v>12.66</v>
      </c>
      <c r="M55" s="37" t="n">
        <v>12.66</v>
      </c>
      <c r="N55" s="37" t="n">
        <v>0</v>
      </c>
      <c r="O55" s="15"/>
    </row>
    <row r="56" customFormat="false" ht="15" hidden="false" customHeight="false" outlineLevel="0" collapsed="false">
      <c r="A56" s="13" t="n">
        <v>5112863521</v>
      </c>
      <c r="B56" s="13" t="s">
        <v>166</v>
      </c>
      <c r="C56" s="70" t="n">
        <v>0.5</v>
      </c>
      <c r="D56" s="30" t="n">
        <v>45.5586</v>
      </c>
      <c r="E56" s="35" t="n">
        <v>26.87</v>
      </c>
      <c r="F56" s="35" t="n">
        <v>1.62</v>
      </c>
      <c r="G56" s="35" t="n">
        <v>0</v>
      </c>
      <c r="H56" s="35" t="n">
        <v>2.69</v>
      </c>
      <c r="I56" s="35" t="n">
        <v>28.49</v>
      </c>
      <c r="J56" s="35" t="n">
        <v>28.49</v>
      </c>
      <c r="K56" s="35" t="n">
        <v>-3.5527136788005E-015</v>
      </c>
      <c r="L56" s="35" t="n">
        <v>24.18</v>
      </c>
      <c r="M56" s="35" t="n">
        <v>24.18</v>
      </c>
      <c r="N56" s="35" t="n">
        <v>3.5527136788005E-015</v>
      </c>
      <c r="O56" s="13"/>
    </row>
    <row r="57" customFormat="false" ht="15" hidden="false" customHeight="false" outlineLevel="0" collapsed="false">
      <c r="A57" s="15" t="n">
        <v>5113490811</v>
      </c>
      <c r="B57" s="15" t="s">
        <v>166</v>
      </c>
      <c r="C57" s="69" t="n">
        <v>0.5</v>
      </c>
      <c r="D57" s="31" t="n">
        <v>48.9457</v>
      </c>
      <c r="E57" s="37" t="n">
        <v>28.86</v>
      </c>
      <c r="F57" s="37" t="n">
        <v>1.73</v>
      </c>
      <c r="G57" s="37" t="n">
        <v>0</v>
      </c>
      <c r="H57" s="37" t="n">
        <v>2.89</v>
      </c>
      <c r="I57" s="37" t="n">
        <v>30.59</v>
      </c>
      <c r="J57" s="37" t="n">
        <v>30.59</v>
      </c>
      <c r="K57" s="37" t="n">
        <v>0</v>
      </c>
      <c r="L57" s="37" t="n">
        <v>25.97</v>
      </c>
      <c r="M57" s="37" t="n">
        <v>25.97</v>
      </c>
      <c r="N57" s="37" t="n">
        <v>0</v>
      </c>
      <c r="O57" s="15"/>
    </row>
    <row r="58" customFormat="false" ht="15" hidden="false" customHeight="false" outlineLevel="0" collapsed="false">
      <c r="A58" s="13" t="n">
        <v>5113904771</v>
      </c>
      <c r="B58" s="13" t="s">
        <v>166</v>
      </c>
      <c r="C58" s="70" t="n">
        <v>0.5</v>
      </c>
      <c r="D58" s="30" t="n">
        <v>28.1255</v>
      </c>
      <c r="E58" s="35" t="n">
        <v>18.15</v>
      </c>
      <c r="F58" s="35" t="n">
        <v>1.09</v>
      </c>
      <c r="G58" s="35" t="n">
        <v>0</v>
      </c>
      <c r="H58" s="35" t="n">
        <v>1.81</v>
      </c>
      <c r="I58" s="35" t="n">
        <v>19.24</v>
      </c>
      <c r="J58" s="35" t="n">
        <v>19.24</v>
      </c>
      <c r="K58" s="35" t="n">
        <v>0</v>
      </c>
      <c r="L58" s="35" t="n">
        <v>16.34</v>
      </c>
      <c r="M58" s="35" t="n">
        <v>16.34</v>
      </c>
      <c r="N58" s="35" t="n">
        <v>0</v>
      </c>
      <c r="O58" s="13"/>
    </row>
    <row r="59" customFormat="false" ht="15" hidden="false" customHeight="false" outlineLevel="0" collapsed="false">
      <c r="A59" s="15" t="n">
        <v>5114187961</v>
      </c>
      <c r="B59" s="15" t="s">
        <v>166</v>
      </c>
      <c r="C59" s="69" t="n">
        <v>0.5</v>
      </c>
      <c r="D59" s="31" t="n">
        <v>26.4852</v>
      </c>
      <c r="E59" s="37" t="n">
        <v>20.16</v>
      </c>
      <c r="F59" s="37" t="n">
        <v>1.21</v>
      </c>
      <c r="G59" s="37" t="n">
        <v>0</v>
      </c>
      <c r="H59" s="37" t="n">
        <v>2.02</v>
      </c>
      <c r="I59" s="37" t="n">
        <v>21.37</v>
      </c>
      <c r="J59" s="37" t="n">
        <v>21.37</v>
      </c>
      <c r="K59" s="37" t="n">
        <v>0</v>
      </c>
      <c r="L59" s="37" t="n">
        <v>18.14</v>
      </c>
      <c r="M59" s="37" t="n">
        <v>18.14</v>
      </c>
      <c r="N59" s="37" t="n">
        <v>0</v>
      </c>
      <c r="O59" s="15"/>
    </row>
    <row r="60" customFormat="false" ht="15" hidden="false" customHeight="false" outlineLevel="0" collapsed="false">
      <c r="A60" s="13" t="n">
        <v>5050854891</v>
      </c>
      <c r="B60" s="13" t="s">
        <v>166</v>
      </c>
      <c r="C60" s="70" t="n">
        <v>0.5</v>
      </c>
      <c r="D60" s="30" t="n">
        <v>26.8976</v>
      </c>
      <c r="E60" s="35" t="n">
        <v>16.04</v>
      </c>
      <c r="F60" s="35" t="n">
        <v>0.97</v>
      </c>
      <c r="G60" s="35" t="n">
        <v>0</v>
      </c>
      <c r="H60" s="35" t="n">
        <v>1.6</v>
      </c>
      <c r="I60" s="35" t="n">
        <v>17.01</v>
      </c>
      <c r="J60" s="35" t="n">
        <v>17.01</v>
      </c>
      <c r="K60" s="35" t="n">
        <v>3.5527136788005E-015</v>
      </c>
      <c r="L60" s="35" t="n">
        <v>14.44</v>
      </c>
      <c r="M60" s="35" t="n">
        <v>14.44</v>
      </c>
      <c r="N60" s="35" t="n">
        <v>-1.77635683940025E-015</v>
      </c>
      <c r="O60" s="13"/>
    </row>
    <row r="61" customFormat="false" ht="15" hidden="false" customHeight="false" outlineLevel="0" collapsed="false">
      <c r="A61" s="15" t="n">
        <v>5048198951</v>
      </c>
      <c r="B61" s="15" t="s">
        <v>166</v>
      </c>
      <c r="C61" s="69" t="n">
        <v>0.5</v>
      </c>
      <c r="D61" s="31" t="n">
        <v>14.6061</v>
      </c>
      <c r="E61" s="37" t="n">
        <v>8.89</v>
      </c>
      <c r="F61" s="37" t="n">
        <v>0.54</v>
      </c>
      <c r="G61" s="37" t="n">
        <v>0</v>
      </c>
      <c r="H61" s="37" t="n">
        <v>0.89</v>
      </c>
      <c r="I61" s="37" t="n">
        <v>9.43</v>
      </c>
      <c r="J61" s="37" t="n">
        <v>9.43</v>
      </c>
      <c r="K61" s="37" t="n">
        <v>0</v>
      </c>
      <c r="L61" s="37" t="n">
        <v>8</v>
      </c>
      <c r="M61" s="37" t="n">
        <v>8</v>
      </c>
      <c r="N61" s="37" t="n">
        <v>8.88178419700125E-016</v>
      </c>
      <c r="O61" s="15"/>
    </row>
    <row r="62" customFormat="false" ht="15" hidden="false" customHeight="false" outlineLevel="0" collapsed="false">
      <c r="A62" s="13" t="n">
        <v>5119467321</v>
      </c>
      <c r="B62" s="13" t="s">
        <v>168</v>
      </c>
      <c r="C62" s="70" t="n">
        <v>0.5</v>
      </c>
      <c r="D62" s="30" t="n">
        <v>2.856592</v>
      </c>
      <c r="E62" s="35" t="n">
        <v>3.53</v>
      </c>
      <c r="F62" s="35" t="n">
        <v>0.22</v>
      </c>
      <c r="G62" s="35" t="n">
        <v>0</v>
      </c>
      <c r="H62" s="35" t="n">
        <v>0.35</v>
      </c>
      <c r="I62" s="35" t="n">
        <v>3.75</v>
      </c>
      <c r="J62" s="35" t="n">
        <v>3.75</v>
      </c>
      <c r="K62" s="35" t="n">
        <v>0</v>
      </c>
      <c r="L62" s="35" t="n">
        <v>3.18</v>
      </c>
      <c r="M62" s="35" t="n">
        <v>3.18</v>
      </c>
      <c r="N62" s="35" t="n">
        <v>4.44089209850063E-016</v>
      </c>
      <c r="O62" s="13"/>
    </row>
    <row r="63" customFormat="false" ht="15" hidden="false" customHeight="false" outlineLevel="0" collapsed="false">
      <c r="A63" s="15" t="n">
        <v>5016300511</v>
      </c>
      <c r="B63" s="15" t="s">
        <v>166</v>
      </c>
      <c r="C63" s="69" t="n">
        <v>0.5</v>
      </c>
      <c r="D63" s="31" t="n">
        <v>14.9744</v>
      </c>
      <c r="E63" s="37" t="n">
        <v>9.19</v>
      </c>
      <c r="F63" s="37" t="n">
        <v>0.55</v>
      </c>
      <c r="G63" s="37" t="n">
        <v>0</v>
      </c>
      <c r="H63" s="37" t="n">
        <v>0.92</v>
      </c>
      <c r="I63" s="37" t="n">
        <v>9.74</v>
      </c>
      <c r="J63" s="37" t="n">
        <v>9.74</v>
      </c>
      <c r="K63" s="37" t="n">
        <v>0</v>
      </c>
      <c r="L63" s="37" t="n">
        <v>8.27</v>
      </c>
      <c r="M63" s="37" t="n">
        <v>8.27</v>
      </c>
      <c r="N63" s="37" t="n">
        <v>0</v>
      </c>
      <c r="O63" s="15"/>
    </row>
    <row r="64" customFormat="false" ht="15" hidden="false" customHeight="false" outlineLevel="0" collapsed="false">
      <c r="A64" s="13" t="n">
        <v>4992293321</v>
      </c>
      <c r="B64" s="13" t="s">
        <v>166</v>
      </c>
      <c r="C64" s="70" t="n">
        <v>0.5</v>
      </c>
      <c r="D64" s="30" t="n">
        <v>57.816898</v>
      </c>
      <c r="E64" s="35" t="n">
        <v>42.22</v>
      </c>
      <c r="F64" s="35" t="n">
        <v>2.53</v>
      </c>
      <c r="G64" s="35" t="n">
        <v>0</v>
      </c>
      <c r="H64" s="35" t="n">
        <v>4.22</v>
      </c>
      <c r="I64" s="35" t="n">
        <v>44.75</v>
      </c>
      <c r="J64" s="35" t="n">
        <v>44.75</v>
      </c>
      <c r="K64" s="35" t="n">
        <v>0</v>
      </c>
      <c r="L64" s="35" t="n">
        <v>38</v>
      </c>
      <c r="M64" s="35" t="n">
        <v>38</v>
      </c>
      <c r="N64" s="35" t="n">
        <v>0</v>
      </c>
      <c r="O64" s="13"/>
    </row>
    <row r="65" customFormat="false" ht="15" hidden="false" customHeight="false" outlineLevel="0" collapsed="false">
      <c r="A65" s="15" t="n">
        <v>5000972361</v>
      </c>
      <c r="B65" s="15" t="s">
        <v>166</v>
      </c>
      <c r="C65" s="69" t="n">
        <v>0.5</v>
      </c>
      <c r="D65" s="31" t="n">
        <v>33.316002</v>
      </c>
      <c r="E65" s="37" t="n">
        <v>20.39</v>
      </c>
      <c r="F65" s="37" t="n">
        <v>1.22</v>
      </c>
      <c r="G65" s="37" t="n">
        <v>0</v>
      </c>
      <c r="H65" s="37" t="n">
        <v>2.04</v>
      </c>
      <c r="I65" s="37" t="n">
        <v>21.61</v>
      </c>
      <c r="J65" s="37" t="n">
        <v>21.61</v>
      </c>
      <c r="K65" s="37" t="n">
        <v>0</v>
      </c>
      <c r="L65" s="37" t="n">
        <v>18.35</v>
      </c>
      <c r="M65" s="37" t="n">
        <v>18.35</v>
      </c>
      <c r="N65" s="37" t="n">
        <v>0</v>
      </c>
      <c r="O65" s="15"/>
    </row>
    <row r="66" customFormat="false" ht="15" hidden="false" customHeight="false" outlineLevel="0" collapsed="false">
      <c r="A66" s="13" t="n">
        <v>5001495271</v>
      </c>
      <c r="B66" s="13" t="s">
        <v>168</v>
      </c>
      <c r="C66" s="70" t="n">
        <v>0.5</v>
      </c>
      <c r="D66" s="30" t="n">
        <v>20.032721</v>
      </c>
      <c r="E66" s="35" t="n">
        <v>23.88</v>
      </c>
      <c r="F66" s="35" t="n">
        <v>1.43</v>
      </c>
      <c r="G66" s="35" t="n">
        <v>0</v>
      </c>
      <c r="H66" s="35" t="n">
        <v>2.39</v>
      </c>
      <c r="I66" s="35" t="n">
        <v>25.31</v>
      </c>
      <c r="J66" s="35" t="n">
        <v>25.31</v>
      </c>
      <c r="K66" s="35" t="n">
        <v>0</v>
      </c>
      <c r="L66" s="35" t="n">
        <v>21.49</v>
      </c>
      <c r="M66" s="35" t="n">
        <v>21.49</v>
      </c>
      <c r="N66" s="35" t="n">
        <v>0</v>
      </c>
      <c r="O66" s="13"/>
    </row>
    <row r="67" customFormat="false" ht="15" hidden="false" customHeight="false" outlineLevel="0" collapsed="false">
      <c r="A67" s="15" t="n">
        <v>5002321781</v>
      </c>
      <c r="B67" s="15" t="s">
        <v>166</v>
      </c>
      <c r="C67" s="69" t="n">
        <v>0.5</v>
      </c>
      <c r="D67" s="31" t="n">
        <v>22.825899</v>
      </c>
      <c r="E67" s="37" t="n">
        <v>13.57</v>
      </c>
      <c r="F67" s="37" t="n">
        <v>0.81</v>
      </c>
      <c r="G67" s="37" t="n">
        <v>0</v>
      </c>
      <c r="H67" s="37" t="n">
        <v>1.36</v>
      </c>
      <c r="I67" s="37" t="n">
        <v>14.38</v>
      </c>
      <c r="J67" s="37" t="n">
        <v>14.38</v>
      </c>
      <c r="K67" s="37" t="n">
        <v>0</v>
      </c>
      <c r="L67" s="37" t="n">
        <v>12.21</v>
      </c>
      <c r="M67" s="37" t="n">
        <v>12.21</v>
      </c>
      <c r="N67" s="37" t="n">
        <v>0</v>
      </c>
      <c r="O67" s="15"/>
    </row>
    <row r="68" customFormat="false" ht="15" hidden="false" customHeight="false" outlineLevel="0" collapsed="false">
      <c r="A68" s="13" t="n">
        <v>5004585191</v>
      </c>
      <c r="B68" s="13" t="s">
        <v>166</v>
      </c>
      <c r="C68" s="70" t="n">
        <v>0.5</v>
      </c>
      <c r="D68" s="30" t="n">
        <v>51.890499</v>
      </c>
      <c r="E68" s="35" t="n">
        <v>38.5</v>
      </c>
      <c r="F68" s="35" t="n">
        <v>2.31</v>
      </c>
      <c r="G68" s="35" t="n">
        <v>0</v>
      </c>
      <c r="H68" s="35" t="n">
        <v>3.85</v>
      </c>
      <c r="I68" s="35" t="n">
        <v>40.81</v>
      </c>
      <c r="J68" s="35" t="n">
        <v>40.81</v>
      </c>
      <c r="K68" s="35" t="n">
        <v>0</v>
      </c>
      <c r="L68" s="35" t="n">
        <v>34.65</v>
      </c>
      <c r="M68" s="35" t="n">
        <v>34.65</v>
      </c>
      <c r="N68" s="35" t="n">
        <v>0</v>
      </c>
      <c r="O68" s="13"/>
    </row>
    <row r="69" customFormat="false" ht="15" hidden="false" customHeight="false" outlineLevel="0" collapsed="false">
      <c r="A69" s="15" t="n">
        <v>5006411571</v>
      </c>
      <c r="B69" s="15" t="s">
        <v>166</v>
      </c>
      <c r="C69" s="69" t="n">
        <v>0.5</v>
      </c>
      <c r="D69" s="31" t="n">
        <v>13.3721</v>
      </c>
      <c r="E69" s="37" t="n">
        <v>7.97</v>
      </c>
      <c r="F69" s="37" t="n">
        <v>0.48</v>
      </c>
      <c r="G69" s="37" t="n">
        <v>0</v>
      </c>
      <c r="H69" s="37" t="n">
        <v>0.8</v>
      </c>
      <c r="I69" s="37" t="n">
        <v>8.45</v>
      </c>
      <c r="J69" s="37" t="n">
        <v>8.45</v>
      </c>
      <c r="K69" s="37" t="n">
        <v>0</v>
      </c>
      <c r="L69" s="37" t="n">
        <v>7.17</v>
      </c>
      <c r="M69" s="37" t="n">
        <v>7.17</v>
      </c>
      <c r="N69" s="37" t="n">
        <v>0</v>
      </c>
      <c r="O69" s="15"/>
    </row>
    <row r="70" customFormat="false" ht="15" hidden="false" customHeight="false" outlineLevel="0" collapsed="false">
      <c r="A70" s="13" t="n">
        <v>5006660271</v>
      </c>
      <c r="B70" s="13" t="s">
        <v>168</v>
      </c>
      <c r="C70" s="70" t="n">
        <v>0.5</v>
      </c>
      <c r="D70" s="30" t="n">
        <v>2.873975</v>
      </c>
      <c r="E70" s="35" t="n">
        <v>3.43</v>
      </c>
      <c r="F70" s="35" t="n">
        <v>0.21</v>
      </c>
      <c r="G70" s="35" t="n">
        <v>0</v>
      </c>
      <c r="H70" s="35" t="n">
        <v>0.34</v>
      </c>
      <c r="I70" s="35" t="n">
        <v>3.64</v>
      </c>
      <c r="J70" s="35" t="n">
        <v>3.64</v>
      </c>
      <c r="K70" s="35" t="n">
        <v>0</v>
      </c>
      <c r="L70" s="35" t="n">
        <v>3.09</v>
      </c>
      <c r="M70" s="35" t="n">
        <v>3.09</v>
      </c>
      <c r="N70" s="35" t="n">
        <v>-4.44089209850063E-016</v>
      </c>
      <c r="O70" s="13"/>
    </row>
    <row r="71" customFormat="false" ht="15" hidden="false" customHeight="false" outlineLevel="0" collapsed="false">
      <c r="A71" s="15" t="n">
        <v>5007282311</v>
      </c>
      <c r="B71" s="15" t="s">
        <v>168</v>
      </c>
      <c r="C71" s="69" t="n">
        <v>0.5</v>
      </c>
      <c r="D71" s="31" t="n">
        <v>15.52428</v>
      </c>
      <c r="E71" s="37" t="n">
        <v>18.54</v>
      </c>
      <c r="F71" s="37" t="n">
        <v>1.12</v>
      </c>
      <c r="G71" s="37" t="n">
        <v>0</v>
      </c>
      <c r="H71" s="37" t="n">
        <v>1.85</v>
      </c>
      <c r="I71" s="37" t="n">
        <v>19.66</v>
      </c>
      <c r="J71" s="37" t="n">
        <v>19.66</v>
      </c>
      <c r="K71" s="37" t="n">
        <v>0</v>
      </c>
      <c r="L71" s="37" t="n">
        <v>16.69</v>
      </c>
      <c r="M71" s="37" t="n">
        <v>16.69</v>
      </c>
      <c r="N71" s="37" t="n">
        <v>3.5527136788005E-015</v>
      </c>
      <c r="O71" s="15"/>
    </row>
    <row r="72" customFormat="false" ht="15" hidden="false" customHeight="false" outlineLevel="0" collapsed="false">
      <c r="A72" s="13" t="n">
        <v>5007294811</v>
      </c>
      <c r="B72" s="13" t="s">
        <v>166</v>
      </c>
      <c r="C72" s="70" t="n">
        <v>0.5</v>
      </c>
      <c r="D72" s="30" t="n">
        <v>39.7188</v>
      </c>
      <c r="E72" s="35" t="n">
        <v>23.95</v>
      </c>
      <c r="F72" s="35" t="n">
        <v>1.44</v>
      </c>
      <c r="G72" s="35" t="n">
        <v>0</v>
      </c>
      <c r="H72" s="35" t="n">
        <v>2.39</v>
      </c>
      <c r="I72" s="35" t="n">
        <v>25.39</v>
      </c>
      <c r="J72" s="35" t="n">
        <v>25.39</v>
      </c>
      <c r="K72" s="35" t="n">
        <v>0</v>
      </c>
      <c r="L72" s="35" t="n">
        <v>21.56</v>
      </c>
      <c r="M72" s="35" t="n">
        <v>21.56</v>
      </c>
      <c r="N72" s="35" t="n">
        <v>0</v>
      </c>
      <c r="O72" s="13"/>
    </row>
    <row r="73" customFormat="false" ht="15" hidden="false" customHeight="false" outlineLevel="0" collapsed="false">
      <c r="A73" s="15" t="n">
        <v>5009597461</v>
      </c>
      <c r="B73" s="15" t="s">
        <v>166</v>
      </c>
      <c r="C73" s="69" t="n">
        <v>0.5</v>
      </c>
      <c r="D73" s="31" t="n">
        <v>41.103699</v>
      </c>
      <c r="E73" s="37" t="n">
        <v>24.21</v>
      </c>
      <c r="F73" s="37" t="n">
        <v>1.45</v>
      </c>
      <c r="G73" s="37" t="n">
        <v>0</v>
      </c>
      <c r="H73" s="37" t="n">
        <v>2.42</v>
      </c>
      <c r="I73" s="37" t="n">
        <v>25.66</v>
      </c>
      <c r="J73" s="37" t="n">
        <v>25.66</v>
      </c>
      <c r="K73" s="37" t="n">
        <v>0</v>
      </c>
      <c r="L73" s="37" t="n">
        <v>21.79</v>
      </c>
      <c r="M73" s="37" t="n">
        <v>21.79</v>
      </c>
      <c r="N73" s="37" t="n">
        <v>-3.5527136788005E-015</v>
      </c>
      <c r="O73" s="15"/>
    </row>
    <row r="74" customFormat="false" ht="15" hidden="false" customHeight="false" outlineLevel="0" collapsed="false">
      <c r="A74" s="13" t="n">
        <v>5013948291</v>
      </c>
      <c r="B74" s="13" t="s">
        <v>166</v>
      </c>
      <c r="C74" s="70" t="n">
        <v>0.5</v>
      </c>
      <c r="D74" s="30" t="n">
        <v>36.236801</v>
      </c>
      <c r="E74" s="35" t="n">
        <v>21.15</v>
      </c>
      <c r="F74" s="35" t="n">
        <v>1.27</v>
      </c>
      <c r="G74" s="35" t="n">
        <v>0</v>
      </c>
      <c r="H74" s="35" t="n">
        <v>2.11</v>
      </c>
      <c r="I74" s="35" t="n">
        <v>22.42</v>
      </c>
      <c r="J74" s="35" t="n">
        <v>22.42</v>
      </c>
      <c r="K74" s="35" t="n">
        <v>3.5527136788005E-015</v>
      </c>
      <c r="L74" s="35" t="n">
        <v>19.04</v>
      </c>
      <c r="M74" s="35" t="n">
        <v>19.04</v>
      </c>
      <c r="N74" s="35" t="n">
        <v>-3.5527136788005E-015</v>
      </c>
      <c r="O74" s="13"/>
    </row>
    <row r="75" customFormat="false" ht="15" hidden="false" customHeight="false" outlineLevel="0" collapsed="false">
      <c r="A75" s="15" t="n">
        <v>5015391051</v>
      </c>
      <c r="B75" s="15" t="s">
        <v>166</v>
      </c>
      <c r="C75" s="69" t="n">
        <v>0.5</v>
      </c>
      <c r="D75" s="31" t="n">
        <v>36.759499</v>
      </c>
      <c r="E75" s="37" t="n">
        <v>24.35</v>
      </c>
      <c r="F75" s="37" t="n">
        <v>1.46</v>
      </c>
      <c r="G75" s="37" t="n">
        <v>0</v>
      </c>
      <c r="H75" s="37" t="n">
        <v>2.43</v>
      </c>
      <c r="I75" s="37" t="n">
        <v>25.81</v>
      </c>
      <c r="J75" s="37" t="n">
        <v>25.81</v>
      </c>
      <c r="K75" s="37" t="n">
        <v>-3.5527136788005E-015</v>
      </c>
      <c r="L75" s="37" t="n">
        <v>21.92</v>
      </c>
      <c r="M75" s="37" t="n">
        <v>21.92</v>
      </c>
      <c r="N75" s="37" t="n">
        <v>3.5527136788005E-015</v>
      </c>
      <c r="O75" s="15"/>
    </row>
    <row r="76" customFormat="false" ht="15" hidden="false" customHeight="false" outlineLevel="0" collapsed="false">
      <c r="A76" s="13" t="n">
        <v>5018498521</v>
      </c>
      <c r="B76" s="13" t="s">
        <v>166</v>
      </c>
      <c r="C76" s="70" t="n">
        <v>0.5</v>
      </c>
      <c r="D76" s="30" t="n">
        <v>31.748699</v>
      </c>
      <c r="E76" s="35" t="n">
        <v>18.99</v>
      </c>
      <c r="F76" s="35" t="n">
        <v>1.14</v>
      </c>
      <c r="G76" s="35" t="n">
        <v>0</v>
      </c>
      <c r="H76" s="35" t="n">
        <v>1.9</v>
      </c>
      <c r="I76" s="35" t="n">
        <v>20.13</v>
      </c>
      <c r="J76" s="35" t="n">
        <v>20.13</v>
      </c>
      <c r="K76" s="35" t="n">
        <v>0</v>
      </c>
      <c r="L76" s="35" t="n">
        <v>17.09</v>
      </c>
      <c r="M76" s="35" t="n">
        <v>17.09</v>
      </c>
      <c r="N76" s="35" t="n">
        <v>0</v>
      </c>
      <c r="O76" s="13"/>
    </row>
    <row r="77" customFormat="false" ht="15" hidden="false" customHeight="false" outlineLevel="0" collapsed="false">
      <c r="A77" s="15" t="n">
        <v>5041429431</v>
      </c>
      <c r="B77" s="15" t="s">
        <v>166</v>
      </c>
      <c r="C77" s="69" t="n">
        <v>0.5</v>
      </c>
      <c r="D77" s="31" t="n">
        <v>25.6824</v>
      </c>
      <c r="E77" s="37" t="n">
        <v>15.02</v>
      </c>
      <c r="F77" s="37" t="n">
        <v>0.9</v>
      </c>
      <c r="G77" s="37" t="n">
        <v>0</v>
      </c>
      <c r="H77" s="37" t="n">
        <v>1.5</v>
      </c>
      <c r="I77" s="37" t="n">
        <v>15.92</v>
      </c>
      <c r="J77" s="37" t="n">
        <v>15.92</v>
      </c>
      <c r="K77" s="37" t="n">
        <v>0</v>
      </c>
      <c r="L77" s="37" t="n">
        <v>13.52</v>
      </c>
      <c r="M77" s="37" t="n">
        <v>13.52</v>
      </c>
      <c r="N77" s="37" t="n">
        <v>0</v>
      </c>
      <c r="O77" s="15"/>
    </row>
    <row r="78" customFormat="false" ht="15" hidden="false" customHeight="false" outlineLevel="0" collapsed="false">
      <c r="A78" s="13" t="n">
        <v>5020281831</v>
      </c>
      <c r="B78" s="13" t="s">
        <v>166</v>
      </c>
      <c r="C78" s="70" t="n">
        <v>0.5</v>
      </c>
      <c r="D78" s="30" t="n">
        <v>65.881104</v>
      </c>
      <c r="E78" s="35" t="n">
        <v>39.08</v>
      </c>
      <c r="F78" s="35" t="n">
        <v>2.35</v>
      </c>
      <c r="G78" s="35" t="n">
        <v>0</v>
      </c>
      <c r="H78" s="35" t="n">
        <v>3.91</v>
      </c>
      <c r="I78" s="35" t="n">
        <v>41.43</v>
      </c>
      <c r="J78" s="35" t="n">
        <v>41.43</v>
      </c>
      <c r="K78" s="35" t="n">
        <v>0</v>
      </c>
      <c r="L78" s="35" t="n">
        <v>35.17</v>
      </c>
      <c r="M78" s="35" t="n">
        <v>35.17</v>
      </c>
      <c r="N78" s="35" t="n">
        <v>7.105427357601E-015</v>
      </c>
      <c r="O78" s="13"/>
    </row>
    <row r="79" customFormat="false" ht="15" hidden="false" customHeight="false" outlineLevel="0" collapsed="false">
      <c r="A79" s="15" t="n">
        <v>5025598461</v>
      </c>
      <c r="B79" s="15" t="s">
        <v>166</v>
      </c>
      <c r="C79" s="69" t="n">
        <v>0.5</v>
      </c>
      <c r="D79" s="31" t="n">
        <v>31.3939</v>
      </c>
      <c r="E79" s="37" t="n">
        <v>18.97</v>
      </c>
      <c r="F79" s="37" t="n">
        <v>1.14</v>
      </c>
      <c r="G79" s="37" t="n">
        <v>0</v>
      </c>
      <c r="H79" s="37" t="n">
        <v>1.9</v>
      </c>
      <c r="I79" s="37" t="n">
        <v>20.11</v>
      </c>
      <c r="J79" s="37" t="n">
        <v>20.11</v>
      </c>
      <c r="K79" s="37" t="n">
        <v>0</v>
      </c>
      <c r="L79" s="37" t="n">
        <v>17.07</v>
      </c>
      <c r="M79" s="37" t="n">
        <v>17.07</v>
      </c>
      <c r="N79" s="37" t="n">
        <v>0</v>
      </c>
      <c r="O79" s="15"/>
    </row>
    <row r="80" customFormat="false" ht="15" hidden="false" customHeight="false" outlineLevel="0" collapsed="false">
      <c r="A80" s="13" t="n">
        <v>5025845291</v>
      </c>
      <c r="B80" s="13" t="s">
        <v>166</v>
      </c>
      <c r="C80" s="70" t="n">
        <v>0.5</v>
      </c>
      <c r="D80" s="30" t="n">
        <v>2.6384</v>
      </c>
      <c r="E80" s="35" t="n">
        <v>1.6</v>
      </c>
      <c r="F80" s="35" t="n">
        <v>0.1</v>
      </c>
      <c r="G80" s="35" t="n">
        <v>0</v>
      </c>
      <c r="H80" s="35" t="n">
        <v>0.16</v>
      </c>
      <c r="I80" s="35" t="n">
        <v>1.7</v>
      </c>
      <c r="J80" s="35" t="n">
        <v>1.7</v>
      </c>
      <c r="K80" s="35" t="n">
        <v>-2.22044604925031E-016</v>
      </c>
      <c r="L80" s="35" t="n">
        <v>1.44</v>
      </c>
      <c r="M80" s="35" t="n">
        <v>1.44</v>
      </c>
      <c r="N80" s="35" t="n">
        <v>0</v>
      </c>
      <c r="O80" s="13"/>
    </row>
    <row r="81" customFormat="false" ht="15" hidden="false" customHeight="false" outlineLevel="0" collapsed="false">
      <c r="A81" s="15" t="n">
        <v>5025857211</v>
      </c>
      <c r="B81" s="15" t="s">
        <v>166</v>
      </c>
      <c r="C81" s="69" t="n">
        <v>0.5</v>
      </c>
      <c r="D81" s="31" t="n">
        <v>64.622597</v>
      </c>
      <c r="E81" s="37" t="n">
        <v>39.25</v>
      </c>
      <c r="F81" s="37" t="n">
        <v>2.36</v>
      </c>
      <c r="G81" s="37" t="n">
        <v>0</v>
      </c>
      <c r="H81" s="37" t="n">
        <v>3.92</v>
      </c>
      <c r="I81" s="37" t="n">
        <v>41.61</v>
      </c>
      <c r="J81" s="37" t="n">
        <v>41.61</v>
      </c>
      <c r="K81" s="37" t="n">
        <v>0</v>
      </c>
      <c r="L81" s="37" t="n">
        <v>35.33</v>
      </c>
      <c r="M81" s="37" t="n">
        <v>35.33</v>
      </c>
      <c r="N81" s="37" t="n">
        <v>0</v>
      </c>
      <c r="O81" s="15"/>
    </row>
    <row r="82" customFormat="false" ht="15" hidden="false" customHeight="false" outlineLevel="0" collapsed="false">
      <c r="A82" s="13" t="n">
        <v>5026498581</v>
      </c>
      <c r="B82" s="13" t="s">
        <v>166</v>
      </c>
      <c r="C82" s="70" t="n">
        <v>0.5</v>
      </c>
      <c r="D82" s="30" t="n">
        <v>24.4993</v>
      </c>
      <c r="E82" s="35" t="n">
        <v>14.77</v>
      </c>
      <c r="F82" s="35" t="n">
        <v>0.89</v>
      </c>
      <c r="G82" s="35" t="n">
        <v>0</v>
      </c>
      <c r="H82" s="35" t="n">
        <v>1.48</v>
      </c>
      <c r="I82" s="35" t="n">
        <v>15.66</v>
      </c>
      <c r="J82" s="35" t="n">
        <v>15.66</v>
      </c>
      <c r="K82" s="35" t="n">
        <v>0</v>
      </c>
      <c r="L82" s="35" t="n">
        <v>13.29</v>
      </c>
      <c r="M82" s="35" t="n">
        <v>13.29</v>
      </c>
      <c r="N82" s="35" t="n">
        <v>0</v>
      </c>
      <c r="O82" s="13"/>
    </row>
    <row r="83" customFormat="false" ht="15" hidden="false" customHeight="false" outlineLevel="0" collapsed="false">
      <c r="A83" s="15" t="n">
        <v>5028024991</v>
      </c>
      <c r="B83" s="15" t="s">
        <v>166</v>
      </c>
      <c r="C83" s="69" t="n">
        <v>0.5</v>
      </c>
      <c r="D83" s="31" t="n">
        <v>19.6896</v>
      </c>
      <c r="E83" s="37" t="n">
        <v>12.01</v>
      </c>
      <c r="F83" s="37" t="n">
        <v>0.72</v>
      </c>
      <c r="G83" s="37" t="n">
        <v>0</v>
      </c>
      <c r="H83" s="37" t="n">
        <v>1.2</v>
      </c>
      <c r="I83" s="37" t="n">
        <v>12.73</v>
      </c>
      <c r="J83" s="37" t="n">
        <v>12.73</v>
      </c>
      <c r="K83" s="37" t="n">
        <v>0</v>
      </c>
      <c r="L83" s="37" t="n">
        <v>10.81</v>
      </c>
      <c r="M83" s="37" t="n">
        <v>10.81</v>
      </c>
      <c r="N83" s="37" t="n">
        <v>0</v>
      </c>
      <c r="O83" s="15"/>
    </row>
    <row r="84" customFormat="false" ht="15" hidden="false" customHeight="false" outlineLevel="0" collapsed="false">
      <c r="A84" s="13" t="n">
        <v>5028658161</v>
      </c>
      <c r="B84" s="13" t="s">
        <v>166</v>
      </c>
      <c r="C84" s="70" t="n">
        <v>0.5</v>
      </c>
      <c r="D84" s="30" t="n">
        <v>29.5294</v>
      </c>
      <c r="E84" s="35" t="n">
        <v>18.34</v>
      </c>
      <c r="F84" s="35" t="n">
        <v>1.1</v>
      </c>
      <c r="G84" s="35" t="n">
        <v>0</v>
      </c>
      <c r="H84" s="35" t="n">
        <v>1.83</v>
      </c>
      <c r="I84" s="35" t="n">
        <v>19.44</v>
      </c>
      <c r="J84" s="35" t="n">
        <v>19.44</v>
      </c>
      <c r="K84" s="35" t="n">
        <v>0</v>
      </c>
      <c r="L84" s="35" t="n">
        <v>16.51</v>
      </c>
      <c r="M84" s="35" t="n">
        <v>16.51</v>
      </c>
      <c r="N84" s="35" t="n">
        <v>3.5527136788005E-015</v>
      </c>
      <c r="O84" s="13"/>
    </row>
    <row r="85" customFormat="false" ht="15" hidden="false" customHeight="false" outlineLevel="0" collapsed="false">
      <c r="A85" s="15" t="n">
        <v>5029103421</v>
      </c>
      <c r="B85" s="15" t="s">
        <v>166</v>
      </c>
      <c r="C85" s="69" t="n">
        <v>0.5</v>
      </c>
      <c r="D85" s="31" t="n">
        <v>7.4431</v>
      </c>
      <c r="E85" s="37" t="n">
        <v>4.48</v>
      </c>
      <c r="F85" s="37" t="n">
        <v>0.27</v>
      </c>
      <c r="G85" s="37" t="n">
        <v>0</v>
      </c>
      <c r="H85" s="37" t="n">
        <v>0.45</v>
      </c>
      <c r="I85" s="37" t="n">
        <v>4.75</v>
      </c>
      <c r="J85" s="37" t="n">
        <v>4.75</v>
      </c>
      <c r="K85" s="37" t="n">
        <v>0</v>
      </c>
      <c r="L85" s="37" t="n">
        <v>4.03</v>
      </c>
      <c r="M85" s="37" t="n">
        <v>4.03</v>
      </c>
      <c r="N85" s="37" t="n">
        <v>8.88178419700125E-016</v>
      </c>
      <c r="O85" s="15"/>
    </row>
    <row r="86" customFormat="false" ht="15" hidden="false" customHeight="false" outlineLevel="0" collapsed="false">
      <c r="A86" s="13" t="n">
        <v>5030585331</v>
      </c>
      <c r="B86" s="13" t="s">
        <v>166</v>
      </c>
      <c r="C86" s="70" t="n">
        <v>0.5</v>
      </c>
      <c r="D86" s="30" t="n">
        <v>45.835899</v>
      </c>
      <c r="E86" s="35" t="n">
        <v>28.58</v>
      </c>
      <c r="F86" s="35" t="n">
        <v>1.72</v>
      </c>
      <c r="G86" s="35" t="n">
        <v>0</v>
      </c>
      <c r="H86" s="35" t="n">
        <v>2.86</v>
      </c>
      <c r="I86" s="35" t="n">
        <v>30.3</v>
      </c>
      <c r="J86" s="35" t="n">
        <v>30.3</v>
      </c>
      <c r="K86" s="35" t="n">
        <v>3.5527136788005E-015</v>
      </c>
      <c r="L86" s="35" t="n">
        <v>25.72</v>
      </c>
      <c r="M86" s="35" t="n">
        <v>25.72</v>
      </c>
      <c r="N86" s="35" t="n">
        <v>-3.5527136788005E-015</v>
      </c>
      <c r="O86" s="13"/>
    </row>
    <row r="87" customFormat="false" ht="15" hidden="false" customHeight="false" outlineLevel="0" collapsed="false">
      <c r="A87" s="15" t="n">
        <v>5031194051</v>
      </c>
      <c r="B87" s="15" t="s">
        <v>166</v>
      </c>
      <c r="C87" s="69" t="n">
        <v>0.5</v>
      </c>
      <c r="D87" s="31" t="n">
        <v>33.451698</v>
      </c>
      <c r="E87" s="37" t="n">
        <v>19.71</v>
      </c>
      <c r="F87" s="37" t="n">
        <v>1.18</v>
      </c>
      <c r="G87" s="37" t="n">
        <v>0</v>
      </c>
      <c r="H87" s="37" t="n">
        <v>1.97</v>
      </c>
      <c r="I87" s="37" t="n">
        <v>20.89</v>
      </c>
      <c r="J87" s="37" t="n">
        <v>20.89</v>
      </c>
      <c r="K87" s="37" t="n">
        <v>0</v>
      </c>
      <c r="L87" s="37" t="n">
        <v>17.74</v>
      </c>
      <c r="M87" s="37" t="n">
        <v>17.74</v>
      </c>
      <c r="N87" s="37" t="n">
        <v>-3.5527136788005E-015</v>
      </c>
      <c r="O87" s="15"/>
    </row>
    <row r="88" customFormat="false" ht="15" hidden="false" customHeight="false" outlineLevel="0" collapsed="false">
      <c r="A88" s="13" t="n">
        <v>5031508871</v>
      </c>
      <c r="B88" s="13" t="s">
        <v>166</v>
      </c>
      <c r="C88" s="70" t="n">
        <v>0.5</v>
      </c>
      <c r="D88" s="30" t="n">
        <v>22.333099</v>
      </c>
      <c r="E88" s="35" t="n">
        <v>13.33</v>
      </c>
      <c r="F88" s="35" t="n">
        <v>0.8</v>
      </c>
      <c r="G88" s="35" t="n">
        <v>0</v>
      </c>
      <c r="H88" s="35" t="n">
        <v>1.33</v>
      </c>
      <c r="I88" s="35" t="n">
        <v>14.13</v>
      </c>
      <c r="J88" s="35" t="n">
        <v>14.13</v>
      </c>
      <c r="K88" s="35" t="n">
        <v>0</v>
      </c>
      <c r="L88" s="35" t="n">
        <v>12</v>
      </c>
      <c r="M88" s="35" t="n">
        <v>12</v>
      </c>
      <c r="N88" s="35" t="n">
        <v>0</v>
      </c>
      <c r="O88" s="13"/>
    </row>
    <row r="89" customFormat="false" ht="15" hidden="false" customHeight="false" outlineLevel="0" collapsed="false">
      <c r="A89" s="15" t="n">
        <v>5033803371</v>
      </c>
      <c r="B89" s="15" t="s">
        <v>166</v>
      </c>
      <c r="C89" s="69" t="n">
        <v>0.5</v>
      </c>
      <c r="D89" s="31" t="n">
        <v>79.641098</v>
      </c>
      <c r="E89" s="37" t="n">
        <v>48.02</v>
      </c>
      <c r="F89" s="37" t="n">
        <v>2.88</v>
      </c>
      <c r="G89" s="37" t="n">
        <v>0</v>
      </c>
      <c r="H89" s="37" t="n">
        <v>4.8</v>
      </c>
      <c r="I89" s="37" t="n">
        <v>50.9</v>
      </c>
      <c r="J89" s="37" t="n">
        <v>50.9</v>
      </c>
      <c r="K89" s="37" t="n">
        <v>-7.105427357601E-015</v>
      </c>
      <c r="L89" s="37" t="n">
        <v>43.22</v>
      </c>
      <c r="M89" s="37" t="n">
        <v>43.22</v>
      </c>
      <c r="N89" s="37" t="n">
        <v>0</v>
      </c>
      <c r="O89" s="15"/>
    </row>
    <row r="90" customFormat="false" ht="15" hidden="false" customHeight="false" outlineLevel="0" collapsed="false">
      <c r="A90" s="13" t="n">
        <v>5116073421</v>
      </c>
      <c r="B90" s="13" t="s">
        <v>168</v>
      </c>
      <c r="C90" s="70" t="n">
        <v>0.5</v>
      </c>
      <c r="D90" s="30" t="n">
        <v>7.369006</v>
      </c>
      <c r="E90" s="35" t="n">
        <v>8.94</v>
      </c>
      <c r="F90" s="35" t="n">
        <v>0.54</v>
      </c>
      <c r="G90" s="35" t="n">
        <v>0</v>
      </c>
      <c r="H90" s="35" t="n">
        <v>0.89</v>
      </c>
      <c r="I90" s="35" t="n">
        <v>9.48</v>
      </c>
      <c r="J90" s="35" t="n">
        <v>9.48</v>
      </c>
      <c r="K90" s="35" t="n">
        <v>0</v>
      </c>
      <c r="L90" s="35" t="n">
        <v>8.05</v>
      </c>
      <c r="M90" s="35" t="n">
        <v>8.05</v>
      </c>
      <c r="N90" s="35" t="n">
        <v>0</v>
      </c>
      <c r="O90" s="13"/>
    </row>
    <row r="91" customFormat="false" ht="15" hidden="false" customHeight="false" outlineLevel="0" collapsed="false">
      <c r="A91" s="15" t="n">
        <v>5119565261</v>
      </c>
      <c r="B91" s="15" t="s">
        <v>166</v>
      </c>
      <c r="C91" s="69" t="n">
        <v>0.5</v>
      </c>
      <c r="D91" s="31" t="n">
        <v>11.0811</v>
      </c>
      <c r="E91" s="37" t="n">
        <v>8.57</v>
      </c>
      <c r="F91" s="37" t="n">
        <v>0.51</v>
      </c>
      <c r="G91" s="37" t="n">
        <v>0</v>
      </c>
      <c r="H91" s="37" t="n">
        <v>0.86</v>
      </c>
      <c r="I91" s="37" t="n">
        <v>9.08</v>
      </c>
      <c r="J91" s="37" t="n">
        <v>9.08</v>
      </c>
      <c r="K91" s="37" t="n">
        <v>0</v>
      </c>
      <c r="L91" s="37" t="n">
        <v>7.71</v>
      </c>
      <c r="M91" s="37" t="n">
        <v>7.71</v>
      </c>
      <c r="N91" s="37" t="n">
        <v>-8.88178419700125E-016</v>
      </c>
      <c r="O91" s="15"/>
    </row>
    <row r="92" customFormat="false" ht="15" hidden="false" customHeight="false" outlineLevel="0" collapsed="false">
      <c r="A92" s="13" t="n">
        <v>4988062341</v>
      </c>
      <c r="B92" s="13" t="s">
        <v>166</v>
      </c>
      <c r="C92" s="70" t="n">
        <v>0.5</v>
      </c>
      <c r="D92" s="30" t="n">
        <v>11.5198</v>
      </c>
      <c r="E92" s="35" t="n">
        <v>6.78</v>
      </c>
      <c r="F92" s="35" t="n">
        <v>0.41</v>
      </c>
      <c r="G92" s="35" t="n">
        <v>0</v>
      </c>
      <c r="H92" s="35" t="n">
        <v>0.68</v>
      </c>
      <c r="I92" s="35" t="n">
        <v>7.19</v>
      </c>
      <c r="J92" s="35" t="n">
        <v>7.19</v>
      </c>
      <c r="K92" s="35" t="n">
        <v>0</v>
      </c>
      <c r="L92" s="35" t="n">
        <v>6.1</v>
      </c>
      <c r="M92" s="35" t="n">
        <v>6.1</v>
      </c>
      <c r="N92" s="35" t="n">
        <v>-8.88178419700125E-016</v>
      </c>
      <c r="O92" s="13"/>
    </row>
    <row r="93" customFormat="false" ht="15" hidden="false" customHeight="false" outlineLevel="0" collapsed="false">
      <c r="A93" s="15" t="n">
        <v>5273887981</v>
      </c>
      <c r="B93" s="15" t="s">
        <v>166</v>
      </c>
      <c r="C93" s="69" t="n">
        <v>0.5</v>
      </c>
      <c r="D93" s="31" t="n">
        <v>0</v>
      </c>
      <c r="E93" s="37" t="n">
        <v>0.27</v>
      </c>
      <c r="F93" s="37" t="n">
        <v>0.02</v>
      </c>
      <c r="G93" s="37" t="n">
        <v>0</v>
      </c>
      <c r="H93" s="37" t="n">
        <v>0.03</v>
      </c>
      <c r="I93" s="37" t="n">
        <v>0.29</v>
      </c>
      <c r="J93" s="37" t="n">
        <v>0.29</v>
      </c>
      <c r="K93" s="37" t="n">
        <v>-5.55111512312578E-017</v>
      </c>
      <c r="L93" s="37" t="n">
        <v>0.24</v>
      </c>
      <c r="M93" s="37" t="n">
        <v>0.24</v>
      </c>
      <c r="N93" s="37" t="n">
        <v>-2.77555756156289E-017</v>
      </c>
      <c r="O93" s="15"/>
    </row>
    <row r="94" customFormat="false" ht="15" hidden="false" customHeight="false" outlineLevel="0" collapsed="false">
      <c r="A94" s="13" t="n">
        <v>5223513971</v>
      </c>
      <c r="B94" s="13" t="s">
        <v>166</v>
      </c>
      <c r="C94" s="70" t="n">
        <v>0.5</v>
      </c>
      <c r="D94" s="30" t="n">
        <v>37.6015</v>
      </c>
      <c r="E94" s="35" t="n">
        <v>23.86</v>
      </c>
      <c r="F94" s="35" t="n">
        <v>1.43</v>
      </c>
      <c r="G94" s="35" t="n">
        <v>0.49</v>
      </c>
      <c r="H94" s="35" t="n">
        <v>2.39</v>
      </c>
      <c r="I94" s="35" t="n">
        <v>25.78</v>
      </c>
      <c r="J94" s="35" t="n">
        <v>25.78</v>
      </c>
      <c r="K94" s="35" t="n">
        <v>3.5527136788005E-015</v>
      </c>
      <c r="L94" s="35" t="n">
        <v>21.47</v>
      </c>
      <c r="M94" s="35" t="n">
        <v>21.47</v>
      </c>
      <c r="N94" s="35" t="n">
        <v>-3.5527136788005E-015</v>
      </c>
      <c r="O94" s="13"/>
    </row>
    <row r="95" customFormat="false" ht="15" hidden="false" customHeight="false" outlineLevel="0" collapsed="false">
      <c r="A95" s="15" t="n">
        <v>5224570431</v>
      </c>
      <c r="B95" s="15" t="s">
        <v>166</v>
      </c>
      <c r="C95" s="69" t="n">
        <v>0.5</v>
      </c>
      <c r="D95" s="31" t="n">
        <v>20.8099</v>
      </c>
      <c r="E95" s="37" t="n">
        <v>13.9</v>
      </c>
      <c r="F95" s="37" t="n">
        <v>0.83</v>
      </c>
      <c r="G95" s="37" t="n">
        <v>0.49</v>
      </c>
      <c r="H95" s="37" t="n">
        <v>1.39</v>
      </c>
      <c r="I95" s="37" t="n">
        <v>15.22</v>
      </c>
      <c r="J95" s="37" t="n">
        <v>15.22</v>
      </c>
      <c r="K95" s="37" t="n">
        <v>0</v>
      </c>
      <c r="L95" s="37" t="n">
        <v>12.51</v>
      </c>
      <c r="M95" s="37" t="n">
        <v>12.51</v>
      </c>
      <c r="N95" s="37" t="n">
        <v>0</v>
      </c>
      <c r="O95" s="15"/>
    </row>
    <row r="96" customFormat="false" ht="15" hidden="false" customHeight="false" outlineLevel="0" collapsed="false">
      <c r="A96" s="13" t="n">
        <v>5226248341</v>
      </c>
      <c r="B96" s="13" t="s">
        <v>166</v>
      </c>
      <c r="C96" s="70" t="n">
        <v>0.5</v>
      </c>
      <c r="D96" s="30" t="n">
        <v>27.5466</v>
      </c>
      <c r="E96" s="35" t="n">
        <v>17.37</v>
      </c>
      <c r="F96" s="35" t="n">
        <v>1.05</v>
      </c>
      <c r="G96" s="35" t="n">
        <v>0</v>
      </c>
      <c r="H96" s="35" t="n">
        <v>1.74</v>
      </c>
      <c r="I96" s="35" t="n">
        <v>18.42</v>
      </c>
      <c r="J96" s="35" t="n">
        <v>18.42</v>
      </c>
      <c r="K96" s="35" t="n">
        <v>0</v>
      </c>
      <c r="L96" s="35" t="n">
        <v>15.63</v>
      </c>
      <c r="M96" s="35" t="n">
        <v>15.63</v>
      </c>
      <c r="N96" s="35" t="n">
        <v>-1.77635683940025E-015</v>
      </c>
      <c r="O96" s="13"/>
    </row>
    <row r="97" customFormat="false" ht="15" hidden="false" customHeight="false" outlineLevel="0" collapsed="false">
      <c r="A97" s="15" t="n">
        <v>5228900601</v>
      </c>
      <c r="B97" s="15" t="s">
        <v>166</v>
      </c>
      <c r="C97" s="69" t="n">
        <v>0.5</v>
      </c>
      <c r="D97" s="31" t="n">
        <v>0</v>
      </c>
      <c r="E97" s="37" t="n">
        <v>0.24</v>
      </c>
      <c r="F97" s="37" t="n">
        <v>0.01</v>
      </c>
      <c r="G97" s="37" t="n">
        <v>0</v>
      </c>
      <c r="H97" s="37" t="n">
        <v>0.02</v>
      </c>
      <c r="I97" s="37" t="n">
        <v>0.25</v>
      </c>
      <c r="J97" s="37" t="n">
        <v>0.25</v>
      </c>
      <c r="K97" s="37" t="n">
        <v>0</v>
      </c>
      <c r="L97" s="37" t="n">
        <v>0.22</v>
      </c>
      <c r="M97" s="37" t="n">
        <v>0.22</v>
      </c>
      <c r="N97" s="37" t="n">
        <v>0</v>
      </c>
      <c r="O97" s="15"/>
    </row>
    <row r="98" customFormat="false" ht="15" hidden="false" customHeight="false" outlineLevel="0" collapsed="false">
      <c r="A98" s="13" t="n">
        <v>5229836451</v>
      </c>
      <c r="B98" s="13" t="s">
        <v>166</v>
      </c>
      <c r="C98" s="70" t="n">
        <v>0.5</v>
      </c>
      <c r="D98" s="30" t="n">
        <v>16.1638</v>
      </c>
      <c r="E98" s="35" t="n">
        <v>12.07</v>
      </c>
      <c r="F98" s="35" t="n">
        <v>0.72</v>
      </c>
      <c r="G98" s="35" t="n">
        <v>0.99</v>
      </c>
      <c r="H98" s="35" t="n">
        <v>1.21</v>
      </c>
      <c r="I98" s="35" t="n">
        <v>13.78</v>
      </c>
      <c r="J98" s="35" t="n">
        <v>13.78</v>
      </c>
      <c r="K98" s="35" t="n">
        <v>-1.77635683940025E-015</v>
      </c>
      <c r="L98" s="35" t="n">
        <v>10.86</v>
      </c>
      <c r="M98" s="35" t="n">
        <v>10.86</v>
      </c>
      <c r="N98" s="35" t="n">
        <v>1.77635683940025E-015</v>
      </c>
      <c r="O98" s="13"/>
    </row>
    <row r="99" customFormat="false" ht="15" hidden="false" customHeight="false" outlineLevel="0" collapsed="false">
      <c r="A99" s="15" t="n">
        <v>5232460471</v>
      </c>
      <c r="B99" s="15" t="s">
        <v>166</v>
      </c>
      <c r="C99" s="69" t="n">
        <v>0.5</v>
      </c>
      <c r="D99" s="31" t="n">
        <v>46.2622</v>
      </c>
      <c r="E99" s="37" t="n">
        <v>30.95</v>
      </c>
      <c r="F99" s="37" t="n">
        <v>1.86</v>
      </c>
      <c r="G99" s="37" t="n">
        <v>0.99</v>
      </c>
      <c r="H99" s="37" t="n">
        <v>3.09</v>
      </c>
      <c r="I99" s="37" t="n">
        <v>33.8</v>
      </c>
      <c r="J99" s="37" t="n">
        <v>33.8</v>
      </c>
      <c r="K99" s="37" t="n">
        <v>-7.105427357601E-015</v>
      </c>
      <c r="L99" s="37" t="n">
        <v>27.86</v>
      </c>
      <c r="M99" s="37" t="n">
        <v>27.86</v>
      </c>
      <c r="N99" s="37" t="n">
        <v>3.5527136788005E-015</v>
      </c>
      <c r="O99" s="15"/>
    </row>
    <row r="100" customFormat="false" ht="15" hidden="false" customHeight="false" outlineLevel="0" collapsed="false">
      <c r="A100" s="13" t="n">
        <v>5241344421</v>
      </c>
      <c r="B100" s="13" t="s">
        <v>166</v>
      </c>
      <c r="C100" s="70" t="n">
        <v>0.5</v>
      </c>
      <c r="D100" s="30" t="n">
        <v>33.7246</v>
      </c>
      <c r="E100" s="35" t="n">
        <v>21.19</v>
      </c>
      <c r="F100" s="35" t="n">
        <v>1.27</v>
      </c>
      <c r="G100" s="35" t="n">
        <v>0.49</v>
      </c>
      <c r="H100" s="35" t="n">
        <v>2.12</v>
      </c>
      <c r="I100" s="35" t="n">
        <v>22.95</v>
      </c>
      <c r="J100" s="35" t="n">
        <v>22.95</v>
      </c>
      <c r="K100" s="35" t="n">
        <v>0</v>
      </c>
      <c r="L100" s="35" t="n">
        <v>19.07</v>
      </c>
      <c r="M100" s="35" t="n">
        <v>19.07</v>
      </c>
      <c r="N100" s="35" t="n">
        <v>0</v>
      </c>
      <c r="O100" s="13"/>
    </row>
    <row r="101" customFormat="false" ht="15" hidden="false" customHeight="false" outlineLevel="0" collapsed="false">
      <c r="A101" s="15" t="n">
        <v>5242944321</v>
      </c>
      <c r="B101" s="15" t="s">
        <v>166</v>
      </c>
      <c r="C101" s="69" t="n">
        <v>0.5</v>
      </c>
      <c r="D101" s="31" t="n">
        <v>26.944</v>
      </c>
      <c r="E101" s="37" t="n">
        <v>16.91</v>
      </c>
      <c r="F101" s="37" t="n">
        <v>1.02</v>
      </c>
      <c r="G101" s="37" t="n">
        <v>0.49</v>
      </c>
      <c r="H101" s="37" t="n">
        <v>1.69</v>
      </c>
      <c r="I101" s="37" t="n">
        <v>18.42</v>
      </c>
      <c r="J101" s="37" t="n">
        <v>18.42</v>
      </c>
      <c r="K101" s="37" t="n">
        <v>3.5527136788005E-015</v>
      </c>
      <c r="L101" s="37" t="n">
        <v>15.22</v>
      </c>
      <c r="M101" s="37" t="n">
        <v>15.22</v>
      </c>
      <c r="N101" s="37" t="n">
        <v>-1.77635683940025E-015</v>
      </c>
      <c r="O101" s="15"/>
    </row>
    <row r="102" customFormat="false" ht="15" hidden="false" customHeight="false" outlineLevel="0" collapsed="false">
      <c r="A102" s="13" t="n">
        <v>5259491611</v>
      </c>
      <c r="B102" s="13" t="s">
        <v>166</v>
      </c>
      <c r="C102" s="70" t="n">
        <v>0.5</v>
      </c>
      <c r="D102" s="30" t="n">
        <v>39.3949</v>
      </c>
      <c r="E102" s="35" t="n">
        <v>25.19</v>
      </c>
      <c r="F102" s="35" t="n">
        <v>1.51</v>
      </c>
      <c r="G102" s="35" t="n">
        <v>0</v>
      </c>
      <c r="H102" s="35" t="n">
        <v>2.52</v>
      </c>
      <c r="I102" s="35" t="n">
        <v>26.7</v>
      </c>
      <c r="J102" s="35" t="n">
        <v>26.7</v>
      </c>
      <c r="K102" s="35" t="n">
        <v>-3.5527136788005E-015</v>
      </c>
      <c r="L102" s="35" t="n">
        <v>22.67</v>
      </c>
      <c r="M102" s="35" t="n">
        <v>22.67</v>
      </c>
      <c r="N102" s="35" t="n">
        <v>3.5527136788005E-015</v>
      </c>
      <c r="O102" s="13"/>
    </row>
    <row r="103" customFormat="false" ht="15" hidden="false" customHeight="false" outlineLevel="0" collapsed="false">
      <c r="A103" s="15" t="n">
        <v>5259865251</v>
      </c>
      <c r="B103" s="15" t="s">
        <v>166</v>
      </c>
      <c r="C103" s="69" t="n">
        <v>0.5</v>
      </c>
      <c r="D103" s="31" t="n">
        <v>8.4955</v>
      </c>
      <c r="E103" s="37" t="n">
        <v>5.61</v>
      </c>
      <c r="F103" s="37" t="n">
        <v>0.34</v>
      </c>
      <c r="G103" s="37" t="n">
        <v>0.49</v>
      </c>
      <c r="H103" s="37" t="n">
        <v>0.56</v>
      </c>
      <c r="I103" s="37" t="n">
        <v>6.44</v>
      </c>
      <c r="J103" s="37" t="n">
        <v>6.44</v>
      </c>
      <c r="K103" s="37" t="n">
        <v>0</v>
      </c>
      <c r="L103" s="37" t="n">
        <v>5.05</v>
      </c>
      <c r="M103" s="37" t="n">
        <v>5.05</v>
      </c>
      <c r="N103" s="37" t="n">
        <v>-8.88178419700125E-016</v>
      </c>
      <c r="O103" s="15"/>
    </row>
    <row r="104" customFormat="false" ht="15" hidden="false" customHeight="false" outlineLevel="0" collapsed="false">
      <c r="A104" s="13" t="n">
        <v>5262893371</v>
      </c>
      <c r="B104" s="13" t="s">
        <v>166</v>
      </c>
      <c r="C104" s="70" t="n">
        <v>0.5</v>
      </c>
      <c r="D104" s="30" t="n">
        <v>27.8244</v>
      </c>
      <c r="E104" s="35" t="n">
        <v>18.06</v>
      </c>
      <c r="F104" s="35" t="n">
        <v>1.08</v>
      </c>
      <c r="G104" s="35" t="n">
        <v>0</v>
      </c>
      <c r="H104" s="35" t="n">
        <v>1.81</v>
      </c>
      <c r="I104" s="35" t="n">
        <v>19.14</v>
      </c>
      <c r="J104" s="35" t="n">
        <v>19.14</v>
      </c>
      <c r="K104" s="35" t="n">
        <v>0</v>
      </c>
      <c r="L104" s="35" t="n">
        <v>16.25</v>
      </c>
      <c r="M104" s="35" t="n">
        <v>16.25</v>
      </c>
      <c r="N104" s="35" t="n">
        <v>0</v>
      </c>
      <c r="O104" s="13"/>
    </row>
    <row r="105" customFormat="false" ht="15" hidden="false" customHeight="false" outlineLevel="0" collapsed="false">
      <c r="A105" s="15" t="n">
        <v>5269187201</v>
      </c>
      <c r="B105" s="15" t="s">
        <v>166</v>
      </c>
      <c r="C105" s="69" t="n">
        <v>0.5</v>
      </c>
      <c r="D105" s="31" t="n">
        <v>29.5188</v>
      </c>
      <c r="E105" s="37" t="n">
        <v>18.67</v>
      </c>
      <c r="F105" s="37" t="n">
        <v>1.12</v>
      </c>
      <c r="G105" s="37" t="n">
        <v>0.49</v>
      </c>
      <c r="H105" s="37" t="n">
        <v>1.87</v>
      </c>
      <c r="I105" s="37" t="n">
        <v>20.28</v>
      </c>
      <c r="J105" s="37" t="n">
        <v>20.28</v>
      </c>
      <c r="K105" s="37" t="n">
        <v>0</v>
      </c>
      <c r="L105" s="37" t="n">
        <v>16.8</v>
      </c>
      <c r="M105" s="37" t="n">
        <v>16.8</v>
      </c>
      <c r="N105" s="37" t="n">
        <v>0</v>
      </c>
      <c r="O105" s="15"/>
    </row>
    <row r="106" customFormat="false" ht="15" hidden="false" customHeight="false" outlineLevel="0" collapsed="false">
      <c r="A106" s="13" t="n">
        <v>5273905191</v>
      </c>
      <c r="B106" s="13" t="s">
        <v>166</v>
      </c>
      <c r="C106" s="70" t="n">
        <v>0.5</v>
      </c>
      <c r="D106" s="30" t="n">
        <v>0</v>
      </c>
      <c r="E106" s="35" t="n">
        <v>0.2</v>
      </c>
      <c r="F106" s="35" t="n">
        <v>0.01</v>
      </c>
      <c r="G106" s="35" t="n">
        <v>0</v>
      </c>
      <c r="H106" s="35" t="n">
        <v>0.02</v>
      </c>
      <c r="I106" s="35" t="n">
        <v>0.21</v>
      </c>
      <c r="J106" s="35" t="n">
        <v>0.21</v>
      </c>
      <c r="K106" s="35" t="n">
        <v>-2.77555756156289E-017</v>
      </c>
      <c r="L106" s="35" t="n">
        <v>0.18</v>
      </c>
      <c r="M106" s="35" t="n">
        <v>0.18</v>
      </c>
      <c r="N106" s="35" t="n">
        <v>0</v>
      </c>
      <c r="O106" s="13"/>
    </row>
    <row r="107" customFormat="false" ht="15" hidden="false" customHeight="false" outlineLevel="0" collapsed="false">
      <c r="A107" s="15" t="n">
        <v>5133007041</v>
      </c>
      <c r="B107" s="15" t="s">
        <v>166</v>
      </c>
      <c r="C107" s="69" t="n">
        <v>0.5</v>
      </c>
      <c r="D107" s="31" t="n">
        <v>81.4171</v>
      </c>
      <c r="E107" s="37" t="n">
        <v>51.67</v>
      </c>
      <c r="F107" s="37" t="n">
        <v>3.1</v>
      </c>
      <c r="G107" s="37" t="n">
        <v>0</v>
      </c>
      <c r="H107" s="37" t="n">
        <v>5.17</v>
      </c>
      <c r="I107" s="37" t="n">
        <v>54.77</v>
      </c>
      <c r="J107" s="37" t="n">
        <v>54.77</v>
      </c>
      <c r="K107" s="37" t="n">
        <v>0</v>
      </c>
      <c r="L107" s="37" t="n">
        <v>46.5</v>
      </c>
      <c r="M107" s="37" t="n">
        <v>46.5</v>
      </c>
      <c r="N107" s="37" t="n">
        <v>0</v>
      </c>
      <c r="O107" s="15"/>
    </row>
    <row r="108" customFormat="false" ht="15" hidden="false" customHeight="false" outlineLevel="0" collapsed="false">
      <c r="A108" s="13" t="n">
        <v>5273937091</v>
      </c>
      <c r="B108" s="13" t="s">
        <v>166</v>
      </c>
      <c r="C108" s="70" t="n">
        <v>0.5</v>
      </c>
      <c r="D108" s="30" t="n">
        <v>0</v>
      </c>
      <c r="E108" s="35" t="n">
        <v>0.22</v>
      </c>
      <c r="F108" s="35" t="n">
        <v>0.01</v>
      </c>
      <c r="G108" s="35" t="n">
        <v>0</v>
      </c>
      <c r="H108" s="35" t="n">
        <v>0.02</v>
      </c>
      <c r="I108" s="35" t="n">
        <v>0.23</v>
      </c>
      <c r="J108" s="35" t="n">
        <v>0.23</v>
      </c>
      <c r="K108" s="35" t="n">
        <v>0</v>
      </c>
      <c r="L108" s="35" t="n">
        <v>0.2</v>
      </c>
      <c r="M108" s="35" t="n">
        <v>0.2</v>
      </c>
      <c r="N108" s="35" t="n">
        <v>0</v>
      </c>
      <c r="O108" s="13"/>
    </row>
    <row r="109" customFormat="false" ht="15" hidden="false" customHeight="false" outlineLevel="0" collapsed="false">
      <c r="A109" s="15" t="n">
        <v>5273957681</v>
      </c>
      <c r="B109" s="15" t="s">
        <v>166</v>
      </c>
      <c r="C109" s="69" t="n">
        <v>0.5</v>
      </c>
      <c r="D109" s="31" t="n">
        <v>0</v>
      </c>
      <c r="E109" s="37" t="n">
        <v>0.28</v>
      </c>
      <c r="F109" s="37" t="n">
        <v>0.02</v>
      </c>
      <c r="G109" s="37" t="n">
        <v>0</v>
      </c>
      <c r="H109" s="37" t="n">
        <v>0.03</v>
      </c>
      <c r="I109" s="37" t="n">
        <v>0.3</v>
      </c>
      <c r="J109" s="37" t="n">
        <v>0.3</v>
      </c>
      <c r="K109" s="37" t="n">
        <v>-5.55111512312578E-017</v>
      </c>
      <c r="L109" s="37" t="n">
        <v>0.25</v>
      </c>
      <c r="M109" s="37" t="n">
        <v>0.25</v>
      </c>
      <c r="N109" s="37" t="n">
        <v>0</v>
      </c>
      <c r="O109" s="15"/>
    </row>
    <row r="110" customFormat="false" ht="15" hidden="false" customHeight="false" outlineLevel="0" collapsed="false">
      <c r="A110" s="13" t="n">
        <v>5274000771</v>
      </c>
      <c r="B110" s="13" t="s">
        <v>168</v>
      </c>
      <c r="C110" s="70" t="n">
        <v>0.5</v>
      </c>
      <c r="D110" s="30" t="n">
        <v>1.450754</v>
      </c>
      <c r="E110" s="35" t="n">
        <v>1.81</v>
      </c>
      <c r="F110" s="35" t="n">
        <v>0.1</v>
      </c>
      <c r="G110" s="35" t="n">
        <v>0.25</v>
      </c>
      <c r="H110" s="35" t="n">
        <v>0.18</v>
      </c>
      <c r="I110" s="35" t="n">
        <v>2.16</v>
      </c>
      <c r="J110" s="35" t="n">
        <v>2.16</v>
      </c>
      <c r="K110" s="35" t="n">
        <v>0</v>
      </c>
      <c r="L110" s="35" t="n">
        <v>1.63</v>
      </c>
      <c r="M110" s="35" t="n">
        <v>1.63</v>
      </c>
      <c r="N110" s="35" t="n">
        <v>-2.22044604925031E-016</v>
      </c>
      <c r="O110" s="13"/>
    </row>
    <row r="111" customFormat="false" ht="15" hidden="false" customHeight="false" outlineLevel="0" collapsed="false">
      <c r="A111" s="15" t="n">
        <v>5278273731</v>
      </c>
      <c r="B111" s="15" t="s">
        <v>166</v>
      </c>
      <c r="C111" s="69" t="n">
        <v>0.5</v>
      </c>
      <c r="D111" s="31" t="n">
        <v>11.8481</v>
      </c>
      <c r="E111" s="37" t="n">
        <v>7.97</v>
      </c>
      <c r="F111" s="37" t="n">
        <v>0.48</v>
      </c>
      <c r="G111" s="37" t="n">
        <v>0</v>
      </c>
      <c r="H111" s="37" t="n">
        <v>0.8</v>
      </c>
      <c r="I111" s="37" t="n">
        <v>8.45</v>
      </c>
      <c r="J111" s="37" t="n">
        <v>8.45</v>
      </c>
      <c r="K111" s="37" t="n">
        <v>0</v>
      </c>
      <c r="L111" s="37" t="n">
        <v>7.17</v>
      </c>
      <c r="M111" s="37" t="n">
        <v>7.17</v>
      </c>
      <c r="N111" s="37" t="n">
        <v>0</v>
      </c>
      <c r="O111" s="15"/>
    </row>
    <row r="112" customFormat="false" ht="15" hidden="false" customHeight="false" outlineLevel="0" collapsed="false">
      <c r="A112" s="13" t="n">
        <v>5280836741</v>
      </c>
      <c r="B112" s="13" t="s">
        <v>166</v>
      </c>
      <c r="C112" s="70" t="n">
        <v>0.5</v>
      </c>
      <c r="D112" s="30" t="n">
        <v>9.7997</v>
      </c>
      <c r="E112" s="35" t="n">
        <v>6.59</v>
      </c>
      <c r="F112" s="35" t="n">
        <v>0.39</v>
      </c>
      <c r="G112" s="35" t="n">
        <v>0.99</v>
      </c>
      <c r="H112" s="35" t="n">
        <v>0.66</v>
      </c>
      <c r="I112" s="35" t="n">
        <v>7.97</v>
      </c>
      <c r="J112" s="35" t="n">
        <v>7.97</v>
      </c>
      <c r="K112" s="35" t="n">
        <v>0</v>
      </c>
      <c r="L112" s="35" t="n">
        <v>5.93</v>
      </c>
      <c r="M112" s="35" t="n">
        <v>5.93</v>
      </c>
      <c r="N112" s="35" t="n">
        <v>0</v>
      </c>
      <c r="O112" s="13"/>
    </row>
    <row r="113" customFormat="false" ht="15" hidden="false" customHeight="false" outlineLevel="0" collapsed="false">
      <c r="A113" s="15" t="n">
        <v>5284525031</v>
      </c>
      <c r="B113" s="15" t="s">
        <v>168</v>
      </c>
      <c r="C113" s="69" t="n">
        <v>0.5</v>
      </c>
      <c r="D113" s="31" t="n">
        <v>2.828075</v>
      </c>
      <c r="E113" s="37" t="n">
        <v>3.46</v>
      </c>
      <c r="F113" s="37" t="n">
        <v>0.2</v>
      </c>
      <c r="G113" s="37" t="n">
        <v>0.49</v>
      </c>
      <c r="H113" s="37" t="n">
        <v>0.35</v>
      </c>
      <c r="I113" s="37" t="n">
        <v>4.15</v>
      </c>
      <c r="J113" s="37" t="n">
        <v>4.15</v>
      </c>
      <c r="K113" s="37" t="n">
        <v>0</v>
      </c>
      <c r="L113" s="37" t="n">
        <v>3.11</v>
      </c>
      <c r="M113" s="37" t="n">
        <v>3.11</v>
      </c>
      <c r="N113" s="37" t="n">
        <v>0</v>
      </c>
      <c r="O113" s="15"/>
    </row>
    <row r="114" customFormat="false" ht="15" hidden="false" customHeight="false" outlineLevel="0" collapsed="false">
      <c r="A114" s="13" t="n">
        <v>5285117891</v>
      </c>
      <c r="B114" s="13" t="s">
        <v>168</v>
      </c>
      <c r="C114" s="70" t="n">
        <v>0.5</v>
      </c>
      <c r="D114" s="30" t="n">
        <v>9.448799</v>
      </c>
      <c r="E114" s="35" t="n">
        <v>13.31</v>
      </c>
      <c r="F114" s="35" t="n">
        <v>0.8</v>
      </c>
      <c r="G114" s="35" t="n">
        <v>0.25</v>
      </c>
      <c r="H114" s="35" t="n">
        <v>1.33</v>
      </c>
      <c r="I114" s="35" t="n">
        <v>14.36</v>
      </c>
      <c r="J114" s="35" t="n">
        <v>14.36</v>
      </c>
      <c r="K114" s="35" t="n">
        <v>-1.77635683940025E-015</v>
      </c>
      <c r="L114" s="35" t="n">
        <v>11.98</v>
      </c>
      <c r="M114" s="35" t="n">
        <v>11.98</v>
      </c>
      <c r="N114" s="35" t="n">
        <v>1.77635683940025E-015</v>
      </c>
      <c r="O114" s="13"/>
    </row>
    <row r="115" customFormat="false" ht="15" hidden="false" customHeight="false" outlineLevel="0" collapsed="false">
      <c r="A115" s="15" t="n">
        <v>5291586711</v>
      </c>
      <c r="B115" s="15" t="s">
        <v>166</v>
      </c>
      <c r="C115" s="69" t="n">
        <v>0.5</v>
      </c>
      <c r="D115" s="31" t="n">
        <v>24.9589</v>
      </c>
      <c r="E115" s="37" t="n">
        <v>16.07</v>
      </c>
      <c r="F115" s="37" t="n">
        <v>0.97</v>
      </c>
      <c r="G115" s="37" t="n">
        <v>0.99</v>
      </c>
      <c r="H115" s="37" t="n">
        <v>1.61</v>
      </c>
      <c r="I115" s="37" t="n">
        <v>18.03</v>
      </c>
      <c r="J115" s="37" t="n">
        <v>18.03</v>
      </c>
      <c r="K115" s="37" t="n">
        <v>3.5527136788005E-015</v>
      </c>
      <c r="L115" s="37" t="n">
        <v>14.46</v>
      </c>
      <c r="M115" s="37" t="n">
        <v>14.46</v>
      </c>
      <c r="N115" s="37" t="n">
        <v>-1.77635683940025E-015</v>
      </c>
      <c r="O115" s="15"/>
    </row>
    <row r="116" customFormat="false" ht="15" hidden="false" customHeight="false" outlineLevel="0" collapsed="false">
      <c r="A116" s="13" t="n">
        <v>5294369691</v>
      </c>
      <c r="B116" s="13" t="s">
        <v>166</v>
      </c>
      <c r="C116" s="70" t="n">
        <v>0.5</v>
      </c>
      <c r="D116" s="30" t="n">
        <v>5.3948</v>
      </c>
      <c r="E116" s="35" t="n">
        <v>3.48</v>
      </c>
      <c r="F116" s="35" t="n">
        <v>0.21</v>
      </c>
      <c r="G116" s="35" t="n">
        <v>0.99</v>
      </c>
      <c r="H116" s="35" t="n">
        <v>0.35</v>
      </c>
      <c r="I116" s="35" t="n">
        <v>4.68</v>
      </c>
      <c r="J116" s="35" t="n">
        <v>4.68</v>
      </c>
      <c r="K116" s="35" t="n">
        <v>0</v>
      </c>
      <c r="L116" s="35" t="n">
        <v>3.13</v>
      </c>
      <c r="M116" s="35" t="n">
        <v>3.13</v>
      </c>
      <c r="N116" s="35" t="n">
        <v>4.44089209850063E-016</v>
      </c>
      <c r="O116" s="13"/>
    </row>
    <row r="117" customFormat="false" ht="15" hidden="false" customHeight="false" outlineLevel="0" collapsed="false">
      <c r="A117" s="15" t="n">
        <v>5294457821</v>
      </c>
      <c r="B117" s="15" t="s">
        <v>166</v>
      </c>
      <c r="C117" s="69" t="n">
        <v>0.5</v>
      </c>
      <c r="D117" s="31" t="n">
        <v>18.0934</v>
      </c>
      <c r="E117" s="37" t="n">
        <v>11.69</v>
      </c>
      <c r="F117" s="37" t="n">
        <v>0.7</v>
      </c>
      <c r="G117" s="37" t="n">
        <v>0.49</v>
      </c>
      <c r="H117" s="37" t="n">
        <v>1.17</v>
      </c>
      <c r="I117" s="37" t="n">
        <v>12.88</v>
      </c>
      <c r="J117" s="37" t="n">
        <v>12.88</v>
      </c>
      <c r="K117" s="37" t="n">
        <v>1.77635683940025E-015</v>
      </c>
      <c r="L117" s="37" t="n">
        <v>10.52</v>
      </c>
      <c r="M117" s="37" t="n">
        <v>10.52</v>
      </c>
      <c r="N117" s="37" t="n">
        <v>-1.77635683940025E-015</v>
      </c>
      <c r="O117" s="15"/>
    </row>
    <row r="118" customFormat="false" ht="15" hidden="false" customHeight="false" outlineLevel="0" collapsed="false">
      <c r="A118" s="13" t="n">
        <v>5300107181</v>
      </c>
      <c r="B118" s="13" t="s">
        <v>166</v>
      </c>
      <c r="C118" s="70" t="n">
        <v>0.5</v>
      </c>
      <c r="D118" s="30" t="n">
        <v>16.0578</v>
      </c>
      <c r="E118" s="35" t="n">
        <v>10.39</v>
      </c>
      <c r="F118" s="35" t="n">
        <v>0.62</v>
      </c>
      <c r="G118" s="35" t="n">
        <v>0.49</v>
      </c>
      <c r="H118" s="35" t="n">
        <v>1.04</v>
      </c>
      <c r="I118" s="35" t="n">
        <v>11.5</v>
      </c>
      <c r="J118" s="35" t="n">
        <v>11.5</v>
      </c>
      <c r="K118" s="35" t="n">
        <v>0</v>
      </c>
      <c r="L118" s="35" t="n">
        <v>9.35</v>
      </c>
      <c r="M118" s="35" t="n">
        <v>9.35</v>
      </c>
      <c r="N118" s="35" t="n">
        <v>0</v>
      </c>
      <c r="O118" s="13"/>
    </row>
    <row r="119" customFormat="false" ht="15" hidden="false" customHeight="false" outlineLevel="0" collapsed="false">
      <c r="A119" s="15" t="n">
        <v>5306718701</v>
      </c>
      <c r="B119" s="15" t="s">
        <v>166</v>
      </c>
      <c r="C119" s="69" t="n">
        <v>0.5</v>
      </c>
      <c r="D119" s="31" t="n">
        <v>29.0876</v>
      </c>
      <c r="E119" s="37" t="n">
        <v>18.37</v>
      </c>
      <c r="F119" s="37" t="n">
        <v>1.1</v>
      </c>
      <c r="G119" s="37" t="n">
        <v>0</v>
      </c>
      <c r="H119" s="37" t="n">
        <v>1.84</v>
      </c>
      <c r="I119" s="37" t="n">
        <v>19.47</v>
      </c>
      <c r="J119" s="37" t="n">
        <v>19.47</v>
      </c>
      <c r="K119" s="37" t="n">
        <v>-3.5527136788005E-015</v>
      </c>
      <c r="L119" s="37" t="n">
        <v>16.53</v>
      </c>
      <c r="M119" s="37" t="n">
        <v>16.53</v>
      </c>
      <c r="N119" s="37" t="n">
        <v>3.5527136788005E-015</v>
      </c>
      <c r="O119" s="15"/>
    </row>
    <row r="120" customFormat="false" ht="15" hidden="false" customHeight="false" outlineLevel="0" collapsed="false">
      <c r="A120" s="13" t="n">
        <v>5220819931</v>
      </c>
      <c r="B120" s="13" t="s">
        <v>166</v>
      </c>
      <c r="C120" s="70" t="n">
        <v>0.5</v>
      </c>
      <c r="D120" s="30" t="n">
        <v>15.5354</v>
      </c>
      <c r="E120" s="35" t="n">
        <v>9.92</v>
      </c>
      <c r="F120" s="35" t="n">
        <v>0.6</v>
      </c>
      <c r="G120" s="35" t="n">
        <v>0.49</v>
      </c>
      <c r="H120" s="35" t="n">
        <v>0.99</v>
      </c>
      <c r="I120" s="35" t="n">
        <v>11.01</v>
      </c>
      <c r="J120" s="35" t="n">
        <v>11.01</v>
      </c>
      <c r="K120" s="35" t="n">
        <v>0</v>
      </c>
      <c r="L120" s="35" t="n">
        <v>8.93</v>
      </c>
      <c r="M120" s="35" t="n">
        <v>8.93</v>
      </c>
      <c r="N120" s="35" t="n">
        <v>0</v>
      </c>
      <c r="O120" s="13"/>
    </row>
    <row r="121" customFormat="false" ht="15" hidden="false" customHeight="false" outlineLevel="0" collapsed="false">
      <c r="A121" s="15" t="n">
        <v>5220532091</v>
      </c>
      <c r="B121" s="15" t="s">
        <v>166</v>
      </c>
      <c r="C121" s="69" t="n">
        <v>0.5</v>
      </c>
      <c r="D121" s="31" t="n">
        <v>15.9549</v>
      </c>
      <c r="E121" s="37" t="n">
        <v>10.01</v>
      </c>
      <c r="F121" s="37" t="n">
        <v>0.6</v>
      </c>
      <c r="G121" s="37" t="n">
        <v>0.99</v>
      </c>
      <c r="H121" s="37" t="n">
        <v>1</v>
      </c>
      <c r="I121" s="37" t="n">
        <v>11.6</v>
      </c>
      <c r="J121" s="37" t="n">
        <v>11.6</v>
      </c>
      <c r="K121" s="37" t="n">
        <v>0</v>
      </c>
      <c r="L121" s="37" t="n">
        <v>9.01</v>
      </c>
      <c r="M121" s="37" t="n">
        <v>9.01</v>
      </c>
      <c r="N121" s="37" t="n">
        <v>0</v>
      </c>
      <c r="O121" s="15"/>
    </row>
    <row r="122" customFormat="false" ht="15" hidden="false" customHeight="false" outlineLevel="0" collapsed="false">
      <c r="A122" s="13" t="n">
        <v>5220527731</v>
      </c>
      <c r="B122" s="13" t="s">
        <v>166</v>
      </c>
      <c r="C122" s="70" t="n">
        <v>0.5</v>
      </c>
      <c r="D122" s="30" t="n">
        <v>0.0698</v>
      </c>
      <c r="E122" s="35" t="n">
        <v>0.03</v>
      </c>
      <c r="F122" s="35" t="n">
        <v>0</v>
      </c>
      <c r="G122" s="35" t="n">
        <v>0</v>
      </c>
      <c r="H122" s="35" t="n">
        <v>0</v>
      </c>
      <c r="I122" s="35" t="n">
        <v>0.03</v>
      </c>
      <c r="J122" s="35" t="n">
        <v>0.03</v>
      </c>
      <c r="K122" s="35" t="n">
        <v>0</v>
      </c>
      <c r="L122" s="35" t="n">
        <v>0.03</v>
      </c>
      <c r="M122" s="35" t="n">
        <v>0.03</v>
      </c>
      <c r="N122" s="35" t="n">
        <v>0</v>
      </c>
      <c r="O122" s="13"/>
    </row>
    <row r="123" customFormat="false" ht="15" hidden="false" customHeight="false" outlineLevel="0" collapsed="false">
      <c r="A123" s="15" t="n">
        <v>5220021311</v>
      </c>
      <c r="B123" s="15" t="s">
        <v>166</v>
      </c>
      <c r="C123" s="69" t="n">
        <v>0.5</v>
      </c>
      <c r="D123" s="31" t="n">
        <v>18.8299</v>
      </c>
      <c r="E123" s="37" t="n">
        <v>12.69</v>
      </c>
      <c r="F123" s="37" t="n">
        <v>0.76</v>
      </c>
      <c r="G123" s="37" t="n">
        <v>0.49</v>
      </c>
      <c r="H123" s="37" t="n">
        <v>1.27</v>
      </c>
      <c r="I123" s="37" t="n">
        <v>13.94</v>
      </c>
      <c r="J123" s="37" t="n">
        <v>13.94</v>
      </c>
      <c r="K123" s="37" t="n">
        <v>0</v>
      </c>
      <c r="L123" s="37" t="n">
        <v>11.42</v>
      </c>
      <c r="M123" s="37" t="n">
        <v>11.42</v>
      </c>
      <c r="N123" s="37" t="n">
        <v>0</v>
      </c>
      <c r="O123" s="15"/>
    </row>
    <row r="124" customFormat="false" ht="15" hidden="false" customHeight="false" outlineLevel="0" collapsed="false">
      <c r="A124" s="13" t="n">
        <v>5144996721</v>
      </c>
      <c r="B124" s="13" t="s">
        <v>166</v>
      </c>
      <c r="C124" s="70" t="n">
        <v>0.5</v>
      </c>
      <c r="D124" s="30" t="n">
        <v>33.7549</v>
      </c>
      <c r="E124" s="35" t="n">
        <v>22.73</v>
      </c>
      <c r="F124" s="35" t="n">
        <v>1.36</v>
      </c>
      <c r="G124" s="35" t="n">
        <v>0.49</v>
      </c>
      <c r="H124" s="35" t="n">
        <v>2.27</v>
      </c>
      <c r="I124" s="35" t="n">
        <v>24.58</v>
      </c>
      <c r="J124" s="35" t="n">
        <v>24.58</v>
      </c>
      <c r="K124" s="35" t="n">
        <v>0</v>
      </c>
      <c r="L124" s="35" t="n">
        <v>20.46</v>
      </c>
      <c r="M124" s="35" t="n">
        <v>20.46</v>
      </c>
      <c r="N124" s="35" t="n">
        <v>0</v>
      </c>
      <c r="O124" s="13"/>
    </row>
    <row r="125" customFormat="false" ht="15" hidden="false" customHeight="false" outlineLevel="0" collapsed="false">
      <c r="A125" s="15" t="n">
        <v>5147302701</v>
      </c>
      <c r="B125" s="15" t="s">
        <v>166</v>
      </c>
      <c r="C125" s="69" t="n">
        <v>0.5</v>
      </c>
      <c r="D125" s="31" t="n">
        <v>4.8722</v>
      </c>
      <c r="E125" s="37" t="n">
        <v>3.17</v>
      </c>
      <c r="F125" s="37" t="n">
        <v>0.19</v>
      </c>
      <c r="G125" s="37" t="n">
        <v>0.49</v>
      </c>
      <c r="H125" s="37" t="n">
        <v>0.32</v>
      </c>
      <c r="I125" s="37" t="n">
        <v>3.85</v>
      </c>
      <c r="J125" s="37" t="n">
        <v>3.85</v>
      </c>
      <c r="K125" s="37" t="n">
        <v>4.44089209850063E-016</v>
      </c>
      <c r="L125" s="37" t="n">
        <v>2.85</v>
      </c>
      <c r="M125" s="37" t="n">
        <v>2.85</v>
      </c>
      <c r="N125" s="37" t="n">
        <v>-4.44089209850063E-016</v>
      </c>
      <c r="O125" s="15"/>
    </row>
    <row r="126" customFormat="false" ht="15" hidden="false" customHeight="false" outlineLevel="0" collapsed="false">
      <c r="A126" s="13" t="n">
        <v>5157045241</v>
      </c>
      <c r="B126" s="13" t="s">
        <v>166</v>
      </c>
      <c r="C126" s="70" t="n">
        <v>0.5</v>
      </c>
      <c r="D126" s="30" t="n">
        <v>43.688</v>
      </c>
      <c r="E126" s="35" t="n">
        <v>28.12</v>
      </c>
      <c r="F126" s="35" t="n">
        <v>1.69</v>
      </c>
      <c r="G126" s="35" t="n">
        <v>0.99</v>
      </c>
      <c r="H126" s="35" t="n">
        <v>2.81</v>
      </c>
      <c r="I126" s="35" t="n">
        <v>30.8</v>
      </c>
      <c r="J126" s="35" t="n">
        <v>30.8</v>
      </c>
      <c r="K126" s="35" t="n">
        <v>0</v>
      </c>
      <c r="L126" s="35" t="n">
        <v>25.31</v>
      </c>
      <c r="M126" s="35" t="n">
        <v>25.31</v>
      </c>
      <c r="N126" s="35" t="n">
        <v>-3.5527136788005E-015</v>
      </c>
      <c r="O126" s="13"/>
    </row>
    <row r="127" customFormat="false" ht="15" hidden="false" customHeight="false" outlineLevel="0" collapsed="false">
      <c r="A127" s="15" t="n">
        <v>5157888411</v>
      </c>
      <c r="B127" s="15" t="s">
        <v>168</v>
      </c>
      <c r="C127" s="69" t="n">
        <v>0.5</v>
      </c>
      <c r="D127" s="31" t="n">
        <v>8.79557</v>
      </c>
      <c r="E127" s="37" t="n">
        <v>11.01</v>
      </c>
      <c r="F127" s="37" t="n">
        <v>0.66</v>
      </c>
      <c r="G127" s="37" t="n">
        <v>0.49</v>
      </c>
      <c r="H127" s="37" t="n">
        <v>1.1</v>
      </c>
      <c r="I127" s="37" t="n">
        <v>12.16</v>
      </c>
      <c r="J127" s="37" t="n">
        <v>12.16</v>
      </c>
      <c r="K127" s="37" t="n">
        <v>0</v>
      </c>
      <c r="L127" s="37" t="n">
        <v>9.91</v>
      </c>
      <c r="M127" s="37" t="n">
        <v>9.91</v>
      </c>
      <c r="N127" s="37" t="n">
        <v>0</v>
      </c>
      <c r="O127" s="15"/>
    </row>
    <row r="128" customFormat="false" ht="15" hidden="false" customHeight="false" outlineLevel="0" collapsed="false">
      <c r="A128" s="13" t="n">
        <v>5158370321</v>
      </c>
      <c r="B128" s="13" t="s">
        <v>166</v>
      </c>
      <c r="C128" s="70" t="n">
        <v>0.5</v>
      </c>
      <c r="D128" s="30" t="n">
        <v>44.3982</v>
      </c>
      <c r="E128" s="35" t="n">
        <v>29.06</v>
      </c>
      <c r="F128" s="35" t="n">
        <v>1.74</v>
      </c>
      <c r="G128" s="35" t="n">
        <v>0.99</v>
      </c>
      <c r="H128" s="35" t="n">
        <v>2.91</v>
      </c>
      <c r="I128" s="35" t="n">
        <v>31.79</v>
      </c>
      <c r="J128" s="35" t="n">
        <v>31.79</v>
      </c>
      <c r="K128" s="35" t="n">
        <v>3.5527136788005E-015</v>
      </c>
      <c r="L128" s="35" t="n">
        <v>26.15</v>
      </c>
      <c r="M128" s="35" t="n">
        <v>26.15</v>
      </c>
      <c r="N128" s="35" t="n">
        <v>-3.5527136788005E-015</v>
      </c>
      <c r="O128" s="13"/>
    </row>
    <row r="129" customFormat="false" ht="15" hidden="false" customHeight="false" outlineLevel="0" collapsed="false">
      <c r="A129" s="15" t="n">
        <v>5161345291</v>
      </c>
      <c r="B129" s="15" t="s">
        <v>166</v>
      </c>
      <c r="C129" s="69" t="n">
        <v>0.5</v>
      </c>
      <c r="D129" s="31" t="n">
        <v>14.4048</v>
      </c>
      <c r="E129" s="37" t="n">
        <v>10.15</v>
      </c>
      <c r="F129" s="37" t="n">
        <v>0.61</v>
      </c>
      <c r="G129" s="37" t="n">
        <v>0.99</v>
      </c>
      <c r="H129" s="37" t="n">
        <v>1.01</v>
      </c>
      <c r="I129" s="37" t="n">
        <v>11.75</v>
      </c>
      <c r="J129" s="37" t="n">
        <v>11.75</v>
      </c>
      <c r="K129" s="37" t="n">
        <v>0</v>
      </c>
      <c r="L129" s="37" t="n">
        <v>9.14</v>
      </c>
      <c r="M129" s="37" t="n">
        <v>9.14</v>
      </c>
      <c r="N129" s="37" t="n">
        <v>0</v>
      </c>
      <c r="O129" s="15"/>
    </row>
    <row r="130" customFormat="false" ht="15" hidden="false" customHeight="false" outlineLevel="0" collapsed="false">
      <c r="A130" s="13" t="n">
        <v>5162996711</v>
      </c>
      <c r="B130" s="13" t="s">
        <v>166</v>
      </c>
      <c r="C130" s="70" t="n">
        <v>0.5</v>
      </c>
      <c r="D130" s="30" t="n">
        <v>16.1868</v>
      </c>
      <c r="E130" s="35" t="n">
        <v>10.33</v>
      </c>
      <c r="F130" s="35" t="n">
        <v>0.62</v>
      </c>
      <c r="G130" s="35" t="n">
        <v>0.49</v>
      </c>
      <c r="H130" s="35" t="n">
        <v>1.03</v>
      </c>
      <c r="I130" s="35" t="n">
        <v>11.44</v>
      </c>
      <c r="J130" s="35" t="n">
        <v>11.44</v>
      </c>
      <c r="K130" s="35" t="n">
        <v>0</v>
      </c>
      <c r="L130" s="35" t="n">
        <v>9.3</v>
      </c>
      <c r="M130" s="35" t="n">
        <v>9.3</v>
      </c>
      <c r="N130" s="35" t="n">
        <v>0</v>
      </c>
      <c r="O130" s="13"/>
    </row>
    <row r="131" customFormat="false" ht="15" hidden="false" customHeight="false" outlineLevel="0" collapsed="false">
      <c r="A131" s="15" t="n">
        <v>5165020791</v>
      </c>
      <c r="B131" s="15" t="s">
        <v>166</v>
      </c>
      <c r="C131" s="69" t="n">
        <v>0.5</v>
      </c>
      <c r="D131" s="31" t="n">
        <v>12.0104</v>
      </c>
      <c r="E131" s="37" t="n">
        <v>7.81</v>
      </c>
      <c r="F131" s="37" t="n">
        <v>0.47</v>
      </c>
      <c r="G131" s="37" t="n">
        <v>0.99</v>
      </c>
      <c r="H131" s="37" t="n">
        <v>0.78</v>
      </c>
      <c r="I131" s="37" t="n">
        <v>9.27</v>
      </c>
      <c r="J131" s="37" t="n">
        <v>9.27</v>
      </c>
      <c r="K131" s="37" t="n">
        <v>0</v>
      </c>
      <c r="L131" s="37" t="n">
        <v>7.03</v>
      </c>
      <c r="M131" s="37" t="n">
        <v>7.03</v>
      </c>
      <c r="N131" s="37" t="n">
        <v>8.88178419700125E-016</v>
      </c>
      <c r="O131" s="15"/>
    </row>
    <row r="132" customFormat="false" ht="15" hidden="false" customHeight="false" outlineLevel="0" collapsed="false">
      <c r="A132" s="13" t="n">
        <v>5165064361</v>
      </c>
      <c r="B132" s="13" t="s">
        <v>166</v>
      </c>
      <c r="C132" s="70" t="n">
        <v>0.5</v>
      </c>
      <c r="D132" s="30" t="n">
        <v>25.5031</v>
      </c>
      <c r="E132" s="35" t="n">
        <v>16.54</v>
      </c>
      <c r="F132" s="35" t="n">
        <v>1</v>
      </c>
      <c r="G132" s="35" t="n">
        <v>0</v>
      </c>
      <c r="H132" s="35" t="n">
        <v>1.65</v>
      </c>
      <c r="I132" s="35" t="n">
        <v>17.54</v>
      </c>
      <c r="J132" s="35" t="n">
        <v>17.54</v>
      </c>
      <c r="K132" s="35" t="n">
        <v>0</v>
      </c>
      <c r="L132" s="35" t="n">
        <v>14.89</v>
      </c>
      <c r="M132" s="35" t="n">
        <v>14.89</v>
      </c>
      <c r="N132" s="35" t="n">
        <v>1.77635683940025E-015</v>
      </c>
      <c r="O132" s="13"/>
    </row>
    <row r="133" customFormat="false" ht="15" hidden="false" customHeight="false" outlineLevel="0" collapsed="false">
      <c r="A133" s="15" t="n">
        <v>5167255051</v>
      </c>
      <c r="B133" s="15" t="s">
        <v>168</v>
      </c>
      <c r="C133" s="69" t="n">
        <v>0.5</v>
      </c>
      <c r="D133" s="31" t="n">
        <v>5.618006</v>
      </c>
      <c r="E133" s="37" t="n">
        <v>6.72</v>
      </c>
      <c r="F133" s="37" t="n">
        <v>0.4</v>
      </c>
      <c r="G133" s="37" t="n">
        <v>0.49</v>
      </c>
      <c r="H133" s="37" t="n">
        <v>0.67</v>
      </c>
      <c r="I133" s="37" t="n">
        <v>7.61</v>
      </c>
      <c r="J133" s="37" t="n">
        <v>7.61</v>
      </c>
      <c r="K133" s="37" t="n">
        <v>0</v>
      </c>
      <c r="L133" s="37" t="n">
        <v>6.05</v>
      </c>
      <c r="M133" s="37" t="n">
        <v>6.05</v>
      </c>
      <c r="N133" s="37" t="n">
        <v>0</v>
      </c>
      <c r="O133" s="15"/>
    </row>
    <row r="134" customFormat="false" ht="15" hidden="false" customHeight="false" outlineLevel="0" collapsed="false">
      <c r="A134" s="13" t="n">
        <v>5167947661</v>
      </c>
      <c r="B134" s="13" t="s">
        <v>166</v>
      </c>
      <c r="C134" s="70" t="n">
        <v>0.5</v>
      </c>
      <c r="D134" s="30" t="n">
        <v>45.2809</v>
      </c>
      <c r="E134" s="35" t="n">
        <v>30.06</v>
      </c>
      <c r="F134" s="35" t="n">
        <v>1.81</v>
      </c>
      <c r="G134" s="35" t="n">
        <v>0.49</v>
      </c>
      <c r="H134" s="35" t="n">
        <v>3.01</v>
      </c>
      <c r="I134" s="35" t="n">
        <v>32.36</v>
      </c>
      <c r="J134" s="35" t="n">
        <v>32.36</v>
      </c>
      <c r="K134" s="35" t="n">
        <v>0</v>
      </c>
      <c r="L134" s="35" t="n">
        <v>27.05</v>
      </c>
      <c r="M134" s="35" t="n">
        <v>27.05</v>
      </c>
      <c r="N134" s="35" t="n">
        <v>0</v>
      </c>
      <c r="O134" s="13"/>
    </row>
    <row r="135" customFormat="false" ht="15" hidden="false" customHeight="false" outlineLevel="0" collapsed="false">
      <c r="A135" s="15" t="n">
        <v>5171330811</v>
      </c>
      <c r="B135" s="15" t="s">
        <v>166</v>
      </c>
      <c r="C135" s="69" t="n">
        <v>0.5</v>
      </c>
      <c r="D135" s="31" t="n">
        <v>14.0308</v>
      </c>
      <c r="E135" s="37" t="n">
        <v>8.97</v>
      </c>
      <c r="F135" s="37" t="n">
        <v>0.54</v>
      </c>
      <c r="G135" s="37" t="n">
        <v>0.49</v>
      </c>
      <c r="H135" s="37" t="n">
        <v>0.9</v>
      </c>
      <c r="I135" s="37" t="n">
        <v>10</v>
      </c>
      <c r="J135" s="37" t="n">
        <v>10</v>
      </c>
      <c r="K135" s="37" t="n">
        <v>-1.77635683940025E-015</v>
      </c>
      <c r="L135" s="37" t="n">
        <v>8.07</v>
      </c>
      <c r="M135" s="37" t="n">
        <v>8.07</v>
      </c>
      <c r="N135" s="37" t="n">
        <v>0</v>
      </c>
      <c r="O135" s="15"/>
    </row>
    <row r="136" customFormat="false" ht="15" hidden="false" customHeight="false" outlineLevel="0" collapsed="false">
      <c r="A136" s="13" t="n">
        <v>5171448441</v>
      </c>
      <c r="B136" s="13" t="s">
        <v>166</v>
      </c>
      <c r="C136" s="70" t="n">
        <v>0.5</v>
      </c>
      <c r="D136" s="30" t="n">
        <v>9.588</v>
      </c>
      <c r="E136" s="35" t="n">
        <v>6.2</v>
      </c>
      <c r="F136" s="35" t="n">
        <v>0.37</v>
      </c>
      <c r="G136" s="35" t="n">
        <v>0.99</v>
      </c>
      <c r="H136" s="35" t="n">
        <v>0.62</v>
      </c>
      <c r="I136" s="35" t="n">
        <v>7.56</v>
      </c>
      <c r="J136" s="35" t="n">
        <v>7.56</v>
      </c>
      <c r="K136" s="35" t="n">
        <v>-8.88178419700125E-016</v>
      </c>
      <c r="L136" s="35" t="n">
        <v>5.58</v>
      </c>
      <c r="M136" s="35" t="n">
        <v>5.58</v>
      </c>
      <c r="N136" s="35" t="n">
        <v>8.88178419700125E-016</v>
      </c>
      <c r="O136" s="13"/>
    </row>
    <row r="137" customFormat="false" ht="15" hidden="false" customHeight="false" outlineLevel="0" collapsed="false">
      <c r="A137" s="15" t="n">
        <v>5172555211</v>
      </c>
      <c r="B137" s="15" t="s">
        <v>166</v>
      </c>
      <c r="C137" s="69" t="n">
        <v>0.5</v>
      </c>
      <c r="D137" s="31" t="n">
        <v>14.3979</v>
      </c>
      <c r="E137" s="37" t="n">
        <v>10.5</v>
      </c>
      <c r="F137" s="37" t="n">
        <v>0.63</v>
      </c>
      <c r="G137" s="37" t="n">
        <v>0.49</v>
      </c>
      <c r="H137" s="37" t="n">
        <v>1.05</v>
      </c>
      <c r="I137" s="37" t="n">
        <v>11.62</v>
      </c>
      <c r="J137" s="37" t="n">
        <v>11.62</v>
      </c>
      <c r="K137" s="37" t="n">
        <v>-1.77635683940025E-015</v>
      </c>
      <c r="L137" s="37" t="n">
        <v>9.45</v>
      </c>
      <c r="M137" s="37" t="n">
        <v>9.45</v>
      </c>
      <c r="N137" s="37" t="n">
        <v>1.77635683940025E-015</v>
      </c>
      <c r="O137" s="15"/>
    </row>
    <row r="138" customFormat="false" ht="15" hidden="false" customHeight="false" outlineLevel="0" collapsed="false">
      <c r="A138" s="13" t="n">
        <v>5174695001</v>
      </c>
      <c r="B138" s="13" t="s">
        <v>166</v>
      </c>
      <c r="C138" s="70" t="n">
        <v>0.5</v>
      </c>
      <c r="D138" s="30" t="n">
        <v>27.3478</v>
      </c>
      <c r="E138" s="35" t="n">
        <v>17.92</v>
      </c>
      <c r="F138" s="35" t="n">
        <v>1.08</v>
      </c>
      <c r="G138" s="35" t="n">
        <v>0.99</v>
      </c>
      <c r="H138" s="35" t="n">
        <v>1.79</v>
      </c>
      <c r="I138" s="35" t="n">
        <v>19.99</v>
      </c>
      <c r="J138" s="35" t="n">
        <v>19.99</v>
      </c>
      <c r="K138" s="35" t="n">
        <v>0</v>
      </c>
      <c r="L138" s="35" t="n">
        <v>16.13</v>
      </c>
      <c r="M138" s="35" t="n">
        <v>16.13</v>
      </c>
      <c r="N138" s="35" t="n">
        <v>-3.5527136788005E-015</v>
      </c>
      <c r="O138" s="13"/>
    </row>
    <row r="139" customFormat="false" ht="15" hidden="false" customHeight="false" outlineLevel="0" collapsed="false">
      <c r="A139" s="15" t="n">
        <v>5174836871</v>
      </c>
      <c r="B139" s="15" t="s">
        <v>166</v>
      </c>
      <c r="C139" s="69" t="n">
        <v>0.5</v>
      </c>
      <c r="D139" s="31" t="n">
        <v>14.7411</v>
      </c>
      <c r="E139" s="37" t="n">
        <v>9.55</v>
      </c>
      <c r="F139" s="37" t="n">
        <v>0.57</v>
      </c>
      <c r="G139" s="37" t="n">
        <v>0.99</v>
      </c>
      <c r="H139" s="37" t="n">
        <v>0.95</v>
      </c>
      <c r="I139" s="37" t="n">
        <v>11.11</v>
      </c>
      <c r="J139" s="37" t="n">
        <v>11.11</v>
      </c>
      <c r="K139" s="37" t="n">
        <v>-1.77635683940025E-015</v>
      </c>
      <c r="L139" s="37" t="n">
        <v>8.6</v>
      </c>
      <c r="M139" s="37" t="n">
        <v>8.6</v>
      </c>
      <c r="N139" s="37" t="n">
        <v>0</v>
      </c>
      <c r="O139" s="15"/>
    </row>
    <row r="140" customFormat="false" ht="15" hidden="false" customHeight="false" outlineLevel="0" collapsed="false">
      <c r="A140" s="13" t="n">
        <v>5175611031</v>
      </c>
      <c r="B140" s="13" t="s">
        <v>168</v>
      </c>
      <c r="C140" s="70" t="n">
        <v>0.5</v>
      </c>
      <c r="D140" s="30" t="n">
        <v>2.325687</v>
      </c>
      <c r="E140" s="35" t="n">
        <v>2.84</v>
      </c>
      <c r="F140" s="35" t="n">
        <v>0.17</v>
      </c>
      <c r="G140" s="35" t="n">
        <v>0.49</v>
      </c>
      <c r="H140" s="35" t="n">
        <v>0.28</v>
      </c>
      <c r="I140" s="35" t="n">
        <v>3.5</v>
      </c>
      <c r="J140" s="35" t="n">
        <v>3.5</v>
      </c>
      <c r="K140" s="35" t="n">
        <v>0</v>
      </c>
      <c r="L140" s="35" t="n">
        <v>2.56</v>
      </c>
      <c r="M140" s="35" t="n">
        <v>2.56</v>
      </c>
      <c r="N140" s="35" t="n">
        <v>4.44089209850063E-016</v>
      </c>
      <c r="O140" s="13"/>
    </row>
    <row r="141" customFormat="false" ht="15" hidden="false" customHeight="false" outlineLevel="0" collapsed="false">
      <c r="A141" s="15" t="n">
        <v>5177640771</v>
      </c>
      <c r="B141" s="15" t="s">
        <v>168</v>
      </c>
      <c r="C141" s="69" t="n">
        <v>0.5</v>
      </c>
      <c r="D141" s="31" t="n">
        <v>20.088461</v>
      </c>
      <c r="E141" s="37" t="n">
        <v>23.97</v>
      </c>
      <c r="F141" s="37" t="n">
        <v>1.44</v>
      </c>
      <c r="G141" s="37" t="n">
        <v>0.49</v>
      </c>
      <c r="H141" s="37" t="n">
        <v>2.4</v>
      </c>
      <c r="I141" s="37" t="n">
        <v>25.9</v>
      </c>
      <c r="J141" s="37" t="n">
        <v>25.9</v>
      </c>
      <c r="K141" s="37" t="n">
        <v>0</v>
      </c>
      <c r="L141" s="37" t="n">
        <v>21.57</v>
      </c>
      <c r="M141" s="37" t="n">
        <v>21.57</v>
      </c>
      <c r="N141" s="37" t="n">
        <v>0</v>
      </c>
      <c r="O141" s="15"/>
    </row>
    <row r="142" customFormat="false" ht="15" hidden="false" customHeight="false" outlineLevel="0" collapsed="false">
      <c r="A142" s="13" t="n">
        <v>5194063971</v>
      </c>
      <c r="B142" s="13" t="s">
        <v>166</v>
      </c>
      <c r="C142" s="70" t="n">
        <v>0.5</v>
      </c>
      <c r="D142" s="30" t="n">
        <v>8.083</v>
      </c>
      <c r="E142" s="35" t="n">
        <v>5.42</v>
      </c>
      <c r="F142" s="35" t="n">
        <v>0.32</v>
      </c>
      <c r="G142" s="35" t="n">
        <v>0.49</v>
      </c>
      <c r="H142" s="35" t="n">
        <v>0.54</v>
      </c>
      <c r="I142" s="35" t="n">
        <v>6.23</v>
      </c>
      <c r="J142" s="35" t="n">
        <v>6.23</v>
      </c>
      <c r="K142" s="35" t="n">
        <v>0</v>
      </c>
      <c r="L142" s="35" t="n">
        <v>4.88</v>
      </c>
      <c r="M142" s="35" t="n">
        <v>4.88</v>
      </c>
      <c r="N142" s="35" t="n">
        <v>0</v>
      </c>
      <c r="O142" s="13"/>
    </row>
    <row r="143" customFormat="false" ht="15" hidden="false" customHeight="false" outlineLevel="0" collapsed="false">
      <c r="A143" s="15" t="n">
        <v>5195858081</v>
      </c>
      <c r="B143" s="15" t="s">
        <v>166</v>
      </c>
      <c r="C143" s="69" t="n">
        <v>0.5</v>
      </c>
      <c r="D143" s="31" t="n">
        <v>23.9124</v>
      </c>
      <c r="E143" s="37" t="n">
        <v>15.11</v>
      </c>
      <c r="F143" s="37" t="n">
        <v>0.91</v>
      </c>
      <c r="G143" s="37" t="n">
        <v>0.99</v>
      </c>
      <c r="H143" s="37" t="n">
        <v>1.51</v>
      </c>
      <c r="I143" s="37" t="n">
        <v>17.01</v>
      </c>
      <c r="J143" s="37" t="n">
        <v>17.01</v>
      </c>
      <c r="K143" s="37" t="n">
        <v>3.5527136788005E-015</v>
      </c>
      <c r="L143" s="37" t="n">
        <v>13.6</v>
      </c>
      <c r="M143" s="37" t="n">
        <v>13.6</v>
      </c>
      <c r="N143" s="37" t="n">
        <v>-3.5527136788005E-015</v>
      </c>
      <c r="O143" s="15"/>
    </row>
    <row r="144" customFormat="false" ht="15" hidden="false" customHeight="false" outlineLevel="0" collapsed="false">
      <c r="A144" s="13" t="n">
        <v>5196580841</v>
      </c>
      <c r="B144" s="13" t="s">
        <v>166</v>
      </c>
      <c r="C144" s="70" t="n">
        <v>0.5</v>
      </c>
      <c r="D144" s="30" t="n">
        <v>25.6493</v>
      </c>
      <c r="E144" s="35" t="n">
        <v>18.55</v>
      </c>
      <c r="F144" s="35" t="n">
        <v>1.11</v>
      </c>
      <c r="G144" s="35" t="n">
        <v>0.49</v>
      </c>
      <c r="H144" s="35" t="n">
        <v>1.85</v>
      </c>
      <c r="I144" s="35" t="n">
        <v>20.15</v>
      </c>
      <c r="J144" s="35" t="n">
        <v>20.15</v>
      </c>
      <c r="K144" s="35" t="n">
        <v>0</v>
      </c>
      <c r="L144" s="35" t="n">
        <v>16.7</v>
      </c>
      <c r="M144" s="35" t="n">
        <v>16.7</v>
      </c>
      <c r="N144" s="35" t="n">
        <v>0</v>
      </c>
      <c r="O144" s="13"/>
    </row>
    <row r="145" customFormat="false" ht="15" hidden="false" customHeight="false" outlineLevel="0" collapsed="false">
      <c r="A145" s="15" t="n">
        <v>5203125761</v>
      </c>
      <c r="B145" s="15" t="s">
        <v>166</v>
      </c>
      <c r="C145" s="69" t="n">
        <v>0.5</v>
      </c>
      <c r="D145" s="31" t="n">
        <v>28.4904</v>
      </c>
      <c r="E145" s="37" t="n">
        <v>18.37</v>
      </c>
      <c r="F145" s="37" t="n">
        <v>1.11</v>
      </c>
      <c r="G145" s="37" t="n">
        <v>0</v>
      </c>
      <c r="H145" s="37" t="n">
        <v>1.84</v>
      </c>
      <c r="I145" s="37" t="n">
        <v>19.48</v>
      </c>
      <c r="J145" s="37" t="n">
        <v>19.48</v>
      </c>
      <c r="K145" s="37" t="n">
        <v>0</v>
      </c>
      <c r="L145" s="37" t="n">
        <v>16.53</v>
      </c>
      <c r="M145" s="37" t="n">
        <v>16.53</v>
      </c>
      <c r="N145" s="37" t="n">
        <v>0</v>
      </c>
      <c r="O145" s="15"/>
    </row>
    <row r="146" customFormat="false" ht="15" hidden="false" customHeight="false" outlineLevel="0" collapsed="false">
      <c r="A146" s="13" t="n">
        <v>5206770341</v>
      </c>
      <c r="B146" s="13" t="s">
        <v>166</v>
      </c>
      <c r="C146" s="70" t="n">
        <v>0.5</v>
      </c>
      <c r="D146" s="30" t="n">
        <v>15.1865</v>
      </c>
      <c r="E146" s="35" t="n">
        <v>10.22</v>
      </c>
      <c r="F146" s="35" t="n">
        <v>0.62</v>
      </c>
      <c r="G146" s="35" t="n">
        <v>0.49</v>
      </c>
      <c r="H146" s="35" t="n">
        <v>1.02</v>
      </c>
      <c r="I146" s="35" t="n">
        <v>11.33</v>
      </c>
      <c r="J146" s="35" t="n">
        <v>11.33</v>
      </c>
      <c r="K146" s="35" t="n">
        <v>0</v>
      </c>
      <c r="L146" s="35" t="n">
        <v>9.2</v>
      </c>
      <c r="M146" s="35" t="n">
        <v>9.2</v>
      </c>
      <c r="N146" s="35" t="n">
        <v>-1.77635683940025E-015</v>
      </c>
      <c r="O146" s="13"/>
    </row>
    <row r="147" customFormat="false" ht="15" hidden="false" customHeight="false" outlineLevel="0" collapsed="false">
      <c r="A147" s="15" t="n">
        <v>5207818951</v>
      </c>
      <c r="B147" s="15" t="s">
        <v>166</v>
      </c>
      <c r="C147" s="69" t="n">
        <v>0.5</v>
      </c>
      <c r="D147" s="31" t="n">
        <v>40.2111</v>
      </c>
      <c r="E147" s="37" t="n">
        <v>25.18</v>
      </c>
      <c r="F147" s="37" t="n">
        <v>1.51</v>
      </c>
      <c r="G147" s="37" t="n">
        <v>0.99</v>
      </c>
      <c r="H147" s="37" t="n">
        <v>2.52</v>
      </c>
      <c r="I147" s="37" t="n">
        <v>27.68</v>
      </c>
      <c r="J147" s="37" t="n">
        <v>27.68</v>
      </c>
      <c r="K147" s="37" t="n">
        <v>0</v>
      </c>
      <c r="L147" s="37" t="n">
        <v>22.66</v>
      </c>
      <c r="M147" s="37" t="n">
        <v>22.66</v>
      </c>
      <c r="N147" s="37" t="n">
        <v>0</v>
      </c>
      <c r="O147" s="15"/>
    </row>
    <row r="148" customFormat="false" ht="15" hidden="false" customHeight="false" outlineLevel="0" collapsed="false">
      <c r="A148" s="13" t="n">
        <v>5214152431</v>
      </c>
      <c r="B148" s="13" t="s">
        <v>166</v>
      </c>
      <c r="C148" s="70" t="n">
        <v>0.5</v>
      </c>
      <c r="D148" s="30" t="n">
        <v>40.2134</v>
      </c>
      <c r="E148" s="35" t="n">
        <v>26.37</v>
      </c>
      <c r="F148" s="35" t="n">
        <v>1.59</v>
      </c>
      <c r="G148" s="35" t="n">
        <v>0</v>
      </c>
      <c r="H148" s="35" t="n">
        <v>2.64</v>
      </c>
      <c r="I148" s="35" t="n">
        <v>27.96</v>
      </c>
      <c r="J148" s="35" t="n">
        <v>27.96</v>
      </c>
      <c r="K148" s="35" t="n">
        <v>0</v>
      </c>
      <c r="L148" s="35" t="n">
        <v>23.73</v>
      </c>
      <c r="M148" s="35" t="n">
        <v>23.73</v>
      </c>
      <c r="N148" s="35" t="n">
        <v>0</v>
      </c>
      <c r="O148" s="13"/>
    </row>
    <row r="149" customFormat="false" ht="15" hidden="false" customHeight="false" outlineLevel="0" collapsed="false">
      <c r="A149" s="15" t="n">
        <v>4989170751</v>
      </c>
      <c r="B149" s="15" t="s">
        <v>166</v>
      </c>
      <c r="C149" s="69" t="n">
        <v>0.5</v>
      </c>
      <c r="D149" s="31" t="n">
        <v>20.0592</v>
      </c>
      <c r="E149" s="37" t="n">
        <v>17.5</v>
      </c>
      <c r="F149" s="37" t="n">
        <v>1.05</v>
      </c>
      <c r="G149" s="37" t="n">
        <v>0</v>
      </c>
      <c r="H149" s="37" t="n">
        <v>1.75</v>
      </c>
      <c r="I149" s="37" t="n">
        <v>18.55</v>
      </c>
      <c r="J149" s="37" t="n">
        <v>18.55</v>
      </c>
      <c r="K149" s="37" t="n">
        <v>0</v>
      </c>
      <c r="L149" s="37" t="n">
        <v>15.75</v>
      </c>
      <c r="M149" s="37" t="n">
        <v>15.75</v>
      </c>
      <c r="N149" s="37" t="n">
        <v>0</v>
      </c>
      <c r="O149" s="15"/>
    </row>
    <row r="150" customFormat="false" ht="15" hidden="false" customHeight="false" outlineLevel="0" collapsed="false">
      <c r="A150" s="13" t="n">
        <v>4987734581</v>
      </c>
      <c r="B150" s="13" t="s">
        <v>168</v>
      </c>
      <c r="C150" s="70" t="n">
        <v>0.5</v>
      </c>
      <c r="D150" s="30" t="n">
        <v>37.759991</v>
      </c>
      <c r="E150" s="35" t="n">
        <v>44.82</v>
      </c>
      <c r="F150" s="35" t="n">
        <v>2.69</v>
      </c>
      <c r="G150" s="35" t="n">
        <v>0</v>
      </c>
      <c r="H150" s="35" t="n">
        <v>4.48</v>
      </c>
      <c r="I150" s="35" t="n">
        <v>47.51</v>
      </c>
      <c r="J150" s="35" t="n">
        <v>47.51</v>
      </c>
      <c r="K150" s="35" t="n">
        <v>0</v>
      </c>
      <c r="L150" s="35" t="n">
        <v>40.34</v>
      </c>
      <c r="M150" s="35" t="n">
        <v>40.34</v>
      </c>
      <c r="N150" s="35" t="n">
        <v>0</v>
      </c>
      <c r="O150" s="13"/>
    </row>
    <row r="151" customFormat="false" ht="15" hidden="false" customHeight="false" outlineLevel="0" collapsed="false">
      <c r="A151" s="15" t="n">
        <v>4523627951</v>
      </c>
      <c r="B151" s="15" t="s">
        <v>166</v>
      </c>
      <c r="C151" s="69" t="n">
        <v>0.25</v>
      </c>
      <c r="D151" s="31" t="n">
        <v>4.8593</v>
      </c>
      <c r="E151" s="37" t="n">
        <v>1.21</v>
      </c>
      <c r="F151" s="37" t="n">
        <v>0.07</v>
      </c>
      <c r="G151" s="37" t="n">
        <v>0</v>
      </c>
      <c r="H151" s="37" t="n">
        <v>0.12</v>
      </c>
      <c r="I151" s="37" t="n">
        <v>1.28</v>
      </c>
      <c r="J151" s="37" t="n">
        <v>1.28</v>
      </c>
      <c r="K151" s="37" t="n">
        <v>0</v>
      </c>
      <c r="L151" s="37" t="n">
        <v>1.09</v>
      </c>
      <c r="M151" s="37" t="n">
        <v>1.09</v>
      </c>
      <c r="N151" s="37" t="n">
        <v>0</v>
      </c>
      <c r="O151" s="15"/>
    </row>
    <row r="152" customFormat="false" ht="15" hidden="false" customHeight="false" outlineLevel="0" collapsed="false">
      <c r="A152" s="13" t="n">
        <v>4646456341</v>
      </c>
      <c r="B152" s="13" t="s">
        <v>166</v>
      </c>
      <c r="C152" s="70" t="n">
        <v>0.4</v>
      </c>
      <c r="D152" s="30" t="n">
        <v>6.1598</v>
      </c>
      <c r="E152" s="35" t="n">
        <v>3.29</v>
      </c>
      <c r="F152" s="35" t="n">
        <v>0.15</v>
      </c>
      <c r="G152" s="35" t="n">
        <v>0</v>
      </c>
      <c r="H152" s="35" t="n">
        <v>0.33</v>
      </c>
      <c r="I152" s="35" t="n">
        <v>3.44</v>
      </c>
      <c r="J152" s="35" t="n">
        <v>3.44</v>
      </c>
      <c r="K152" s="35" t="n">
        <v>0</v>
      </c>
      <c r="L152" s="35" t="n">
        <v>2.96</v>
      </c>
      <c r="M152" s="35" t="n">
        <v>2.96</v>
      </c>
      <c r="N152" s="35" t="n">
        <v>0</v>
      </c>
      <c r="O152" s="13"/>
    </row>
    <row r="153" customFormat="false" ht="15" hidden="false" customHeight="false" outlineLevel="0" collapsed="false">
      <c r="A153" s="15" t="n">
        <v>4605493791</v>
      </c>
      <c r="B153" s="15" t="s">
        <v>166</v>
      </c>
      <c r="C153" s="69" t="n">
        <v>0.4</v>
      </c>
      <c r="D153" s="31" t="n">
        <v>48.506901</v>
      </c>
      <c r="E153" s="37" t="n">
        <v>23.07</v>
      </c>
      <c r="F153" s="37" t="n">
        <v>1.16</v>
      </c>
      <c r="G153" s="37" t="n">
        <v>0</v>
      </c>
      <c r="H153" s="37" t="n">
        <v>2.31</v>
      </c>
      <c r="I153" s="37" t="n">
        <v>24.23</v>
      </c>
      <c r="J153" s="37" t="n">
        <v>24.23</v>
      </c>
      <c r="K153" s="37" t="n">
        <v>0</v>
      </c>
      <c r="L153" s="37" t="n">
        <v>20.76</v>
      </c>
      <c r="M153" s="37" t="n">
        <v>20.76</v>
      </c>
      <c r="N153" s="37" t="n">
        <v>0</v>
      </c>
      <c r="O153" s="15"/>
    </row>
    <row r="154" customFormat="false" ht="15" hidden="false" customHeight="false" outlineLevel="0" collapsed="false">
      <c r="A154" s="13" t="n">
        <v>4608121961</v>
      </c>
      <c r="B154" s="13" t="s">
        <v>168</v>
      </c>
      <c r="C154" s="70" t="n">
        <v>0.4</v>
      </c>
      <c r="D154" s="30" t="n">
        <v>1.656913</v>
      </c>
      <c r="E154" s="35" t="n">
        <v>1.67</v>
      </c>
      <c r="F154" s="35" t="n">
        <v>0.04</v>
      </c>
      <c r="G154" s="35" t="n">
        <v>0</v>
      </c>
      <c r="H154" s="35" t="n">
        <v>0.17</v>
      </c>
      <c r="I154" s="35" t="n">
        <v>1.71</v>
      </c>
      <c r="J154" s="35" t="n">
        <v>1.71</v>
      </c>
      <c r="K154" s="35" t="n">
        <v>0</v>
      </c>
      <c r="L154" s="35" t="n">
        <v>1.5</v>
      </c>
      <c r="M154" s="35" t="n">
        <v>1.5</v>
      </c>
      <c r="N154" s="35" t="n">
        <v>0</v>
      </c>
      <c r="O154" s="13"/>
    </row>
    <row r="155" customFormat="false" ht="15" hidden="false" customHeight="false" outlineLevel="0" collapsed="false">
      <c r="A155" s="15" t="n">
        <v>4608160281</v>
      </c>
      <c r="B155" s="15" t="s">
        <v>168</v>
      </c>
      <c r="C155" s="69" t="n">
        <v>0.4</v>
      </c>
      <c r="D155" s="31" t="n">
        <v>3.20775</v>
      </c>
      <c r="E155" s="37" t="n">
        <v>3.2</v>
      </c>
      <c r="F155" s="37" t="n">
        <v>0.08</v>
      </c>
      <c r="G155" s="37" t="n">
        <v>0</v>
      </c>
      <c r="H155" s="37" t="n">
        <v>0.32</v>
      </c>
      <c r="I155" s="37" t="n">
        <v>3.28</v>
      </c>
      <c r="J155" s="37" t="n">
        <v>3.28</v>
      </c>
      <c r="K155" s="37" t="n">
        <v>-4.44089209850063E-016</v>
      </c>
      <c r="L155" s="37" t="n">
        <v>2.88</v>
      </c>
      <c r="M155" s="37" t="n">
        <v>2.88</v>
      </c>
      <c r="N155" s="37" t="n">
        <v>0</v>
      </c>
      <c r="O155" s="15"/>
    </row>
    <row r="156" customFormat="false" ht="15" hidden="false" customHeight="false" outlineLevel="0" collapsed="false">
      <c r="A156" s="13" t="n">
        <v>4608260881</v>
      </c>
      <c r="B156" s="13" t="s">
        <v>166</v>
      </c>
      <c r="C156" s="70" t="n">
        <v>0.4</v>
      </c>
      <c r="D156" s="30" t="n">
        <v>29.381399</v>
      </c>
      <c r="E156" s="35" t="n">
        <v>13.85</v>
      </c>
      <c r="F156" s="35" t="n">
        <v>0.71</v>
      </c>
      <c r="G156" s="35" t="n">
        <v>0</v>
      </c>
      <c r="H156" s="35" t="n">
        <v>1.38</v>
      </c>
      <c r="I156" s="35" t="n">
        <v>14.56</v>
      </c>
      <c r="J156" s="35" t="n">
        <v>14.56</v>
      </c>
      <c r="K156" s="35" t="n">
        <v>1.77635683940025E-015</v>
      </c>
      <c r="L156" s="35" t="n">
        <v>12.47</v>
      </c>
      <c r="M156" s="35" t="n">
        <v>12.47</v>
      </c>
      <c r="N156" s="35" t="n">
        <v>1.77635683940025E-015</v>
      </c>
      <c r="O156" s="13"/>
    </row>
    <row r="157" customFormat="false" ht="15" hidden="false" customHeight="false" outlineLevel="0" collapsed="false">
      <c r="A157" s="15" t="n">
        <v>4614135981</v>
      </c>
      <c r="B157" s="15" t="s">
        <v>166</v>
      </c>
      <c r="C157" s="69" t="n">
        <v>0.4</v>
      </c>
      <c r="D157" s="31" t="n">
        <v>72.0289</v>
      </c>
      <c r="E157" s="37" t="n">
        <v>34.43</v>
      </c>
      <c r="F157" s="37" t="n">
        <v>1.73</v>
      </c>
      <c r="G157" s="37" t="n">
        <v>0</v>
      </c>
      <c r="H157" s="37" t="n">
        <v>3.44</v>
      </c>
      <c r="I157" s="37" t="n">
        <v>36.16</v>
      </c>
      <c r="J157" s="37" t="n">
        <v>36.16</v>
      </c>
      <c r="K157" s="37" t="n">
        <v>0</v>
      </c>
      <c r="L157" s="37" t="n">
        <v>30.99</v>
      </c>
      <c r="M157" s="37" t="n">
        <v>30.99</v>
      </c>
      <c r="N157" s="37" t="n">
        <v>0</v>
      </c>
      <c r="O157" s="15"/>
    </row>
    <row r="158" customFormat="false" ht="15" hidden="false" customHeight="false" outlineLevel="0" collapsed="false">
      <c r="A158" s="13" t="n">
        <v>4617286741</v>
      </c>
      <c r="B158" s="13" t="s">
        <v>166</v>
      </c>
      <c r="C158" s="70" t="n">
        <v>0.4</v>
      </c>
      <c r="D158" s="30" t="n">
        <v>21.8878</v>
      </c>
      <c r="E158" s="35" t="n">
        <v>13.8</v>
      </c>
      <c r="F158" s="35" t="n">
        <v>0.53</v>
      </c>
      <c r="G158" s="35" t="n">
        <v>0</v>
      </c>
      <c r="H158" s="35" t="n">
        <v>1.38</v>
      </c>
      <c r="I158" s="35" t="n">
        <v>14.33</v>
      </c>
      <c r="J158" s="35" t="n">
        <v>14.33</v>
      </c>
      <c r="K158" s="35" t="n">
        <v>0</v>
      </c>
      <c r="L158" s="35" t="n">
        <v>12.42</v>
      </c>
      <c r="M158" s="35" t="n">
        <v>12.42</v>
      </c>
      <c r="N158" s="35" t="n">
        <v>0</v>
      </c>
      <c r="O158" s="13"/>
    </row>
    <row r="159" customFormat="false" ht="15" hidden="false" customHeight="false" outlineLevel="0" collapsed="false">
      <c r="A159" s="15" t="n">
        <v>4617870451</v>
      </c>
      <c r="B159" s="15" t="s">
        <v>166</v>
      </c>
      <c r="C159" s="69" t="n">
        <v>0.4</v>
      </c>
      <c r="D159" s="31" t="n">
        <v>40.239601</v>
      </c>
      <c r="E159" s="37" t="n">
        <v>19.04</v>
      </c>
      <c r="F159" s="37" t="n">
        <v>0.97</v>
      </c>
      <c r="G159" s="37" t="n">
        <v>0</v>
      </c>
      <c r="H159" s="37" t="n">
        <v>1.9</v>
      </c>
      <c r="I159" s="37" t="n">
        <v>20.01</v>
      </c>
      <c r="J159" s="37" t="n">
        <v>20.01</v>
      </c>
      <c r="K159" s="37" t="n">
        <v>3.5527136788005E-015</v>
      </c>
      <c r="L159" s="37" t="n">
        <v>17.14</v>
      </c>
      <c r="M159" s="37" t="n">
        <v>17.14</v>
      </c>
      <c r="N159" s="37" t="n">
        <v>-3.5527136788005E-015</v>
      </c>
      <c r="O159" s="15"/>
    </row>
    <row r="160" customFormat="false" ht="15" hidden="false" customHeight="false" outlineLevel="0" collapsed="false">
      <c r="A160" s="13" t="n">
        <v>4641229131</v>
      </c>
      <c r="B160" s="13" t="s">
        <v>166</v>
      </c>
      <c r="C160" s="70" t="n">
        <v>0.4</v>
      </c>
      <c r="D160" s="30" t="n">
        <v>6.229</v>
      </c>
      <c r="E160" s="35" t="n">
        <v>2.96</v>
      </c>
      <c r="F160" s="35" t="n">
        <v>0.15</v>
      </c>
      <c r="G160" s="35" t="n">
        <v>0</v>
      </c>
      <c r="H160" s="35" t="n">
        <v>0.3</v>
      </c>
      <c r="I160" s="35" t="n">
        <v>3.11</v>
      </c>
      <c r="J160" s="35" t="n">
        <v>3.11</v>
      </c>
      <c r="K160" s="35" t="n">
        <v>0</v>
      </c>
      <c r="L160" s="35" t="n">
        <v>2.66</v>
      </c>
      <c r="M160" s="35" t="n">
        <v>2.66</v>
      </c>
      <c r="N160" s="35" t="n">
        <v>0</v>
      </c>
      <c r="O160" s="13"/>
    </row>
    <row r="161" customFormat="false" ht="15" hidden="false" customHeight="false" outlineLevel="0" collapsed="false">
      <c r="A161" s="15" t="n">
        <v>4641596451</v>
      </c>
      <c r="B161" s="15" t="s">
        <v>166</v>
      </c>
      <c r="C161" s="69" t="n">
        <v>0.4</v>
      </c>
      <c r="D161" s="31" t="n">
        <v>51.939098</v>
      </c>
      <c r="E161" s="37" t="n">
        <v>24.22</v>
      </c>
      <c r="F161" s="37" t="n">
        <v>1.25</v>
      </c>
      <c r="G161" s="37" t="n">
        <v>0</v>
      </c>
      <c r="H161" s="37" t="n">
        <v>2.42</v>
      </c>
      <c r="I161" s="37" t="n">
        <v>25.47</v>
      </c>
      <c r="J161" s="37" t="n">
        <v>25.47</v>
      </c>
      <c r="K161" s="37" t="n">
        <v>0</v>
      </c>
      <c r="L161" s="37" t="n">
        <v>21.8</v>
      </c>
      <c r="M161" s="37" t="n">
        <v>21.8</v>
      </c>
      <c r="N161" s="37" t="n">
        <v>3.5527136788005E-015</v>
      </c>
      <c r="O161" s="15"/>
    </row>
    <row r="162" customFormat="false" ht="15" hidden="false" customHeight="false" outlineLevel="0" collapsed="false">
      <c r="A162" s="13" t="n">
        <v>4641715541</v>
      </c>
      <c r="B162" s="13" t="s">
        <v>166</v>
      </c>
      <c r="C162" s="70" t="n">
        <v>0.4</v>
      </c>
      <c r="D162" s="30" t="n">
        <v>60.9911</v>
      </c>
      <c r="E162" s="35" t="n">
        <v>28.65</v>
      </c>
      <c r="F162" s="35" t="n">
        <v>1.46</v>
      </c>
      <c r="G162" s="35" t="n">
        <v>0</v>
      </c>
      <c r="H162" s="35" t="n">
        <v>2.86</v>
      </c>
      <c r="I162" s="35" t="n">
        <v>30.11</v>
      </c>
      <c r="J162" s="35" t="n">
        <v>30.11</v>
      </c>
      <c r="K162" s="35" t="n">
        <v>0</v>
      </c>
      <c r="L162" s="35" t="n">
        <v>25.79</v>
      </c>
      <c r="M162" s="35" t="n">
        <v>25.79</v>
      </c>
      <c r="N162" s="35" t="n">
        <v>0</v>
      </c>
      <c r="O162" s="13"/>
    </row>
    <row r="163" customFormat="false" ht="15" hidden="false" customHeight="false" outlineLevel="0" collapsed="false">
      <c r="A163" s="15" t="n">
        <v>4643802021</v>
      </c>
      <c r="B163" s="15" t="s">
        <v>168</v>
      </c>
      <c r="C163" s="69" t="n">
        <v>0.4</v>
      </c>
      <c r="D163" s="31" t="n">
        <v>2.312983</v>
      </c>
      <c r="E163" s="37" t="n">
        <v>2.23</v>
      </c>
      <c r="F163" s="37" t="n">
        <v>0.06</v>
      </c>
      <c r="G163" s="37" t="n">
        <v>0</v>
      </c>
      <c r="H163" s="37" t="n">
        <v>0.22</v>
      </c>
      <c r="I163" s="37" t="n">
        <v>2.29</v>
      </c>
      <c r="J163" s="37" t="n">
        <v>2.29</v>
      </c>
      <c r="K163" s="37" t="n">
        <v>0</v>
      </c>
      <c r="L163" s="37" t="n">
        <v>2.01</v>
      </c>
      <c r="M163" s="37" t="n">
        <v>2.01</v>
      </c>
      <c r="N163" s="37" t="n">
        <v>0</v>
      </c>
      <c r="O163" s="15"/>
    </row>
    <row r="164" customFormat="false" ht="15" hidden="false" customHeight="false" outlineLevel="0" collapsed="false">
      <c r="A164" s="13" t="n">
        <v>4644745771</v>
      </c>
      <c r="B164" s="13" t="s">
        <v>166</v>
      </c>
      <c r="C164" s="70" t="n">
        <v>0.4</v>
      </c>
      <c r="D164" s="30" t="n">
        <v>56.687801</v>
      </c>
      <c r="E164" s="35" t="n">
        <v>26.76</v>
      </c>
      <c r="F164" s="35" t="n">
        <v>1.36</v>
      </c>
      <c r="G164" s="35" t="n">
        <v>0</v>
      </c>
      <c r="H164" s="35" t="n">
        <v>2.68</v>
      </c>
      <c r="I164" s="35" t="n">
        <v>28.12</v>
      </c>
      <c r="J164" s="35" t="n">
        <v>28.12</v>
      </c>
      <c r="K164" s="35" t="n">
        <v>0</v>
      </c>
      <c r="L164" s="35" t="n">
        <v>24.08</v>
      </c>
      <c r="M164" s="35" t="n">
        <v>24.08</v>
      </c>
      <c r="N164" s="35" t="n">
        <v>-3.5527136788005E-015</v>
      </c>
      <c r="O164" s="13"/>
    </row>
    <row r="165" customFormat="false" ht="15" hidden="false" customHeight="false" outlineLevel="0" collapsed="false">
      <c r="A165" s="15" t="n">
        <v>4646520411</v>
      </c>
      <c r="B165" s="15" t="s">
        <v>166</v>
      </c>
      <c r="C165" s="69" t="n">
        <v>0.4</v>
      </c>
      <c r="D165" s="31" t="n">
        <v>20.563</v>
      </c>
      <c r="E165" s="37" t="n">
        <v>11.86</v>
      </c>
      <c r="F165" s="37" t="n">
        <v>0.49</v>
      </c>
      <c r="G165" s="37" t="n">
        <v>0</v>
      </c>
      <c r="H165" s="37" t="n">
        <v>1.19</v>
      </c>
      <c r="I165" s="37" t="n">
        <v>12.35</v>
      </c>
      <c r="J165" s="37" t="n">
        <v>12.35</v>
      </c>
      <c r="K165" s="37" t="n">
        <v>0</v>
      </c>
      <c r="L165" s="37" t="n">
        <v>10.67</v>
      </c>
      <c r="M165" s="37" t="n">
        <v>10.67</v>
      </c>
      <c r="N165" s="37" t="n">
        <v>0</v>
      </c>
      <c r="O165" s="15"/>
    </row>
    <row r="166" customFormat="false" ht="15" hidden="false" customHeight="false" outlineLevel="0" collapsed="false">
      <c r="A166" s="13" t="n">
        <v>4986844971</v>
      </c>
      <c r="B166" s="13" t="s">
        <v>166</v>
      </c>
      <c r="C166" s="70" t="n">
        <v>0.5</v>
      </c>
      <c r="D166" s="30" t="n">
        <v>12.7405</v>
      </c>
      <c r="E166" s="35" t="n">
        <v>9.02</v>
      </c>
      <c r="F166" s="35" t="n">
        <v>0.54</v>
      </c>
      <c r="G166" s="35" t="n">
        <v>0</v>
      </c>
      <c r="H166" s="35" t="n">
        <v>0.9</v>
      </c>
      <c r="I166" s="35" t="n">
        <v>9.56</v>
      </c>
      <c r="J166" s="35" t="n">
        <v>9.56</v>
      </c>
      <c r="K166" s="35" t="n">
        <v>1.77635683940025E-015</v>
      </c>
      <c r="L166" s="35" t="n">
        <v>8.12</v>
      </c>
      <c r="M166" s="35" t="n">
        <v>8.12</v>
      </c>
      <c r="N166" s="35" t="n">
        <v>-1.77635683940025E-015</v>
      </c>
      <c r="O166" s="13"/>
    </row>
    <row r="167" customFormat="false" ht="15" hidden="false" customHeight="false" outlineLevel="0" collapsed="false">
      <c r="A167" s="15" t="n">
        <v>4648092671</v>
      </c>
      <c r="B167" s="15" t="s">
        <v>166</v>
      </c>
      <c r="C167" s="69" t="n">
        <v>0.4</v>
      </c>
      <c r="D167" s="31" t="n">
        <v>25.139</v>
      </c>
      <c r="E167" s="37" t="n">
        <v>11.74</v>
      </c>
      <c r="F167" s="37" t="n">
        <v>0.6</v>
      </c>
      <c r="G167" s="37" t="n">
        <v>0</v>
      </c>
      <c r="H167" s="37" t="n">
        <v>1.17</v>
      </c>
      <c r="I167" s="37" t="n">
        <v>12.34</v>
      </c>
      <c r="J167" s="37" t="n">
        <v>12.34</v>
      </c>
      <c r="K167" s="37" t="n">
        <v>0</v>
      </c>
      <c r="L167" s="37" t="n">
        <v>10.57</v>
      </c>
      <c r="M167" s="37" t="n">
        <v>10.57</v>
      </c>
      <c r="N167" s="37" t="n">
        <v>0</v>
      </c>
      <c r="O167" s="15"/>
    </row>
    <row r="168" customFormat="false" ht="15" hidden="false" customHeight="false" outlineLevel="0" collapsed="false">
      <c r="A168" s="13" t="n">
        <v>4660368151</v>
      </c>
      <c r="B168" s="13" t="s">
        <v>166</v>
      </c>
      <c r="C168" s="70" t="n">
        <v>0.4</v>
      </c>
      <c r="D168" s="30" t="n">
        <v>20.3325</v>
      </c>
      <c r="E168" s="35" t="n">
        <v>10.34</v>
      </c>
      <c r="F168" s="35" t="n">
        <v>0.49</v>
      </c>
      <c r="G168" s="35" t="n">
        <v>0</v>
      </c>
      <c r="H168" s="35" t="n">
        <v>1.03</v>
      </c>
      <c r="I168" s="35" t="n">
        <v>10.83</v>
      </c>
      <c r="J168" s="35" t="n">
        <v>10.83</v>
      </c>
      <c r="K168" s="35" t="n">
        <v>0</v>
      </c>
      <c r="L168" s="35" t="n">
        <v>9.31</v>
      </c>
      <c r="M168" s="35" t="n">
        <v>9.31</v>
      </c>
      <c r="N168" s="35" t="n">
        <v>0</v>
      </c>
      <c r="O168" s="13"/>
    </row>
    <row r="169" customFormat="false" ht="15" hidden="false" customHeight="false" outlineLevel="0" collapsed="false">
      <c r="A169" s="15" t="n">
        <v>4675208611</v>
      </c>
      <c r="B169" s="15" t="s">
        <v>166</v>
      </c>
      <c r="C169" s="69" t="n">
        <v>0.4</v>
      </c>
      <c r="D169" s="31" t="n">
        <v>49.4212</v>
      </c>
      <c r="E169" s="37" t="n">
        <v>23.07</v>
      </c>
      <c r="F169" s="37" t="n">
        <v>1.19</v>
      </c>
      <c r="G169" s="37" t="n">
        <v>0</v>
      </c>
      <c r="H169" s="37" t="n">
        <v>2.31</v>
      </c>
      <c r="I169" s="37" t="n">
        <v>24.26</v>
      </c>
      <c r="J169" s="37" t="n">
        <v>24.26</v>
      </c>
      <c r="K169" s="37" t="n">
        <v>0</v>
      </c>
      <c r="L169" s="37" t="n">
        <v>20.76</v>
      </c>
      <c r="M169" s="37" t="n">
        <v>20.76</v>
      </c>
      <c r="N169" s="37" t="n">
        <v>0</v>
      </c>
      <c r="O169" s="15"/>
    </row>
    <row r="170" customFormat="false" ht="15" hidden="false" customHeight="false" outlineLevel="0" collapsed="false">
      <c r="A170" s="13" t="n">
        <v>4678805351</v>
      </c>
      <c r="B170" s="13" t="s">
        <v>166</v>
      </c>
      <c r="C170" s="70" t="n">
        <v>0.4</v>
      </c>
      <c r="D170" s="30" t="n">
        <v>29.437799</v>
      </c>
      <c r="E170" s="35" t="n">
        <v>13.81</v>
      </c>
      <c r="F170" s="35" t="n">
        <v>0.71</v>
      </c>
      <c r="G170" s="35" t="n">
        <v>0</v>
      </c>
      <c r="H170" s="35" t="n">
        <v>1.38</v>
      </c>
      <c r="I170" s="35" t="n">
        <v>14.52</v>
      </c>
      <c r="J170" s="35" t="n">
        <v>14.52</v>
      </c>
      <c r="K170" s="35" t="n">
        <v>0</v>
      </c>
      <c r="L170" s="35" t="n">
        <v>12.43</v>
      </c>
      <c r="M170" s="35" t="n">
        <v>12.43</v>
      </c>
      <c r="N170" s="35" t="n">
        <v>0</v>
      </c>
      <c r="O170" s="13"/>
    </row>
    <row r="171" customFormat="false" ht="15" hidden="false" customHeight="false" outlineLevel="0" collapsed="false">
      <c r="A171" s="15" t="n">
        <v>4684013521</v>
      </c>
      <c r="B171" s="15" t="s">
        <v>166</v>
      </c>
      <c r="C171" s="69" t="n">
        <v>0.4</v>
      </c>
      <c r="D171" s="31" t="n">
        <v>3.4989</v>
      </c>
      <c r="E171" s="37" t="n">
        <v>1.71</v>
      </c>
      <c r="F171" s="37" t="n">
        <v>0.08</v>
      </c>
      <c r="G171" s="37" t="n">
        <v>0</v>
      </c>
      <c r="H171" s="37" t="n">
        <v>0.17</v>
      </c>
      <c r="I171" s="37" t="n">
        <v>1.79</v>
      </c>
      <c r="J171" s="37" t="n">
        <v>1.79</v>
      </c>
      <c r="K171" s="37" t="n">
        <v>0</v>
      </c>
      <c r="L171" s="37" t="n">
        <v>1.54</v>
      </c>
      <c r="M171" s="37" t="n">
        <v>1.54</v>
      </c>
      <c r="N171" s="37" t="n">
        <v>0</v>
      </c>
      <c r="O171" s="15"/>
    </row>
    <row r="172" customFormat="false" ht="15" hidden="false" customHeight="false" outlineLevel="0" collapsed="false">
      <c r="A172" s="13" t="n">
        <v>4686616141</v>
      </c>
      <c r="B172" s="13" t="s">
        <v>168</v>
      </c>
      <c r="C172" s="70" t="n">
        <v>0.4</v>
      </c>
      <c r="D172" s="30" t="n">
        <v>62.976509</v>
      </c>
      <c r="E172" s="35" t="n">
        <v>61.43</v>
      </c>
      <c r="F172" s="35" t="n">
        <v>1.51</v>
      </c>
      <c r="G172" s="35" t="n">
        <v>0.99</v>
      </c>
      <c r="H172" s="35" t="n">
        <v>5.25</v>
      </c>
      <c r="I172" s="35" t="n">
        <v>63.93</v>
      </c>
      <c r="J172" s="35" t="n">
        <v>63.93</v>
      </c>
      <c r="K172" s="35" t="n">
        <v>0</v>
      </c>
      <c r="L172" s="35" t="n">
        <v>56.18</v>
      </c>
      <c r="M172" s="35" t="n">
        <v>56.18</v>
      </c>
      <c r="N172" s="35" t="n">
        <v>0</v>
      </c>
      <c r="O172" s="13"/>
    </row>
    <row r="173" customFormat="false" ht="15" hidden="false" customHeight="false" outlineLevel="0" collapsed="false">
      <c r="A173" s="15" t="n">
        <v>4690212021</v>
      </c>
      <c r="B173" s="15" t="s">
        <v>166</v>
      </c>
      <c r="C173" s="69" t="n">
        <v>0.4</v>
      </c>
      <c r="D173" s="31" t="n">
        <v>22.837601</v>
      </c>
      <c r="E173" s="37" t="n">
        <v>11.2</v>
      </c>
      <c r="F173" s="37" t="n">
        <v>0.55</v>
      </c>
      <c r="G173" s="37" t="n">
        <v>0</v>
      </c>
      <c r="H173" s="37" t="n">
        <v>1.12</v>
      </c>
      <c r="I173" s="37" t="n">
        <v>11.75</v>
      </c>
      <c r="J173" s="37" t="n">
        <v>11.75</v>
      </c>
      <c r="K173" s="37" t="n">
        <v>0</v>
      </c>
      <c r="L173" s="37" t="n">
        <v>10.08</v>
      </c>
      <c r="M173" s="37" t="n">
        <v>10.08</v>
      </c>
      <c r="N173" s="37" t="n">
        <v>1.77635683940025E-015</v>
      </c>
      <c r="O173" s="15"/>
    </row>
    <row r="174" customFormat="false" ht="15" hidden="false" customHeight="false" outlineLevel="0" collapsed="false">
      <c r="A174" s="13" t="n">
        <v>4692214171</v>
      </c>
      <c r="B174" s="13" t="s">
        <v>166</v>
      </c>
      <c r="C174" s="70" t="n">
        <v>0.4</v>
      </c>
      <c r="D174" s="30" t="n">
        <v>1.366</v>
      </c>
      <c r="E174" s="35" t="n">
        <v>0.8</v>
      </c>
      <c r="F174" s="35" t="n">
        <v>0.03</v>
      </c>
      <c r="G174" s="35" t="n">
        <v>0</v>
      </c>
      <c r="H174" s="35" t="n">
        <v>0.08</v>
      </c>
      <c r="I174" s="35" t="n">
        <v>0.83</v>
      </c>
      <c r="J174" s="35" t="n">
        <v>0.83</v>
      </c>
      <c r="K174" s="35" t="n">
        <v>-1.11022302462516E-016</v>
      </c>
      <c r="L174" s="35" t="n">
        <v>0.72</v>
      </c>
      <c r="M174" s="35" t="n">
        <v>0.72</v>
      </c>
      <c r="N174" s="35" t="n">
        <v>0</v>
      </c>
      <c r="O174" s="13"/>
    </row>
    <row r="175" customFormat="false" ht="15" hidden="false" customHeight="false" outlineLevel="0" collapsed="false">
      <c r="A175" s="15" t="n">
        <v>4696438731</v>
      </c>
      <c r="B175" s="15" t="s">
        <v>166</v>
      </c>
      <c r="C175" s="69" t="n">
        <v>0.4</v>
      </c>
      <c r="D175" s="31" t="n">
        <v>39.279499</v>
      </c>
      <c r="E175" s="37" t="n">
        <v>19.07</v>
      </c>
      <c r="F175" s="37" t="n">
        <v>0.94</v>
      </c>
      <c r="G175" s="37" t="n">
        <v>0</v>
      </c>
      <c r="H175" s="37" t="n">
        <v>1.91</v>
      </c>
      <c r="I175" s="37" t="n">
        <v>20.01</v>
      </c>
      <c r="J175" s="37" t="n">
        <v>20.01</v>
      </c>
      <c r="K175" s="37" t="n">
        <v>0</v>
      </c>
      <c r="L175" s="37" t="n">
        <v>17.16</v>
      </c>
      <c r="M175" s="37" t="n">
        <v>17.16</v>
      </c>
      <c r="N175" s="37" t="n">
        <v>0</v>
      </c>
      <c r="O175" s="15"/>
    </row>
    <row r="176" customFormat="false" ht="15" hidden="false" customHeight="false" outlineLevel="0" collapsed="false">
      <c r="A176" s="13" t="n">
        <v>4702449141</v>
      </c>
      <c r="B176" s="13" t="s">
        <v>166</v>
      </c>
      <c r="C176" s="70" t="n">
        <v>0.4</v>
      </c>
      <c r="D176" s="30" t="n">
        <v>18.4666</v>
      </c>
      <c r="E176" s="35" t="n">
        <v>8.99</v>
      </c>
      <c r="F176" s="35" t="n">
        <v>0.44</v>
      </c>
      <c r="G176" s="35" t="n">
        <v>0</v>
      </c>
      <c r="H176" s="35" t="n">
        <v>0.9</v>
      </c>
      <c r="I176" s="35" t="n">
        <v>9.43</v>
      </c>
      <c r="J176" s="35" t="n">
        <v>9.43</v>
      </c>
      <c r="K176" s="35" t="n">
        <v>0</v>
      </c>
      <c r="L176" s="35" t="n">
        <v>8.09</v>
      </c>
      <c r="M176" s="35" t="n">
        <v>8.09</v>
      </c>
      <c r="N176" s="35" t="n">
        <v>0</v>
      </c>
      <c r="O176" s="13"/>
    </row>
    <row r="177" customFormat="false" ht="15" hidden="false" customHeight="false" outlineLevel="0" collapsed="false">
      <c r="A177" s="15" t="n">
        <v>4708324491</v>
      </c>
      <c r="B177" s="15" t="s">
        <v>168</v>
      </c>
      <c r="C177" s="69" t="n">
        <v>0.4</v>
      </c>
      <c r="D177" s="31" t="n">
        <v>9.172431</v>
      </c>
      <c r="E177" s="37" t="n">
        <v>8.75</v>
      </c>
      <c r="F177" s="37" t="n">
        <v>0.22</v>
      </c>
      <c r="G177" s="37" t="n">
        <v>0</v>
      </c>
      <c r="H177" s="37" t="n">
        <v>0.87</v>
      </c>
      <c r="I177" s="37" t="n">
        <v>8.97</v>
      </c>
      <c r="J177" s="37" t="n">
        <v>8.97</v>
      </c>
      <c r="K177" s="37" t="n">
        <v>0</v>
      </c>
      <c r="L177" s="37" t="n">
        <v>7.88</v>
      </c>
      <c r="M177" s="37" t="n">
        <v>7.88</v>
      </c>
      <c r="N177" s="37" t="n">
        <v>-1.77635683940025E-015</v>
      </c>
      <c r="O177" s="15"/>
    </row>
    <row r="178" customFormat="false" ht="15" hidden="false" customHeight="false" outlineLevel="0" collapsed="false">
      <c r="A178" s="13" t="n">
        <v>4709723941</v>
      </c>
      <c r="B178" s="13" t="s">
        <v>166</v>
      </c>
      <c r="C178" s="70" t="n">
        <v>0.4</v>
      </c>
      <c r="D178" s="30" t="n">
        <v>43.850101</v>
      </c>
      <c r="E178" s="35" t="n">
        <v>20.43</v>
      </c>
      <c r="F178" s="35" t="n">
        <v>1.05</v>
      </c>
      <c r="G178" s="35" t="n">
        <v>0</v>
      </c>
      <c r="H178" s="35" t="n">
        <v>2.04</v>
      </c>
      <c r="I178" s="35" t="n">
        <v>21.48</v>
      </c>
      <c r="J178" s="35" t="n">
        <v>21.48</v>
      </c>
      <c r="K178" s="35" t="n">
        <v>0</v>
      </c>
      <c r="L178" s="35" t="n">
        <v>18.39</v>
      </c>
      <c r="M178" s="35" t="n">
        <v>18.39</v>
      </c>
      <c r="N178" s="35" t="n">
        <v>0</v>
      </c>
      <c r="O178" s="13"/>
    </row>
    <row r="179" customFormat="false" ht="15" hidden="false" customHeight="false" outlineLevel="0" collapsed="false">
      <c r="A179" s="15" t="n">
        <v>4603051091</v>
      </c>
      <c r="B179" s="15" t="s">
        <v>166</v>
      </c>
      <c r="C179" s="69" t="n">
        <v>0.4</v>
      </c>
      <c r="D179" s="31" t="n">
        <v>62.974098</v>
      </c>
      <c r="E179" s="37" t="n">
        <v>29.43</v>
      </c>
      <c r="F179" s="37" t="n">
        <v>1.51</v>
      </c>
      <c r="G179" s="37" t="n">
        <v>0</v>
      </c>
      <c r="H179" s="37" t="n">
        <v>2.94</v>
      </c>
      <c r="I179" s="37" t="n">
        <v>30.94</v>
      </c>
      <c r="J179" s="37" t="n">
        <v>30.94</v>
      </c>
      <c r="K179" s="37" t="n">
        <v>0</v>
      </c>
      <c r="L179" s="37" t="n">
        <v>26.49</v>
      </c>
      <c r="M179" s="37" t="n">
        <v>26.49</v>
      </c>
      <c r="N179" s="37" t="n">
        <v>0</v>
      </c>
      <c r="O179" s="15"/>
    </row>
    <row r="180" customFormat="false" ht="15" hidden="false" customHeight="false" outlineLevel="0" collapsed="false">
      <c r="A180" s="13" t="n">
        <v>4589744431</v>
      </c>
      <c r="B180" s="13" t="s">
        <v>166</v>
      </c>
      <c r="C180" s="70" t="n">
        <v>0.4</v>
      </c>
      <c r="D180" s="30" t="n">
        <v>36.359001</v>
      </c>
      <c r="E180" s="35" t="n">
        <v>17.05</v>
      </c>
      <c r="F180" s="35" t="n">
        <v>0.87</v>
      </c>
      <c r="G180" s="35" t="n">
        <v>0</v>
      </c>
      <c r="H180" s="35" t="n">
        <v>1.7</v>
      </c>
      <c r="I180" s="35" t="n">
        <v>17.92</v>
      </c>
      <c r="J180" s="35" t="n">
        <v>17.92</v>
      </c>
      <c r="K180" s="35" t="n">
        <v>0</v>
      </c>
      <c r="L180" s="35" t="n">
        <v>15.35</v>
      </c>
      <c r="M180" s="35" t="n">
        <v>15.35</v>
      </c>
      <c r="N180" s="35" t="n">
        <v>-3.5527136788005E-015</v>
      </c>
      <c r="O180" s="13"/>
    </row>
    <row r="181" customFormat="false" ht="15" hidden="false" customHeight="false" outlineLevel="0" collapsed="false">
      <c r="A181" s="15" t="n">
        <v>4587521521</v>
      </c>
      <c r="B181" s="15" t="s">
        <v>166</v>
      </c>
      <c r="C181" s="69" t="n">
        <v>0.4</v>
      </c>
      <c r="D181" s="31" t="n">
        <v>63.373699</v>
      </c>
      <c r="E181" s="37" t="n">
        <v>31.09</v>
      </c>
      <c r="F181" s="37" t="n">
        <v>1.52</v>
      </c>
      <c r="G181" s="37" t="n">
        <v>0</v>
      </c>
      <c r="H181" s="37" t="n">
        <v>3.11</v>
      </c>
      <c r="I181" s="37" t="n">
        <v>32.61</v>
      </c>
      <c r="J181" s="37" t="n">
        <v>32.61</v>
      </c>
      <c r="K181" s="37" t="n">
        <v>0</v>
      </c>
      <c r="L181" s="37" t="n">
        <v>27.98</v>
      </c>
      <c r="M181" s="37" t="n">
        <v>27.98</v>
      </c>
      <c r="N181" s="37" t="n">
        <v>0</v>
      </c>
      <c r="O181" s="15"/>
    </row>
    <row r="182" customFormat="false" ht="15" hidden="false" customHeight="false" outlineLevel="0" collapsed="false">
      <c r="A182" s="13" t="n">
        <v>4584735501</v>
      </c>
      <c r="B182" s="13" t="s">
        <v>166</v>
      </c>
      <c r="C182" s="70" t="n">
        <v>0.4</v>
      </c>
      <c r="D182" s="30" t="n">
        <v>14.9243</v>
      </c>
      <c r="E182" s="35" t="n">
        <v>7.2</v>
      </c>
      <c r="F182" s="35" t="n">
        <v>0.36</v>
      </c>
      <c r="G182" s="35" t="n">
        <v>0</v>
      </c>
      <c r="H182" s="35" t="n">
        <v>0.72</v>
      </c>
      <c r="I182" s="35" t="n">
        <v>7.56</v>
      </c>
      <c r="J182" s="35" t="n">
        <v>7.56</v>
      </c>
      <c r="K182" s="35" t="n">
        <v>-8.88178419700125E-016</v>
      </c>
      <c r="L182" s="35" t="n">
        <v>6.48</v>
      </c>
      <c r="M182" s="35" t="n">
        <v>6.48</v>
      </c>
      <c r="N182" s="35" t="n">
        <v>8.88178419700125E-016</v>
      </c>
      <c r="O182" s="13"/>
    </row>
    <row r="183" customFormat="false" ht="15" hidden="false" customHeight="false" outlineLevel="0" collapsed="false">
      <c r="A183" s="15" t="n">
        <v>4526989521</v>
      </c>
      <c r="B183" s="15" t="s">
        <v>166</v>
      </c>
      <c r="C183" s="69" t="n">
        <v>0.25</v>
      </c>
      <c r="D183" s="31" t="n">
        <v>26.1175</v>
      </c>
      <c r="E183" s="37" t="n">
        <v>6.53</v>
      </c>
      <c r="F183" s="37" t="n">
        <v>0.39</v>
      </c>
      <c r="G183" s="37" t="n">
        <v>0</v>
      </c>
      <c r="H183" s="37" t="n">
        <v>0.65</v>
      </c>
      <c r="I183" s="37" t="n">
        <v>6.92</v>
      </c>
      <c r="J183" s="37" t="n">
        <v>6.92</v>
      </c>
      <c r="K183" s="37" t="n">
        <v>0</v>
      </c>
      <c r="L183" s="37" t="n">
        <v>5.88</v>
      </c>
      <c r="M183" s="37" t="n">
        <v>5.88</v>
      </c>
      <c r="N183" s="37" t="n">
        <v>0</v>
      </c>
      <c r="O183" s="15"/>
    </row>
    <row r="184" customFormat="false" ht="15" hidden="false" customHeight="false" outlineLevel="0" collapsed="false">
      <c r="A184" s="13" t="n">
        <v>4530183221</v>
      </c>
      <c r="B184" s="13" t="s">
        <v>166</v>
      </c>
      <c r="C184" s="70" t="n">
        <v>0.25</v>
      </c>
      <c r="D184" s="30" t="n">
        <v>42.2076</v>
      </c>
      <c r="E184" s="35" t="n">
        <v>10.55</v>
      </c>
      <c r="F184" s="35" t="n">
        <v>0.63</v>
      </c>
      <c r="G184" s="35" t="n">
        <v>0</v>
      </c>
      <c r="H184" s="35" t="n">
        <v>1.05</v>
      </c>
      <c r="I184" s="35" t="n">
        <v>11.18</v>
      </c>
      <c r="J184" s="35" t="n">
        <v>11.18</v>
      </c>
      <c r="K184" s="35" t="n">
        <v>-1.77635683940025E-015</v>
      </c>
      <c r="L184" s="35" t="n">
        <v>9.5</v>
      </c>
      <c r="M184" s="35" t="n">
        <v>9.5</v>
      </c>
      <c r="N184" s="35" t="n">
        <v>1.77635683940025E-015</v>
      </c>
      <c r="O184" s="13"/>
    </row>
    <row r="185" customFormat="false" ht="15" hidden="false" customHeight="false" outlineLevel="0" collapsed="false">
      <c r="A185" s="15" t="n">
        <v>4530304121</v>
      </c>
      <c r="B185" s="15" t="s">
        <v>168</v>
      </c>
      <c r="C185" s="69" t="n">
        <v>0.25</v>
      </c>
      <c r="D185" s="31" t="n">
        <v>0.583891</v>
      </c>
      <c r="E185" s="37" t="n">
        <v>0.15</v>
      </c>
      <c r="F185" s="37" t="n">
        <v>0.01</v>
      </c>
      <c r="G185" s="37" t="n">
        <v>0</v>
      </c>
      <c r="H185" s="37" t="n">
        <v>0.01</v>
      </c>
      <c r="I185" s="37" t="n">
        <v>0.16</v>
      </c>
      <c r="J185" s="37" t="n">
        <v>0.16</v>
      </c>
      <c r="K185" s="37" t="n">
        <v>0</v>
      </c>
      <c r="L185" s="37" t="n">
        <v>0.14</v>
      </c>
      <c r="M185" s="37" t="n">
        <v>0.14</v>
      </c>
      <c r="N185" s="37" t="n">
        <v>2.77555756156289E-017</v>
      </c>
      <c r="O185" s="15"/>
    </row>
    <row r="186" customFormat="false" ht="15" hidden="false" customHeight="false" outlineLevel="0" collapsed="false">
      <c r="A186" s="13" t="n">
        <v>4530386071</v>
      </c>
      <c r="B186" s="13" t="s">
        <v>168</v>
      </c>
      <c r="C186" s="70" t="n">
        <v>0.25</v>
      </c>
      <c r="D186" s="30" t="n">
        <v>12.813871</v>
      </c>
      <c r="E186" s="35" t="n">
        <v>3.2</v>
      </c>
      <c r="F186" s="35" t="n">
        <v>0.19</v>
      </c>
      <c r="G186" s="35" t="n">
        <v>0</v>
      </c>
      <c r="H186" s="35" t="n">
        <v>0.32</v>
      </c>
      <c r="I186" s="35" t="n">
        <v>3.39</v>
      </c>
      <c r="J186" s="35" t="n">
        <v>3.39</v>
      </c>
      <c r="K186" s="35" t="n">
        <v>0</v>
      </c>
      <c r="L186" s="35" t="n">
        <v>2.88</v>
      </c>
      <c r="M186" s="35" t="n">
        <v>2.88</v>
      </c>
      <c r="N186" s="35" t="n">
        <v>-4.44089209850063E-016</v>
      </c>
      <c r="O186" s="13"/>
    </row>
    <row r="187" customFormat="false" ht="15" hidden="false" customHeight="false" outlineLevel="0" collapsed="false">
      <c r="A187" s="15" t="n">
        <v>4533809491</v>
      </c>
      <c r="B187" s="15" t="s">
        <v>166</v>
      </c>
      <c r="C187" s="69" t="n">
        <v>0.4</v>
      </c>
      <c r="D187" s="31" t="n">
        <v>42.079498</v>
      </c>
      <c r="E187" s="37" t="n">
        <v>22.08</v>
      </c>
      <c r="F187" s="37" t="n">
        <v>1.01</v>
      </c>
      <c r="G187" s="37" t="n">
        <v>0</v>
      </c>
      <c r="H187" s="37" t="n">
        <v>2.21</v>
      </c>
      <c r="I187" s="37" t="n">
        <v>23.09</v>
      </c>
      <c r="J187" s="37" t="n">
        <v>23.09</v>
      </c>
      <c r="K187" s="37" t="n">
        <v>0</v>
      </c>
      <c r="L187" s="37" t="n">
        <v>19.87</v>
      </c>
      <c r="M187" s="37" t="n">
        <v>19.87</v>
      </c>
      <c r="N187" s="37" t="n">
        <v>3.5527136788005E-015</v>
      </c>
      <c r="O187" s="15"/>
    </row>
    <row r="188" customFormat="false" ht="15" hidden="false" customHeight="false" outlineLevel="0" collapsed="false">
      <c r="A188" s="13" t="n">
        <v>4540153751</v>
      </c>
      <c r="B188" s="13" t="s">
        <v>166</v>
      </c>
      <c r="C188" s="70" t="n">
        <v>0.4</v>
      </c>
      <c r="D188" s="30" t="n">
        <v>8.8275</v>
      </c>
      <c r="E188" s="35" t="n">
        <v>5.01</v>
      </c>
      <c r="F188" s="35" t="n">
        <v>0.21</v>
      </c>
      <c r="G188" s="35" t="n">
        <v>0</v>
      </c>
      <c r="H188" s="35" t="n">
        <v>0.5</v>
      </c>
      <c r="I188" s="35" t="n">
        <v>5.22</v>
      </c>
      <c r="J188" s="35" t="n">
        <v>5.22</v>
      </c>
      <c r="K188" s="35" t="n">
        <v>0</v>
      </c>
      <c r="L188" s="35" t="n">
        <v>4.51</v>
      </c>
      <c r="M188" s="35" t="n">
        <v>4.51</v>
      </c>
      <c r="N188" s="35" t="n">
        <v>0</v>
      </c>
      <c r="O188" s="13"/>
    </row>
    <row r="189" customFormat="false" ht="15" hidden="false" customHeight="false" outlineLevel="0" collapsed="false">
      <c r="A189" s="15" t="n">
        <v>4540492661</v>
      </c>
      <c r="B189" s="15" t="s">
        <v>166</v>
      </c>
      <c r="C189" s="69" t="n">
        <v>0.4</v>
      </c>
      <c r="D189" s="31" t="n">
        <v>0</v>
      </c>
      <c r="E189" s="37" t="n">
        <v>0.36</v>
      </c>
      <c r="F189" s="37" t="n">
        <v>0</v>
      </c>
      <c r="G189" s="37" t="n">
        <v>0</v>
      </c>
      <c r="H189" s="37" t="n">
        <v>0.04</v>
      </c>
      <c r="I189" s="37" t="n">
        <v>0.36</v>
      </c>
      <c r="J189" s="37" t="n">
        <v>0.36</v>
      </c>
      <c r="K189" s="37" t="n">
        <v>0</v>
      </c>
      <c r="L189" s="37" t="n">
        <v>0.32</v>
      </c>
      <c r="M189" s="37" t="n">
        <v>0.32</v>
      </c>
      <c r="N189" s="37" t="n">
        <v>0</v>
      </c>
      <c r="O189" s="15"/>
    </row>
    <row r="190" customFormat="false" ht="15" hidden="false" customHeight="false" outlineLevel="0" collapsed="false">
      <c r="A190" s="13" t="n">
        <v>4540546531</v>
      </c>
      <c r="B190" s="13" t="s">
        <v>166</v>
      </c>
      <c r="C190" s="70" t="n">
        <v>0.4</v>
      </c>
      <c r="D190" s="30" t="n">
        <v>46.164501</v>
      </c>
      <c r="E190" s="35" t="n">
        <v>21.71</v>
      </c>
      <c r="F190" s="35" t="n">
        <v>1.11</v>
      </c>
      <c r="G190" s="35" t="n">
        <v>0</v>
      </c>
      <c r="H190" s="35" t="n">
        <v>2.17</v>
      </c>
      <c r="I190" s="35" t="n">
        <v>22.82</v>
      </c>
      <c r="J190" s="35" t="n">
        <v>22.82</v>
      </c>
      <c r="K190" s="35" t="n">
        <v>0</v>
      </c>
      <c r="L190" s="35" t="n">
        <v>19.54</v>
      </c>
      <c r="M190" s="35" t="n">
        <v>19.54</v>
      </c>
      <c r="N190" s="35" t="n">
        <v>0</v>
      </c>
      <c r="O190" s="13"/>
    </row>
    <row r="191" customFormat="false" ht="15" hidden="false" customHeight="false" outlineLevel="0" collapsed="false">
      <c r="A191" s="15" t="n">
        <v>4540698941</v>
      </c>
      <c r="B191" s="15" t="s">
        <v>166</v>
      </c>
      <c r="C191" s="69" t="n">
        <v>0.4</v>
      </c>
      <c r="D191" s="31" t="n">
        <v>21.1</v>
      </c>
      <c r="E191" s="37" t="n">
        <v>9.93</v>
      </c>
      <c r="F191" s="37" t="n">
        <v>0.51</v>
      </c>
      <c r="G191" s="37" t="n">
        <v>0</v>
      </c>
      <c r="H191" s="37" t="n">
        <v>0.99</v>
      </c>
      <c r="I191" s="37" t="n">
        <v>10.44</v>
      </c>
      <c r="J191" s="37" t="n">
        <v>10.44</v>
      </c>
      <c r="K191" s="37" t="n">
        <v>0</v>
      </c>
      <c r="L191" s="37" t="n">
        <v>8.94</v>
      </c>
      <c r="M191" s="37" t="n">
        <v>8.94</v>
      </c>
      <c r="N191" s="37" t="n">
        <v>0</v>
      </c>
      <c r="O191" s="15"/>
    </row>
    <row r="192" customFormat="false" ht="15" hidden="false" customHeight="false" outlineLevel="0" collapsed="false">
      <c r="A192" s="13" t="n">
        <v>4540773061</v>
      </c>
      <c r="B192" s="13" t="s">
        <v>166</v>
      </c>
      <c r="C192" s="70" t="n">
        <v>0.4</v>
      </c>
      <c r="D192" s="30" t="n">
        <v>14.3674</v>
      </c>
      <c r="E192" s="35" t="n">
        <v>8.41</v>
      </c>
      <c r="F192" s="35" t="n">
        <v>0.35</v>
      </c>
      <c r="G192" s="35" t="n">
        <v>0</v>
      </c>
      <c r="H192" s="35" t="n">
        <v>0.84</v>
      </c>
      <c r="I192" s="35" t="n">
        <v>8.76</v>
      </c>
      <c r="J192" s="35" t="n">
        <v>8.76</v>
      </c>
      <c r="K192" s="35" t="n">
        <v>0</v>
      </c>
      <c r="L192" s="35" t="n">
        <v>7.57</v>
      </c>
      <c r="M192" s="35" t="n">
        <v>7.57</v>
      </c>
      <c r="N192" s="35" t="n">
        <v>0</v>
      </c>
      <c r="O192" s="13"/>
    </row>
    <row r="193" customFormat="false" ht="15" hidden="false" customHeight="false" outlineLevel="0" collapsed="false">
      <c r="A193" s="15" t="n">
        <v>4543524101</v>
      </c>
      <c r="B193" s="15" t="s">
        <v>166</v>
      </c>
      <c r="C193" s="69" t="n">
        <v>0.4</v>
      </c>
      <c r="D193" s="31" t="n">
        <v>5.3031</v>
      </c>
      <c r="E193" s="37" t="n">
        <v>2.93</v>
      </c>
      <c r="F193" s="37" t="n">
        <v>0.13</v>
      </c>
      <c r="G193" s="37" t="n">
        <v>0</v>
      </c>
      <c r="H193" s="37" t="n">
        <v>0.29</v>
      </c>
      <c r="I193" s="37" t="n">
        <v>3.06</v>
      </c>
      <c r="J193" s="37" t="n">
        <v>3.06</v>
      </c>
      <c r="K193" s="37" t="n">
        <v>0</v>
      </c>
      <c r="L193" s="37" t="n">
        <v>2.64</v>
      </c>
      <c r="M193" s="37" t="n">
        <v>2.64</v>
      </c>
      <c r="N193" s="37" t="n">
        <v>0</v>
      </c>
      <c r="O193" s="15"/>
    </row>
    <row r="194" customFormat="false" ht="15" hidden="false" customHeight="false" outlineLevel="0" collapsed="false">
      <c r="A194" s="13" t="n">
        <v>4545941821</v>
      </c>
      <c r="B194" s="13" t="s">
        <v>166</v>
      </c>
      <c r="C194" s="70" t="n">
        <v>0.4</v>
      </c>
      <c r="D194" s="30" t="n">
        <v>5.4966</v>
      </c>
      <c r="E194" s="35" t="n">
        <v>2.63</v>
      </c>
      <c r="F194" s="35" t="n">
        <v>0.13</v>
      </c>
      <c r="G194" s="35" t="n">
        <v>0</v>
      </c>
      <c r="H194" s="35" t="n">
        <v>0.26</v>
      </c>
      <c r="I194" s="35" t="n">
        <v>2.76</v>
      </c>
      <c r="J194" s="35" t="n">
        <v>2.76</v>
      </c>
      <c r="K194" s="35" t="n">
        <v>0</v>
      </c>
      <c r="L194" s="35" t="n">
        <v>2.37</v>
      </c>
      <c r="M194" s="35" t="n">
        <v>2.37</v>
      </c>
      <c r="N194" s="35" t="n">
        <v>0</v>
      </c>
      <c r="O194" s="13"/>
    </row>
    <row r="195" customFormat="false" ht="15" hidden="false" customHeight="false" outlineLevel="0" collapsed="false">
      <c r="A195" s="15" t="n">
        <v>4547937941</v>
      </c>
      <c r="B195" s="15" t="s">
        <v>166</v>
      </c>
      <c r="C195" s="69" t="n">
        <v>0.4</v>
      </c>
      <c r="D195" s="31" t="n">
        <v>22.2493</v>
      </c>
      <c r="E195" s="37" t="n">
        <v>10.38</v>
      </c>
      <c r="F195" s="37" t="n">
        <v>0.53</v>
      </c>
      <c r="G195" s="37" t="n">
        <v>0</v>
      </c>
      <c r="H195" s="37" t="n">
        <v>1.04</v>
      </c>
      <c r="I195" s="37" t="n">
        <v>10.91</v>
      </c>
      <c r="J195" s="37" t="n">
        <v>10.91</v>
      </c>
      <c r="K195" s="37" t="n">
        <v>0</v>
      </c>
      <c r="L195" s="37" t="n">
        <v>9.34</v>
      </c>
      <c r="M195" s="37" t="n">
        <v>9.34</v>
      </c>
      <c r="N195" s="37" t="n">
        <v>-1.77635683940025E-015</v>
      </c>
      <c r="O195" s="15"/>
    </row>
    <row r="196" customFormat="false" ht="15" hidden="false" customHeight="false" outlineLevel="0" collapsed="false">
      <c r="A196" s="13" t="n">
        <v>4549969211</v>
      </c>
      <c r="B196" s="13" t="s">
        <v>166</v>
      </c>
      <c r="C196" s="70" t="n">
        <v>0.4</v>
      </c>
      <c r="D196" s="30" t="n">
        <v>28.066799</v>
      </c>
      <c r="E196" s="35" t="n">
        <v>14.23</v>
      </c>
      <c r="F196" s="35" t="n">
        <v>0.67</v>
      </c>
      <c r="G196" s="35" t="n">
        <v>0</v>
      </c>
      <c r="H196" s="35" t="n">
        <v>1.42</v>
      </c>
      <c r="I196" s="35" t="n">
        <v>14.9</v>
      </c>
      <c r="J196" s="35" t="n">
        <v>14.9</v>
      </c>
      <c r="K196" s="35" t="n">
        <v>0</v>
      </c>
      <c r="L196" s="35" t="n">
        <v>12.81</v>
      </c>
      <c r="M196" s="35" t="n">
        <v>12.81</v>
      </c>
      <c r="N196" s="35" t="n">
        <v>0</v>
      </c>
      <c r="O196" s="13"/>
    </row>
    <row r="197" customFormat="false" ht="15" hidden="false" customHeight="false" outlineLevel="0" collapsed="false">
      <c r="A197" s="15" t="n">
        <v>4552702471</v>
      </c>
      <c r="B197" s="15" t="s">
        <v>166</v>
      </c>
      <c r="C197" s="69" t="n">
        <v>0.4</v>
      </c>
      <c r="D197" s="31" t="n">
        <v>66.149902</v>
      </c>
      <c r="E197" s="37" t="n">
        <v>34.08</v>
      </c>
      <c r="F197" s="37" t="n">
        <v>1.59</v>
      </c>
      <c r="G197" s="37" t="n">
        <v>0</v>
      </c>
      <c r="H197" s="37" t="n">
        <v>3.41</v>
      </c>
      <c r="I197" s="37" t="n">
        <v>35.67</v>
      </c>
      <c r="J197" s="37" t="n">
        <v>35.67</v>
      </c>
      <c r="K197" s="37" t="n">
        <v>0</v>
      </c>
      <c r="L197" s="37" t="n">
        <v>30.67</v>
      </c>
      <c r="M197" s="37" t="n">
        <v>30.67</v>
      </c>
      <c r="N197" s="37" t="n">
        <v>-3.5527136788005E-015</v>
      </c>
      <c r="O197" s="15"/>
    </row>
    <row r="198" customFormat="false" ht="15" hidden="false" customHeight="false" outlineLevel="0" collapsed="false">
      <c r="A198" s="13" t="n">
        <v>4558258911</v>
      </c>
      <c r="B198" s="13" t="s">
        <v>166</v>
      </c>
      <c r="C198" s="70" t="n">
        <v>0.4</v>
      </c>
      <c r="D198" s="30" t="n">
        <v>20.0424</v>
      </c>
      <c r="E198" s="35" t="n">
        <v>13.4</v>
      </c>
      <c r="F198" s="35" t="n">
        <v>0.48</v>
      </c>
      <c r="G198" s="35" t="n">
        <v>0</v>
      </c>
      <c r="H198" s="35" t="n">
        <v>1.34</v>
      </c>
      <c r="I198" s="35" t="n">
        <v>13.88</v>
      </c>
      <c r="J198" s="35" t="n">
        <v>13.88</v>
      </c>
      <c r="K198" s="35" t="n">
        <v>0</v>
      </c>
      <c r="L198" s="35" t="n">
        <v>12.06</v>
      </c>
      <c r="M198" s="35" t="n">
        <v>12.06</v>
      </c>
      <c r="N198" s="35" t="n">
        <v>0</v>
      </c>
      <c r="O198" s="13"/>
    </row>
    <row r="199" customFormat="false" ht="15" hidden="false" customHeight="false" outlineLevel="0" collapsed="false">
      <c r="A199" s="15" t="n">
        <v>4562784681</v>
      </c>
      <c r="B199" s="15" t="s">
        <v>166</v>
      </c>
      <c r="C199" s="69" t="n">
        <v>0.4</v>
      </c>
      <c r="D199" s="31" t="n">
        <v>22.979</v>
      </c>
      <c r="E199" s="37" t="n">
        <v>10.74</v>
      </c>
      <c r="F199" s="37" t="n">
        <v>0.55</v>
      </c>
      <c r="G199" s="37" t="n">
        <v>0</v>
      </c>
      <c r="H199" s="37" t="n">
        <v>1.07</v>
      </c>
      <c r="I199" s="37" t="n">
        <v>11.29</v>
      </c>
      <c r="J199" s="37" t="n">
        <v>11.29</v>
      </c>
      <c r="K199" s="37" t="n">
        <v>-1.77635683940025E-015</v>
      </c>
      <c r="L199" s="37" t="n">
        <v>9.67</v>
      </c>
      <c r="M199" s="37" t="n">
        <v>9.67</v>
      </c>
      <c r="N199" s="37" t="n">
        <v>1.77635683940025E-015</v>
      </c>
      <c r="O199" s="15"/>
    </row>
    <row r="200" customFormat="false" ht="15" hidden="false" customHeight="false" outlineLevel="0" collapsed="false">
      <c r="A200" s="13" t="n">
        <v>4562924501</v>
      </c>
      <c r="B200" s="13" t="s">
        <v>166</v>
      </c>
      <c r="C200" s="70" t="n">
        <v>0.4</v>
      </c>
      <c r="D200" s="30" t="n">
        <v>0</v>
      </c>
      <c r="E200" s="35" t="n">
        <v>0.22</v>
      </c>
      <c r="F200" s="35" t="n">
        <v>0</v>
      </c>
      <c r="G200" s="35" t="n">
        <v>0</v>
      </c>
      <c r="H200" s="35" t="n">
        <v>0.02</v>
      </c>
      <c r="I200" s="35" t="n">
        <v>0.22</v>
      </c>
      <c r="J200" s="35" t="n">
        <v>0.22</v>
      </c>
      <c r="K200" s="35" t="n">
        <v>0</v>
      </c>
      <c r="L200" s="35" t="n">
        <v>0.2</v>
      </c>
      <c r="M200" s="35" t="n">
        <v>0.2</v>
      </c>
      <c r="N200" s="35" t="n">
        <v>0</v>
      </c>
      <c r="O200" s="13"/>
    </row>
    <row r="201" customFormat="false" ht="15" hidden="false" customHeight="false" outlineLevel="0" collapsed="false">
      <c r="A201" s="15" t="n">
        <v>4562936151</v>
      </c>
      <c r="B201" s="15" t="s">
        <v>166</v>
      </c>
      <c r="C201" s="69" t="n">
        <v>0.4</v>
      </c>
      <c r="D201" s="31" t="n">
        <v>30.7314</v>
      </c>
      <c r="E201" s="37" t="n">
        <v>15.31</v>
      </c>
      <c r="F201" s="37" t="n">
        <v>0.74</v>
      </c>
      <c r="G201" s="37" t="n">
        <v>0</v>
      </c>
      <c r="H201" s="37" t="n">
        <v>1.53</v>
      </c>
      <c r="I201" s="37" t="n">
        <v>16.05</v>
      </c>
      <c r="J201" s="37" t="n">
        <v>16.05</v>
      </c>
      <c r="K201" s="37" t="n">
        <v>0</v>
      </c>
      <c r="L201" s="37" t="n">
        <v>13.78</v>
      </c>
      <c r="M201" s="37" t="n">
        <v>13.78</v>
      </c>
      <c r="N201" s="37" t="n">
        <v>-1.77635683940025E-015</v>
      </c>
      <c r="O201" s="15"/>
    </row>
    <row r="202" customFormat="false" ht="15" hidden="false" customHeight="false" outlineLevel="0" collapsed="false">
      <c r="A202" s="13" t="n">
        <v>4563050701</v>
      </c>
      <c r="B202" s="13" t="s">
        <v>166</v>
      </c>
      <c r="C202" s="70" t="n">
        <v>0.4</v>
      </c>
      <c r="D202" s="30" t="n">
        <v>33.872002</v>
      </c>
      <c r="E202" s="35" t="n">
        <v>16.79</v>
      </c>
      <c r="F202" s="35" t="n">
        <v>0.81</v>
      </c>
      <c r="G202" s="35" t="n">
        <v>0</v>
      </c>
      <c r="H202" s="35" t="n">
        <v>1.68</v>
      </c>
      <c r="I202" s="35" t="n">
        <v>17.6</v>
      </c>
      <c r="J202" s="35" t="n">
        <v>17.6</v>
      </c>
      <c r="K202" s="35" t="n">
        <v>3.5527136788005E-015</v>
      </c>
      <c r="L202" s="35" t="n">
        <v>15.11</v>
      </c>
      <c r="M202" s="35" t="n">
        <v>15.11</v>
      </c>
      <c r="N202" s="35" t="n">
        <v>-1.77635683940025E-015</v>
      </c>
      <c r="O202" s="13"/>
    </row>
    <row r="203" customFormat="false" ht="15" hidden="false" customHeight="false" outlineLevel="0" collapsed="false">
      <c r="A203" s="15" t="n">
        <v>4564233461</v>
      </c>
      <c r="B203" s="15" t="s">
        <v>166</v>
      </c>
      <c r="C203" s="69" t="n">
        <v>0.4</v>
      </c>
      <c r="D203" s="31" t="n">
        <v>11.2005</v>
      </c>
      <c r="E203" s="37" t="n">
        <v>5.35</v>
      </c>
      <c r="F203" s="37" t="n">
        <v>0.27</v>
      </c>
      <c r="G203" s="37" t="n">
        <v>0</v>
      </c>
      <c r="H203" s="37" t="n">
        <v>0.53</v>
      </c>
      <c r="I203" s="37" t="n">
        <v>5.62</v>
      </c>
      <c r="J203" s="37" t="n">
        <v>5.62</v>
      </c>
      <c r="K203" s="37" t="n">
        <v>8.88178419700125E-016</v>
      </c>
      <c r="L203" s="37" t="n">
        <v>4.82</v>
      </c>
      <c r="M203" s="37" t="n">
        <v>4.82</v>
      </c>
      <c r="N203" s="37" t="n">
        <v>0</v>
      </c>
      <c r="O203" s="15"/>
    </row>
    <row r="204" customFormat="false" ht="15" hidden="false" customHeight="false" outlineLevel="0" collapsed="false">
      <c r="A204" s="13" t="n">
        <v>4572893011</v>
      </c>
      <c r="B204" s="13" t="s">
        <v>166</v>
      </c>
      <c r="C204" s="70" t="n">
        <v>0.4</v>
      </c>
      <c r="D204" s="30" t="n">
        <v>41.457901</v>
      </c>
      <c r="E204" s="35" t="n">
        <v>19.56</v>
      </c>
      <c r="F204" s="35" t="n">
        <v>0.99</v>
      </c>
      <c r="G204" s="35" t="n">
        <v>0</v>
      </c>
      <c r="H204" s="35" t="n">
        <v>1.96</v>
      </c>
      <c r="I204" s="35" t="n">
        <v>20.55</v>
      </c>
      <c r="J204" s="35" t="n">
        <v>20.55</v>
      </c>
      <c r="K204" s="35" t="n">
        <v>3.5527136788005E-015</v>
      </c>
      <c r="L204" s="35" t="n">
        <v>17.6</v>
      </c>
      <c r="M204" s="35" t="n">
        <v>17.6</v>
      </c>
      <c r="N204" s="35" t="n">
        <v>0</v>
      </c>
      <c r="O204" s="13"/>
    </row>
    <row r="205" customFormat="false" ht="15" hidden="false" customHeight="false" outlineLevel="0" collapsed="false">
      <c r="A205" s="15" t="n">
        <v>4581774341</v>
      </c>
      <c r="B205" s="15" t="s">
        <v>166</v>
      </c>
      <c r="C205" s="69" t="n">
        <v>0.4</v>
      </c>
      <c r="D205" s="31" t="n">
        <v>41.336102</v>
      </c>
      <c r="E205" s="37" t="n">
        <v>19.55</v>
      </c>
      <c r="F205" s="37" t="n">
        <v>0.99</v>
      </c>
      <c r="G205" s="37" t="n">
        <v>0</v>
      </c>
      <c r="H205" s="37" t="n">
        <v>1.95</v>
      </c>
      <c r="I205" s="37" t="n">
        <v>20.54</v>
      </c>
      <c r="J205" s="37" t="n">
        <v>20.54</v>
      </c>
      <c r="K205" s="37" t="n">
        <v>0</v>
      </c>
      <c r="L205" s="37" t="n">
        <v>17.6</v>
      </c>
      <c r="M205" s="37" t="n">
        <v>17.6</v>
      </c>
      <c r="N205" s="37" t="n">
        <v>0</v>
      </c>
      <c r="O205" s="15"/>
    </row>
    <row r="206" customFormat="false" ht="15" hidden="false" customHeight="false" outlineLevel="0" collapsed="false">
      <c r="A206" s="13" t="n">
        <v>4582429001</v>
      </c>
      <c r="B206" s="13" t="s">
        <v>166</v>
      </c>
      <c r="C206" s="70" t="n">
        <v>0.4</v>
      </c>
      <c r="D206" s="30" t="n">
        <v>23.511499</v>
      </c>
      <c r="E206" s="35" t="n">
        <v>11.24</v>
      </c>
      <c r="F206" s="35" t="n">
        <v>0.56</v>
      </c>
      <c r="G206" s="35" t="n">
        <v>0</v>
      </c>
      <c r="H206" s="35" t="n">
        <v>1.12</v>
      </c>
      <c r="I206" s="35" t="n">
        <v>11.8</v>
      </c>
      <c r="J206" s="35" t="n">
        <v>11.8</v>
      </c>
      <c r="K206" s="35" t="n">
        <v>0</v>
      </c>
      <c r="L206" s="35" t="n">
        <v>10.12</v>
      </c>
      <c r="M206" s="35" t="n">
        <v>10.12</v>
      </c>
      <c r="N206" s="35" t="n">
        <v>0</v>
      </c>
      <c r="O206" s="13"/>
    </row>
    <row r="207" customFormat="false" ht="15" hidden="false" customHeight="false" outlineLevel="0" collapsed="false">
      <c r="A207" s="15" t="n">
        <v>4584727751</v>
      </c>
      <c r="B207" s="15" t="s">
        <v>166</v>
      </c>
      <c r="C207" s="69" t="n">
        <v>0.4</v>
      </c>
      <c r="D207" s="31" t="n">
        <v>1.6401</v>
      </c>
      <c r="E207" s="37" t="n">
        <v>0.95</v>
      </c>
      <c r="F207" s="37" t="n">
        <v>0.04</v>
      </c>
      <c r="G207" s="37" t="n">
        <v>0</v>
      </c>
      <c r="H207" s="37" t="n">
        <v>0.09</v>
      </c>
      <c r="I207" s="37" t="n">
        <v>0.99</v>
      </c>
      <c r="J207" s="37" t="n">
        <v>0.99</v>
      </c>
      <c r="K207" s="37" t="n">
        <v>0</v>
      </c>
      <c r="L207" s="37" t="n">
        <v>0.86</v>
      </c>
      <c r="M207" s="37" t="n">
        <v>0.86</v>
      </c>
      <c r="N207" s="37" t="n">
        <v>0</v>
      </c>
      <c r="O207" s="15"/>
    </row>
    <row r="208" customFormat="false" ht="15" hidden="false" customHeight="false" outlineLevel="0" collapsed="false">
      <c r="A208" s="13" t="n">
        <v>4710063501</v>
      </c>
      <c r="B208" s="13" t="s">
        <v>168</v>
      </c>
      <c r="C208" s="70" t="n">
        <v>0.4</v>
      </c>
      <c r="D208" s="30" t="n">
        <v>4.446568</v>
      </c>
      <c r="E208" s="35" t="n">
        <v>4.46</v>
      </c>
      <c r="F208" s="35" t="n">
        <v>0.11</v>
      </c>
      <c r="G208" s="35" t="n">
        <v>0</v>
      </c>
      <c r="H208" s="35" t="n">
        <v>0.45</v>
      </c>
      <c r="I208" s="35" t="n">
        <v>4.57</v>
      </c>
      <c r="J208" s="35" t="n">
        <v>4.57</v>
      </c>
      <c r="K208" s="35" t="n">
        <v>0</v>
      </c>
      <c r="L208" s="35" t="n">
        <v>4.01</v>
      </c>
      <c r="M208" s="35" t="n">
        <v>4.01</v>
      </c>
      <c r="N208" s="35" t="n">
        <v>0</v>
      </c>
      <c r="O208" s="13"/>
    </row>
    <row r="209" customFormat="false" ht="15" hidden="false" customHeight="false" outlineLevel="0" collapsed="false">
      <c r="A209" s="15" t="n">
        <v>4710216931</v>
      </c>
      <c r="B209" s="15" t="s">
        <v>168</v>
      </c>
      <c r="C209" s="69" t="n">
        <v>0.4</v>
      </c>
      <c r="D209" s="31" t="n">
        <v>43.365398</v>
      </c>
      <c r="E209" s="37" t="n">
        <v>42.06</v>
      </c>
      <c r="F209" s="37" t="n">
        <v>1.04</v>
      </c>
      <c r="G209" s="37" t="n">
        <v>0</v>
      </c>
      <c r="H209" s="37" t="n">
        <v>4.21</v>
      </c>
      <c r="I209" s="37" t="n">
        <v>43.1</v>
      </c>
      <c r="J209" s="37" t="n">
        <v>43.1</v>
      </c>
      <c r="K209" s="37" t="n">
        <v>0</v>
      </c>
      <c r="L209" s="37" t="n">
        <v>37.85</v>
      </c>
      <c r="M209" s="37" t="n">
        <v>37.85</v>
      </c>
      <c r="N209" s="37" t="n">
        <v>0</v>
      </c>
      <c r="O209" s="15"/>
    </row>
    <row r="210" customFormat="false" ht="15" hidden="false" customHeight="false" outlineLevel="0" collapsed="false">
      <c r="A210" s="13" t="n">
        <v>4710729371</v>
      </c>
      <c r="B210" s="13" t="s">
        <v>166</v>
      </c>
      <c r="C210" s="70" t="n">
        <v>0.4</v>
      </c>
      <c r="D210" s="30" t="n">
        <v>31.301399</v>
      </c>
      <c r="E210" s="35" t="n">
        <v>14.79</v>
      </c>
      <c r="F210" s="35" t="n">
        <v>0.75</v>
      </c>
      <c r="G210" s="35" t="n">
        <v>0</v>
      </c>
      <c r="H210" s="35" t="n">
        <v>1.48</v>
      </c>
      <c r="I210" s="35" t="n">
        <v>15.54</v>
      </c>
      <c r="J210" s="35" t="n">
        <v>15.54</v>
      </c>
      <c r="K210" s="35" t="n">
        <v>0</v>
      </c>
      <c r="L210" s="35" t="n">
        <v>13.31</v>
      </c>
      <c r="M210" s="35" t="n">
        <v>13.31</v>
      </c>
      <c r="N210" s="35" t="n">
        <v>1.77635683940025E-015</v>
      </c>
      <c r="O210" s="13"/>
    </row>
    <row r="211" customFormat="false" ht="15" hidden="false" customHeight="false" outlineLevel="0" collapsed="false">
      <c r="A211" s="15" t="n">
        <v>4875087351</v>
      </c>
      <c r="B211" s="15" t="s">
        <v>168</v>
      </c>
      <c r="C211" s="69" t="n">
        <v>0.4</v>
      </c>
      <c r="D211" s="31" t="n">
        <v>14.536746</v>
      </c>
      <c r="E211" s="37" t="n">
        <v>23.56</v>
      </c>
      <c r="F211" s="37" t="n">
        <v>1.42</v>
      </c>
      <c r="G211" s="37" t="n">
        <v>0</v>
      </c>
      <c r="H211" s="37" t="n">
        <v>2.36</v>
      </c>
      <c r="I211" s="37" t="n">
        <v>24.98</v>
      </c>
      <c r="J211" s="37" t="n">
        <v>24.98</v>
      </c>
      <c r="K211" s="37" t="n">
        <v>3.5527136788005E-015</v>
      </c>
      <c r="L211" s="37" t="n">
        <v>21.2</v>
      </c>
      <c r="M211" s="37" t="n">
        <v>21.2</v>
      </c>
      <c r="N211" s="37" t="n">
        <v>-3.5527136788005E-015</v>
      </c>
      <c r="O211" s="15"/>
    </row>
    <row r="212" customFormat="false" ht="15" hidden="false" customHeight="false" outlineLevel="0" collapsed="false">
      <c r="A212" s="13" t="n">
        <v>4883146261</v>
      </c>
      <c r="B212" s="13" t="s">
        <v>166</v>
      </c>
      <c r="C212" s="70" t="n">
        <v>0.4</v>
      </c>
      <c r="D212" s="30" t="n">
        <v>17.5867</v>
      </c>
      <c r="E212" s="35" t="n">
        <v>10.32</v>
      </c>
      <c r="F212" s="35" t="n">
        <v>0.62</v>
      </c>
      <c r="G212" s="35" t="n">
        <v>0</v>
      </c>
      <c r="H212" s="35" t="n">
        <v>1.03</v>
      </c>
      <c r="I212" s="35" t="n">
        <v>10.94</v>
      </c>
      <c r="J212" s="35" t="n">
        <v>10.94</v>
      </c>
      <c r="K212" s="35" t="n">
        <v>0</v>
      </c>
      <c r="L212" s="35" t="n">
        <v>9.29</v>
      </c>
      <c r="M212" s="35" t="n">
        <v>9.29</v>
      </c>
      <c r="N212" s="35" t="n">
        <v>-1.77635683940025E-015</v>
      </c>
      <c r="O212" s="13"/>
    </row>
    <row r="213" customFormat="false" ht="15" hidden="false" customHeight="false" outlineLevel="0" collapsed="false">
      <c r="A213" s="15" t="n">
        <v>4884702511</v>
      </c>
      <c r="B213" s="15" t="s">
        <v>166</v>
      </c>
      <c r="C213" s="69" t="n">
        <v>0.4</v>
      </c>
      <c r="D213" s="31" t="n">
        <v>11.6388</v>
      </c>
      <c r="E213" s="37" t="n">
        <v>6.96</v>
      </c>
      <c r="F213" s="37" t="n">
        <v>0.42</v>
      </c>
      <c r="G213" s="37" t="n">
        <v>0</v>
      </c>
      <c r="H213" s="37" t="n">
        <v>0.7</v>
      </c>
      <c r="I213" s="37" t="n">
        <v>7.38</v>
      </c>
      <c r="J213" s="37" t="n">
        <v>7.38</v>
      </c>
      <c r="K213" s="37" t="n">
        <v>0</v>
      </c>
      <c r="L213" s="37" t="n">
        <v>6.26</v>
      </c>
      <c r="M213" s="37" t="n">
        <v>6.26</v>
      </c>
      <c r="N213" s="37" t="n">
        <v>0</v>
      </c>
      <c r="O213" s="15"/>
    </row>
    <row r="214" customFormat="false" ht="15" hidden="false" customHeight="false" outlineLevel="0" collapsed="false">
      <c r="A214" s="13" t="n">
        <v>4886409211</v>
      </c>
      <c r="B214" s="13" t="s">
        <v>168</v>
      </c>
      <c r="C214" s="70" t="n">
        <v>0.4</v>
      </c>
      <c r="D214" s="30" t="n">
        <v>8.101705</v>
      </c>
      <c r="E214" s="35" t="n">
        <v>9.89</v>
      </c>
      <c r="F214" s="35" t="n">
        <v>0.59</v>
      </c>
      <c r="G214" s="35" t="n">
        <v>0</v>
      </c>
      <c r="H214" s="35" t="n">
        <v>0.99</v>
      </c>
      <c r="I214" s="35" t="n">
        <v>10.48</v>
      </c>
      <c r="J214" s="35" t="n">
        <v>10.48</v>
      </c>
      <c r="K214" s="35" t="n">
        <v>0</v>
      </c>
      <c r="L214" s="35" t="n">
        <v>8.9</v>
      </c>
      <c r="M214" s="35" t="n">
        <v>8.9</v>
      </c>
      <c r="N214" s="35" t="n">
        <v>0</v>
      </c>
      <c r="O214" s="13"/>
    </row>
    <row r="215" customFormat="false" ht="15" hidden="false" customHeight="false" outlineLevel="0" collapsed="false">
      <c r="A215" s="15" t="n">
        <v>4888019241</v>
      </c>
      <c r="B215" s="15" t="s">
        <v>166</v>
      </c>
      <c r="C215" s="69" t="n">
        <v>0.4</v>
      </c>
      <c r="D215" s="31" t="n">
        <v>11.6894</v>
      </c>
      <c r="E215" s="37" t="n">
        <v>7.02</v>
      </c>
      <c r="F215" s="37" t="n">
        <v>0.42</v>
      </c>
      <c r="G215" s="37" t="n">
        <v>0</v>
      </c>
      <c r="H215" s="37" t="n">
        <v>0.7</v>
      </c>
      <c r="I215" s="37" t="n">
        <v>7.44</v>
      </c>
      <c r="J215" s="37" t="n">
        <v>7.44</v>
      </c>
      <c r="K215" s="37" t="n">
        <v>8.88178419700125E-016</v>
      </c>
      <c r="L215" s="37" t="n">
        <v>6.32</v>
      </c>
      <c r="M215" s="37" t="n">
        <v>6.32</v>
      </c>
      <c r="N215" s="37" t="n">
        <v>0</v>
      </c>
      <c r="O215" s="15"/>
    </row>
    <row r="216" customFormat="false" ht="15" hidden="false" customHeight="false" outlineLevel="0" collapsed="false">
      <c r="A216" s="13" t="n">
        <v>4889971981</v>
      </c>
      <c r="B216" s="13" t="s">
        <v>166</v>
      </c>
      <c r="C216" s="70" t="n">
        <v>0.4</v>
      </c>
      <c r="D216" s="30" t="n">
        <v>16.996799</v>
      </c>
      <c r="E216" s="35" t="n">
        <v>10.05</v>
      </c>
      <c r="F216" s="35" t="n">
        <v>0.6</v>
      </c>
      <c r="G216" s="35" t="n">
        <v>0</v>
      </c>
      <c r="H216" s="35" t="n">
        <v>1</v>
      </c>
      <c r="I216" s="35" t="n">
        <v>10.65</v>
      </c>
      <c r="J216" s="35" t="n">
        <v>10.65</v>
      </c>
      <c r="K216" s="35" t="n">
        <v>0</v>
      </c>
      <c r="L216" s="35" t="n">
        <v>9.05</v>
      </c>
      <c r="M216" s="35" t="n">
        <v>9.05</v>
      </c>
      <c r="N216" s="35" t="n">
        <v>0</v>
      </c>
      <c r="O216" s="13"/>
    </row>
    <row r="217" customFormat="false" ht="15" hidden="false" customHeight="false" outlineLevel="0" collapsed="false">
      <c r="A217" s="15" t="n">
        <v>4890382581</v>
      </c>
      <c r="B217" s="15" t="s">
        <v>166</v>
      </c>
      <c r="C217" s="69" t="n">
        <v>0.4</v>
      </c>
      <c r="D217" s="31" t="n">
        <v>45.560398</v>
      </c>
      <c r="E217" s="37" t="n">
        <v>26.96</v>
      </c>
      <c r="F217" s="37" t="n">
        <v>1.62</v>
      </c>
      <c r="G217" s="37" t="n">
        <v>0</v>
      </c>
      <c r="H217" s="37" t="n">
        <v>2.7</v>
      </c>
      <c r="I217" s="37" t="n">
        <v>28.58</v>
      </c>
      <c r="J217" s="37" t="n">
        <v>28.58</v>
      </c>
      <c r="K217" s="37" t="n">
        <v>-3.5527136788005E-015</v>
      </c>
      <c r="L217" s="37" t="n">
        <v>24.26</v>
      </c>
      <c r="M217" s="37" t="n">
        <v>24.26</v>
      </c>
      <c r="N217" s="37" t="n">
        <v>3.5527136788005E-015</v>
      </c>
      <c r="O217" s="15"/>
    </row>
    <row r="218" customFormat="false" ht="15" hidden="false" customHeight="false" outlineLevel="0" collapsed="false">
      <c r="A218" s="13" t="n">
        <v>4900439591</v>
      </c>
      <c r="B218" s="13" t="s">
        <v>166</v>
      </c>
      <c r="C218" s="70" t="n">
        <v>0.4</v>
      </c>
      <c r="D218" s="30" t="n">
        <v>14.9908</v>
      </c>
      <c r="E218" s="35" t="n">
        <v>8.91</v>
      </c>
      <c r="F218" s="35" t="n">
        <v>0.53</v>
      </c>
      <c r="G218" s="35" t="n">
        <v>0</v>
      </c>
      <c r="H218" s="35" t="n">
        <v>0.89</v>
      </c>
      <c r="I218" s="35" t="n">
        <v>9.44</v>
      </c>
      <c r="J218" s="35" t="n">
        <v>9.44</v>
      </c>
      <c r="K218" s="35" t="n">
        <v>0</v>
      </c>
      <c r="L218" s="35" t="n">
        <v>8.02</v>
      </c>
      <c r="M218" s="35" t="n">
        <v>8.02</v>
      </c>
      <c r="N218" s="35" t="n">
        <v>0</v>
      </c>
      <c r="O218" s="13"/>
    </row>
    <row r="219" customFormat="false" ht="15" hidden="false" customHeight="false" outlineLevel="0" collapsed="false">
      <c r="A219" s="15" t="n">
        <v>4900744161</v>
      </c>
      <c r="B219" s="15" t="s">
        <v>166</v>
      </c>
      <c r="C219" s="69" t="n">
        <v>0.4</v>
      </c>
      <c r="D219" s="31" t="n">
        <v>62.445</v>
      </c>
      <c r="E219" s="37" t="n">
        <v>37.17</v>
      </c>
      <c r="F219" s="37" t="n">
        <v>2.23</v>
      </c>
      <c r="G219" s="37" t="n">
        <v>0</v>
      </c>
      <c r="H219" s="37" t="n">
        <v>3.72</v>
      </c>
      <c r="I219" s="37" t="n">
        <v>39.4</v>
      </c>
      <c r="J219" s="37" t="n">
        <v>39.4</v>
      </c>
      <c r="K219" s="37" t="n">
        <v>0</v>
      </c>
      <c r="L219" s="37" t="n">
        <v>33.45</v>
      </c>
      <c r="M219" s="37" t="n">
        <v>33.45</v>
      </c>
      <c r="N219" s="37" t="n">
        <v>0</v>
      </c>
      <c r="O219" s="15"/>
    </row>
    <row r="220" customFormat="false" ht="15" hidden="false" customHeight="false" outlineLevel="0" collapsed="false">
      <c r="A220" s="13" t="n">
        <v>4902145451</v>
      </c>
      <c r="B220" s="13" t="s">
        <v>166</v>
      </c>
      <c r="C220" s="70" t="n">
        <v>0.4</v>
      </c>
      <c r="D220" s="30" t="n">
        <v>37.776299</v>
      </c>
      <c r="E220" s="35" t="n">
        <v>22.13</v>
      </c>
      <c r="F220" s="35" t="n">
        <v>1.32</v>
      </c>
      <c r="G220" s="35" t="n">
        <v>0</v>
      </c>
      <c r="H220" s="35" t="n">
        <v>2.21</v>
      </c>
      <c r="I220" s="35" t="n">
        <v>23.45</v>
      </c>
      <c r="J220" s="35" t="n">
        <v>23.45</v>
      </c>
      <c r="K220" s="35" t="n">
        <v>0</v>
      </c>
      <c r="L220" s="35" t="n">
        <v>19.92</v>
      </c>
      <c r="M220" s="35" t="n">
        <v>19.92</v>
      </c>
      <c r="N220" s="35" t="n">
        <v>3.5527136788005E-015</v>
      </c>
      <c r="O220" s="13"/>
    </row>
    <row r="221" customFormat="false" ht="15" hidden="false" customHeight="false" outlineLevel="0" collapsed="false">
      <c r="A221" s="15" t="n">
        <v>4902368671</v>
      </c>
      <c r="B221" s="15" t="s">
        <v>166</v>
      </c>
      <c r="C221" s="69" t="n">
        <v>0.4</v>
      </c>
      <c r="D221" s="31" t="n">
        <v>0.7749</v>
      </c>
      <c r="E221" s="37" t="n">
        <v>0.39</v>
      </c>
      <c r="F221" s="37" t="n">
        <v>0.02</v>
      </c>
      <c r="G221" s="37" t="n">
        <v>0</v>
      </c>
      <c r="H221" s="37" t="n">
        <v>0.04</v>
      </c>
      <c r="I221" s="37" t="n">
        <v>0.41</v>
      </c>
      <c r="J221" s="37" t="n">
        <v>0.41</v>
      </c>
      <c r="K221" s="37" t="n">
        <v>-5.55111512312578E-017</v>
      </c>
      <c r="L221" s="37" t="n">
        <v>0.35</v>
      </c>
      <c r="M221" s="37" t="n">
        <v>0.35</v>
      </c>
      <c r="N221" s="37" t="n">
        <v>0</v>
      </c>
      <c r="O221" s="15"/>
    </row>
    <row r="222" customFormat="false" ht="15" hidden="false" customHeight="false" outlineLevel="0" collapsed="false">
      <c r="A222" s="13" t="n">
        <v>4908614761</v>
      </c>
      <c r="B222" s="13" t="s">
        <v>166</v>
      </c>
      <c r="C222" s="70" t="n">
        <v>0.4</v>
      </c>
      <c r="D222" s="30" t="n">
        <v>67.7453</v>
      </c>
      <c r="E222" s="35" t="n">
        <v>41.25</v>
      </c>
      <c r="F222" s="35" t="n">
        <v>2.47</v>
      </c>
      <c r="G222" s="35" t="n">
        <v>0</v>
      </c>
      <c r="H222" s="35" t="n">
        <v>4.12</v>
      </c>
      <c r="I222" s="35" t="n">
        <v>43.72</v>
      </c>
      <c r="J222" s="35" t="n">
        <v>43.72</v>
      </c>
      <c r="K222" s="35" t="n">
        <v>0</v>
      </c>
      <c r="L222" s="35" t="n">
        <v>37.13</v>
      </c>
      <c r="M222" s="35" t="n">
        <v>37.13</v>
      </c>
      <c r="N222" s="35" t="n">
        <v>0</v>
      </c>
      <c r="O222" s="13"/>
    </row>
    <row r="223" customFormat="false" ht="15" hidden="false" customHeight="false" outlineLevel="0" collapsed="false">
      <c r="A223" s="15" t="n">
        <v>4925318501</v>
      </c>
      <c r="B223" s="15" t="s">
        <v>168</v>
      </c>
      <c r="C223" s="69" t="n">
        <v>0.4</v>
      </c>
      <c r="D223" s="31" t="n">
        <v>1.655707</v>
      </c>
      <c r="E223" s="37" t="n">
        <v>2.2</v>
      </c>
      <c r="F223" s="37" t="n">
        <v>0.13</v>
      </c>
      <c r="G223" s="37" t="n">
        <v>0</v>
      </c>
      <c r="H223" s="37" t="n">
        <v>0.22</v>
      </c>
      <c r="I223" s="37" t="n">
        <v>2.33</v>
      </c>
      <c r="J223" s="37" t="n">
        <v>2.33</v>
      </c>
      <c r="K223" s="37" t="n">
        <v>0</v>
      </c>
      <c r="L223" s="37" t="n">
        <v>1.98</v>
      </c>
      <c r="M223" s="37" t="n">
        <v>1.98</v>
      </c>
      <c r="N223" s="37" t="n">
        <v>0</v>
      </c>
      <c r="O223" s="15"/>
    </row>
    <row r="224" customFormat="false" ht="15" hidden="false" customHeight="false" outlineLevel="0" collapsed="false">
      <c r="A224" s="13" t="n">
        <v>4925500661</v>
      </c>
      <c r="B224" s="13" t="s">
        <v>166</v>
      </c>
      <c r="C224" s="70" t="n">
        <v>0.4</v>
      </c>
      <c r="D224" s="30" t="n">
        <v>11.6677</v>
      </c>
      <c r="E224" s="35" t="n">
        <v>6.94</v>
      </c>
      <c r="F224" s="35" t="n">
        <v>0.42</v>
      </c>
      <c r="G224" s="35" t="n">
        <v>0</v>
      </c>
      <c r="H224" s="35" t="n">
        <v>0.69</v>
      </c>
      <c r="I224" s="35" t="n">
        <v>7.36</v>
      </c>
      <c r="J224" s="35" t="n">
        <v>7.36</v>
      </c>
      <c r="K224" s="35" t="n">
        <v>0</v>
      </c>
      <c r="L224" s="35" t="n">
        <v>6.25</v>
      </c>
      <c r="M224" s="35" t="n">
        <v>6.25</v>
      </c>
      <c r="N224" s="35" t="n">
        <v>0</v>
      </c>
      <c r="O224" s="13"/>
    </row>
    <row r="225" customFormat="false" ht="15" hidden="false" customHeight="false" outlineLevel="0" collapsed="false">
      <c r="A225" s="15" t="n">
        <v>4926065441</v>
      </c>
      <c r="B225" s="15" t="s">
        <v>166</v>
      </c>
      <c r="C225" s="69" t="n">
        <v>0.4</v>
      </c>
      <c r="D225" s="31" t="n">
        <v>26.359501</v>
      </c>
      <c r="E225" s="37" t="n">
        <v>16.69</v>
      </c>
      <c r="F225" s="37" t="n">
        <v>1</v>
      </c>
      <c r="G225" s="37" t="n">
        <v>0</v>
      </c>
      <c r="H225" s="37" t="n">
        <v>1.67</v>
      </c>
      <c r="I225" s="37" t="n">
        <v>17.69</v>
      </c>
      <c r="J225" s="37" t="n">
        <v>17.69</v>
      </c>
      <c r="K225" s="37" t="n">
        <v>0</v>
      </c>
      <c r="L225" s="37" t="n">
        <v>15.02</v>
      </c>
      <c r="M225" s="37" t="n">
        <v>15.02</v>
      </c>
      <c r="N225" s="37" t="n">
        <v>-3.5527136788005E-015</v>
      </c>
      <c r="O225" s="15"/>
    </row>
    <row r="226" customFormat="false" ht="15" hidden="false" customHeight="false" outlineLevel="0" collapsed="false">
      <c r="A226" s="13" t="n">
        <v>4926279751</v>
      </c>
      <c r="B226" s="13" t="s">
        <v>166</v>
      </c>
      <c r="C226" s="70" t="n">
        <v>0.4</v>
      </c>
      <c r="D226" s="30" t="n">
        <v>12.4824</v>
      </c>
      <c r="E226" s="35" t="n">
        <v>7.34</v>
      </c>
      <c r="F226" s="35" t="n">
        <v>0.44</v>
      </c>
      <c r="G226" s="35" t="n">
        <v>0</v>
      </c>
      <c r="H226" s="35" t="n">
        <v>0.73</v>
      </c>
      <c r="I226" s="35" t="n">
        <v>7.78</v>
      </c>
      <c r="J226" s="35" t="n">
        <v>7.78</v>
      </c>
      <c r="K226" s="35" t="n">
        <v>0</v>
      </c>
      <c r="L226" s="35" t="n">
        <v>6.61</v>
      </c>
      <c r="M226" s="35" t="n">
        <v>6.61</v>
      </c>
      <c r="N226" s="35" t="n">
        <v>0</v>
      </c>
      <c r="O226" s="13"/>
    </row>
    <row r="227" customFormat="false" ht="15" hidden="false" customHeight="false" outlineLevel="0" collapsed="false">
      <c r="A227" s="15" t="n">
        <v>4935015601</v>
      </c>
      <c r="B227" s="15" t="s">
        <v>166</v>
      </c>
      <c r="C227" s="69" t="n">
        <v>0.5</v>
      </c>
      <c r="D227" s="31" t="n">
        <v>60.586899</v>
      </c>
      <c r="E227" s="37" t="n">
        <v>39.43</v>
      </c>
      <c r="F227" s="37" t="n">
        <v>2.37</v>
      </c>
      <c r="G227" s="37" t="n">
        <v>0</v>
      </c>
      <c r="H227" s="37" t="n">
        <v>3.94</v>
      </c>
      <c r="I227" s="37" t="n">
        <v>41.8</v>
      </c>
      <c r="J227" s="37" t="n">
        <v>41.8</v>
      </c>
      <c r="K227" s="37" t="n">
        <v>0</v>
      </c>
      <c r="L227" s="37" t="n">
        <v>35.49</v>
      </c>
      <c r="M227" s="37" t="n">
        <v>35.49</v>
      </c>
      <c r="N227" s="37" t="n">
        <v>0</v>
      </c>
      <c r="O227" s="15"/>
    </row>
    <row r="228" customFormat="false" ht="15" hidden="false" customHeight="false" outlineLevel="0" collapsed="false">
      <c r="A228" s="13" t="n">
        <v>4944129701</v>
      </c>
      <c r="B228" s="13" t="s">
        <v>166</v>
      </c>
      <c r="C228" s="70" t="n">
        <v>0.5</v>
      </c>
      <c r="D228" s="30" t="n">
        <v>53.8335</v>
      </c>
      <c r="E228" s="35" t="n">
        <v>31.45</v>
      </c>
      <c r="F228" s="35" t="n">
        <v>1.89</v>
      </c>
      <c r="G228" s="35" t="n">
        <v>0</v>
      </c>
      <c r="H228" s="35" t="n">
        <v>3.14</v>
      </c>
      <c r="I228" s="35" t="n">
        <v>33.34</v>
      </c>
      <c r="J228" s="35" t="n">
        <v>33.34</v>
      </c>
      <c r="K228" s="35" t="n">
        <v>7.105427357601E-015</v>
      </c>
      <c r="L228" s="35" t="n">
        <v>28.31</v>
      </c>
      <c r="M228" s="35" t="n">
        <v>28.31</v>
      </c>
      <c r="N228" s="35" t="n">
        <v>-3.5527136788005E-015</v>
      </c>
      <c r="O228" s="13"/>
    </row>
    <row r="229" customFormat="false" ht="15" hidden="false" customHeight="false" outlineLevel="0" collapsed="false">
      <c r="A229" s="15" t="n">
        <v>4949686711</v>
      </c>
      <c r="B229" s="15" t="s">
        <v>166</v>
      </c>
      <c r="C229" s="69" t="n">
        <v>0.5</v>
      </c>
      <c r="D229" s="31" t="n">
        <v>13.1724</v>
      </c>
      <c r="E229" s="37" t="n">
        <v>8.1</v>
      </c>
      <c r="F229" s="37" t="n">
        <v>0.49</v>
      </c>
      <c r="G229" s="37" t="n">
        <v>0</v>
      </c>
      <c r="H229" s="37" t="n">
        <v>0.81</v>
      </c>
      <c r="I229" s="37" t="n">
        <v>8.59</v>
      </c>
      <c r="J229" s="37" t="n">
        <v>8.59</v>
      </c>
      <c r="K229" s="37" t="n">
        <v>0</v>
      </c>
      <c r="L229" s="37" t="n">
        <v>7.29</v>
      </c>
      <c r="M229" s="37" t="n">
        <v>7.29</v>
      </c>
      <c r="N229" s="37" t="n">
        <v>8.88178419700125E-016</v>
      </c>
      <c r="O229" s="15"/>
    </row>
    <row r="230" customFormat="false" ht="15" hidden="false" customHeight="false" outlineLevel="0" collapsed="false">
      <c r="A230" s="13" t="n">
        <v>4951981571</v>
      </c>
      <c r="B230" s="13" t="s">
        <v>166</v>
      </c>
      <c r="C230" s="70" t="n">
        <v>0.5</v>
      </c>
      <c r="D230" s="30" t="n">
        <v>40.9562</v>
      </c>
      <c r="E230" s="35" t="n">
        <v>24.88</v>
      </c>
      <c r="F230" s="35" t="n">
        <v>1.49</v>
      </c>
      <c r="G230" s="35" t="n">
        <v>0</v>
      </c>
      <c r="H230" s="35" t="n">
        <v>2.49</v>
      </c>
      <c r="I230" s="35" t="n">
        <v>26.37</v>
      </c>
      <c r="J230" s="35" t="n">
        <v>26.37</v>
      </c>
      <c r="K230" s="35" t="n">
        <v>3.5527136788005E-015</v>
      </c>
      <c r="L230" s="35" t="n">
        <v>22.39</v>
      </c>
      <c r="M230" s="35" t="n">
        <v>22.39</v>
      </c>
      <c r="N230" s="35" t="n">
        <v>-3.5527136788005E-015</v>
      </c>
      <c r="O230" s="13"/>
    </row>
    <row r="231" customFormat="false" ht="15" hidden="false" customHeight="false" outlineLevel="0" collapsed="false">
      <c r="A231" s="15" t="n">
        <v>4957293331</v>
      </c>
      <c r="B231" s="15" t="s">
        <v>166</v>
      </c>
      <c r="C231" s="69" t="n">
        <v>0.5</v>
      </c>
      <c r="D231" s="31" t="n">
        <v>66.366898</v>
      </c>
      <c r="E231" s="37" t="n">
        <v>38.71</v>
      </c>
      <c r="F231" s="37" t="n">
        <v>2.32</v>
      </c>
      <c r="G231" s="37" t="n">
        <v>0</v>
      </c>
      <c r="H231" s="37" t="n">
        <v>3.87</v>
      </c>
      <c r="I231" s="37" t="n">
        <v>41.03</v>
      </c>
      <c r="J231" s="37" t="n">
        <v>41.03</v>
      </c>
      <c r="K231" s="37" t="n">
        <v>0</v>
      </c>
      <c r="L231" s="37" t="n">
        <v>34.84</v>
      </c>
      <c r="M231" s="37" t="n">
        <v>34.84</v>
      </c>
      <c r="N231" s="37" t="n">
        <v>0</v>
      </c>
      <c r="O231" s="15"/>
    </row>
    <row r="232" customFormat="false" ht="15" hidden="false" customHeight="false" outlineLevel="0" collapsed="false">
      <c r="A232" s="13" t="n">
        <v>4976809861</v>
      </c>
      <c r="B232" s="13" t="s">
        <v>166</v>
      </c>
      <c r="C232" s="70" t="n">
        <v>0.5</v>
      </c>
      <c r="D232" s="30" t="n">
        <v>19.178699</v>
      </c>
      <c r="E232" s="35" t="n">
        <v>11.79</v>
      </c>
      <c r="F232" s="35" t="n">
        <v>0.71</v>
      </c>
      <c r="G232" s="35" t="n">
        <v>0</v>
      </c>
      <c r="H232" s="35" t="n">
        <v>1.18</v>
      </c>
      <c r="I232" s="35" t="n">
        <v>12.5</v>
      </c>
      <c r="J232" s="35" t="n">
        <v>12.5</v>
      </c>
      <c r="K232" s="35" t="n">
        <v>0</v>
      </c>
      <c r="L232" s="35" t="n">
        <v>10.61</v>
      </c>
      <c r="M232" s="35" t="n">
        <v>10.61</v>
      </c>
      <c r="N232" s="35" t="n">
        <v>0</v>
      </c>
      <c r="O232" s="13"/>
    </row>
    <row r="233" customFormat="false" ht="15" hidden="false" customHeight="false" outlineLevel="0" collapsed="false">
      <c r="A233" s="15" t="n">
        <v>4983982431</v>
      </c>
      <c r="B233" s="15" t="s">
        <v>166</v>
      </c>
      <c r="C233" s="69" t="n">
        <v>0.5</v>
      </c>
      <c r="D233" s="31" t="n">
        <v>43.7174</v>
      </c>
      <c r="E233" s="37" t="n">
        <v>27.49</v>
      </c>
      <c r="F233" s="37" t="n">
        <v>1.65</v>
      </c>
      <c r="G233" s="37" t="n">
        <v>0</v>
      </c>
      <c r="H233" s="37" t="n">
        <v>2.75</v>
      </c>
      <c r="I233" s="37" t="n">
        <v>29.14</v>
      </c>
      <c r="J233" s="37" t="n">
        <v>29.14</v>
      </c>
      <c r="K233" s="37" t="n">
        <v>3.5527136788005E-015</v>
      </c>
      <c r="L233" s="37" t="n">
        <v>24.74</v>
      </c>
      <c r="M233" s="37" t="n">
        <v>24.74</v>
      </c>
      <c r="N233" s="37" t="n">
        <v>-3.5527136788005E-015</v>
      </c>
      <c r="O233" s="15"/>
    </row>
    <row r="234" customFormat="false" ht="15" hidden="false" customHeight="false" outlineLevel="0" collapsed="false">
      <c r="A234" s="13" t="n">
        <v>4984669281</v>
      </c>
      <c r="B234" s="13" t="s">
        <v>166</v>
      </c>
      <c r="C234" s="70" t="n">
        <v>0.5</v>
      </c>
      <c r="D234" s="30" t="n">
        <v>9.6899</v>
      </c>
      <c r="E234" s="35" t="n">
        <v>5.82</v>
      </c>
      <c r="F234" s="35" t="n">
        <v>0.35</v>
      </c>
      <c r="G234" s="35" t="n">
        <v>0</v>
      </c>
      <c r="H234" s="35" t="n">
        <v>0.58</v>
      </c>
      <c r="I234" s="35" t="n">
        <v>6.17</v>
      </c>
      <c r="J234" s="35" t="n">
        <v>6.17</v>
      </c>
      <c r="K234" s="35" t="n">
        <v>0</v>
      </c>
      <c r="L234" s="35" t="n">
        <v>5.24</v>
      </c>
      <c r="M234" s="35" t="n">
        <v>5.24</v>
      </c>
      <c r="N234" s="35" t="n">
        <v>0</v>
      </c>
      <c r="O234" s="13"/>
    </row>
    <row r="235" customFormat="false" ht="15" hidden="false" customHeight="false" outlineLevel="0" collapsed="false">
      <c r="A235" s="15" t="n">
        <v>4985696991</v>
      </c>
      <c r="B235" s="15" t="s">
        <v>168</v>
      </c>
      <c r="C235" s="69" t="n">
        <v>0.5</v>
      </c>
      <c r="D235" s="31" t="n">
        <v>1.797054</v>
      </c>
      <c r="E235" s="37" t="n">
        <v>2.18</v>
      </c>
      <c r="F235" s="37" t="n">
        <v>0.13</v>
      </c>
      <c r="G235" s="37" t="n">
        <v>0</v>
      </c>
      <c r="H235" s="37" t="n">
        <v>0.22</v>
      </c>
      <c r="I235" s="37" t="n">
        <v>2.31</v>
      </c>
      <c r="J235" s="37" t="n">
        <v>2.31</v>
      </c>
      <c r="K235" s="37" t="n">
        <v>0</v>
      </c>
      <c r="L235" s="37" t="n">
        <v>1.96</v>
      </c>
      <c r="M235" s="37" t="n">
        <v>1.96</v>
      </c>
      <c r="N235" s="37" t="n">
        <v>0</v>
      </c>
      <c r="O235" s="15"/>
    </row>
    <row r="236" customFormat="false" ht="15" hidden="false" customHeight="false" outlineLevel="0" collapsed="false">
      <c r="A236" s="13" t="n">
        <v>4986565491</v>
      </c>
      <c r="B236" s="13" t="s">
        <v>166</v>
      </c>
      <c r="C236" s="70" t="n">
        <v>0.5</v>
      </c>
      <c r="D236" s="30" t="n">
        <v>86.0774</v>
      </c>
      <c r="E236" s="35" t="n">
        <v>51.57</v>
      </c>
      <c r="F236" s="35" t="n">
        <v>3.09</v>
      </c>
      <c r="G236" s="35" t="n">
        <v>0</v>
      </c>
      <c r="H236" s="35" t="n">
        <v>5.16</v>
      </c>
      <c r="I236" s="35" t="n">
        <v>54.66</v>
      </c>
      <c r="J236" s="35" t="n">
        <v>54.66</v>
      </c>
      <c r="K236" s="35" t="n">
        <v>0</v>
      </c>
      <c r="L236" s="35" t="n">
        <v>46.41</v>
      </c>
      <c r="M236" s="35" t="n">
        <v>46.41</v>
      </c>
      <c r="N236" s="35" t="n">
        <v>0</v>
      </c>
      <c r="O236" s="13"/>
    </row>
    <row r="237" customFormat="false" ht="15" hidden="false" customHeight="false" outlineLevel="0" collapsed="false">
      <c r="A237" s="15" t="n">
        <v>4876786981</v>
      </c>
      <c r="B237" s="15" t="s">
        <v>166</v>
      </c>
      <c r="C237" s="69" t="n">
        <v>0.4</v>
      </c>
      <c r="D237" s="31" t="n">
        <v>31.8365</v>
      </c>
      <c r="E237" s="37" t="n">
        <v>18.81</v>
      </c>
      <c r="F237" s="37" t="n">
        <v>1.13</v>
      </c>
      <c r="G237" s="37" t="n">
        <v>0</v>
      </c>
      <c r="H237" s="37" t="n">
        <v>1.88</v>
      </c>
      <c r="I237" s="37" t="n">
        <v>19.94</v>
      </c>
      <c r="J237" s="37" t="n">
        <v>19.94</v>
      </c>
      <c r="K237" s="37" t="n">
        <v>3.5527136788005E-015</v>
      </c>
      <c r="L237" s="37" t="n">
        <v>16.93</v>
      </c>
      <c r="M237" s="37" t="n">
        <v>16.93</v>
      </c>
      <c r="N237" s="37" t="n">
        <v>-3.5527136788005E-015</v>
      </c>
      <c r="O237" s="15"/>
    </row>
    <row r="238" customFormat="false" ht="15" hidden="false" customHeight="false" outlineLevel="0" collapsed="false">
      <c r="A238" s="13" t="n">
        <v>4867334471</v>
      </c>
      <c r="B238" s="13" t="s">
        <v>166</v>
      </c>
      <c r="C238" s="70" t="n">
        <v>0.4</v>
      </c>
      <c r="D238" s="30" t="n">
        <v>89.408302</v>
      </c>
      <c r="E238" s="35" t="n">
        <v>56.38</v>
      </c>
      <c r="F238" s="35" t="n">
        <v>3.38</v>
      </c>
      <c r="G238" s="35" t="n">
        <v>0</v>
      </c>
      <c r="H238" s="35" t="n">
        <v>5.64</v>
      </c>
      <c r="I238" s="35" t="n">
        <v>59.76</v>
      </c>
      <c r="J238" s="35" t="n">
        <v>59.76</v>
      </c>
      <c r="K238" s="35" t="n">
        <v>-7.105427357601E-015</v>
      </c>
      <c r="L238" s="35" t="n">
        <v>50.74</v>
      </c>
      <c r="M238" s="35" t="n">
        <v>50.74</v>
      </c>
      <c r="N238" s="35" t="n">
        <v>7.105427357601E-015</v>
      </c>
      <c r="O238" s="13"/>
    </row>
    <row r="239" customFormat="false" ht="15" hidden="false" customHeight="false" outlineLevel="0" collapsed="false">
      <c r="A239" s="15" t="n">
        <v>4711421421</v>
      </c>
      <c r="B239" s="15" t="s">
        <v>166</v>
      </c>
      <c r="C239" s="69" t="n">
        <v>0.4</v>
      </c>
      <c r="D239" s="31" t="n">
        <v>45.4538</v>
      </c>
      <c r="E239" s="37" t="n">
        <v>25.57</v>
      </c>
      <c r="F239" s="37" t="n">
        <v>1.09</v>
      </c>
      <c r="G239" s="37" t="n">
        <v>0</v>
      </c>
      <c r="H239" s="37" t="n">
        <v>2.56</v>
      </c>
      <c r="I239" s="37" t="n">
        <v>26.66</v>
      </c>
      <c r="J239" s="37" t="n">
        <v>26.66</v>
      </c>
      <c r="K239" s="37" t="n">
        <v>0</v>
      </c>
      <c r="L239" s="37" t="n">
        <v>23.01</v>
      </c>
      <c r="M239" s="37" t="n">
        <v>23.01</v>
      </c>
      <c r="N239" s="37" t="n">
        <v>0</v>
      </c>
      <c r="O239" s="15"/>
    </row>
    <row r="240" customFormat="false" ht="15" hidden="false" customHeight="false" outlineLevel="0" collapsed="false">
      <c r="A240" s="13" t="n">
        <v>4850779931</v>
      </c>
      <c r="B240" s="13" t="s">
        <v>166</v>
      </c>
      <c r="C240" s="70" t="n">
        <v>0.4</v>
      </c>
      <c r="D240" s="30" t="n">
        <v>22.3647</v>
      </c>
      <c r="E240" s="35" t="n">
        <v>13.33</v>
      </c>
      <c r="F240" s="35" t="n">
        <v>0.8</v>
      </c>
      <c r="G240" s="35" t="n">
        <v>0</v>
      </c>
      <c r="H240" s="35" t="n">
        <v>1.33</v>
      </c>
      <c r="I240" s="35" t="n">
        <v>14.13</v>
      </c>
      <c r="J240" s="35" t="n">
        <v>14.13</v>
      </c>
      <c r="K240" s="35" t="n">
        <v>0</v>
      </c>
      <c r="L240" s="35" t="n">
        <v>12</v>
      </c>
      <c r="M240" s="35" t="n">
        <v>12</v>
      </c>
      <c r="N240" s="35" t="n">
        <v>0</v>
      </c>
      <c r="O240" s="13"/>
    </row>
    <row r="241" customFormat="false" ht="15" hidden="false" customHeight="false" outlineLevel="0" collapsed="false">
      <c r="A241" s="15" t="n">
        <v>4712260231</v>
      </c>
      <c r="B241" s="15" t="s">
        <v>166</v>
      </c>
      <c r="C241" s="69" t="n">
        <v>0.4</v>
      </c>
      <c r="D241" s="31" t="n">
        <v>48.287498</v>
      </c>
      <c r="E241" s="37" t="n">
        <v>23.02</v>
      </c>
      <c r="F241" s="37" t="n">
        <v>1.16</v>
      </c>
      <c r="G241" s="37" t="n">
        <v>0</v>
      </c>
      <c r="H241" s="37" t="n">
        <v>2.3</v>
      </c>
      <c r="I241" s="37" t="n">
        <v>24.18</v>
      </c>
      <c r="J241" s="37" t="n">
        <v>24.18</v>
      </c>
      <c r="K241" s="37" t="n">
        <v>0</v>
      </c>
      <c r="L241" s="37" t="n">
        <v>20.72</v>
      </c>
      <c r="M241" s="37" t="n">
        <v>20.72</v>
      </c>
      <c r="N241" s="37" t="n">
        <v>0</v>
      </c>
      <c r="O241" s="15"/>
    </row>
    <row r="242" customFormat="false" ht="15" hidden="false" customHeight="false" outlineLevel="0" collapsed="false">
      <c r="A242" s="13" t="n">
        <v>4712308231</v>
      </c>
      <c r="B242" s="13" t="s">
        <v>168</v>
      </c>
      <c r="C242" s="70" t="n">
        <v>0.4</v>
      </c>
      <c r="D242" s="30" t="n">
        <v>31.527758</v>
      </c>
      <c r="E242" s="35" t="n">
        <v>30.5</v>
      </c>
      <c r="F242" s="35" t="n">
        <v>0.76</v>
      </c>
      <c r="G242" s="35" t="n">
        <v>0.99</v>
      </c>
      <c r="H242" s="35" t="n">
        <v>2.16</v>
      </c>
      <c r="I242" s="35" t="n">
        <v>32.25</v>
      </c>
      <c r="J242" s="35" t="n">
        <v>32.25</v>
      </c>
      <c r="K242" s="35" t="n">
        <v>0</v>
      </c>
      <c r="L242" s="35" t="n">
        <v>28.34</v>
      </c>
      <c r="M242" s="35" t="n">
        <v>28.34</v>
      </c>
      <c r="N242" s="35" t="n">
        <v>0</v>
      </c>
      <c r="O242" s="13"/>
    </row>
    <row r="243" customFormat="false" ht="15" hidden="false" customHeight="false" outlineLevel="0" collapsed="false">
      <c r="A243" s="15" t="n">
        <v>4715306981</v>
      </c>
      <c r="B243" s="15" t="s">
        <v>166</v>
      </c>
      <c r="C243" s="69" t="n">
        <v>0.4</v>
      </c>
      <c r="D243" s="31" t="n">
        <v>50.118999</v>
      </c>
      <c r="E243" s="37" t="n">
        <v>38.33</v>
      </c>
      <c r="F243" s="37" t="n">
        <v>1.2</v>
      </c>
      <c r="G243" s="37" t="n">
        <v>0</v>
      </c>
      <c r="H243" s="37" t="n">
        <v>3.83</v>
      </c>
      <c r="I243" s="37" t="n">
        <v>39.53</v>
      </c>
      <c r="J243" s="37" t="n">
        <v>39.53</v>
      </c>
      <c r="K243" s="37" t="n">
        <v>0</v>
      </c>
      <c r="L243" s="37" t="n">
        <v>34.5</v>
      </c>
      <c r="M243" s="37" t="n">
        <v>34.5</v>
      </c>
      <c r="N243" s="37" t="n">
        <v>0</v>
      </c>
      <c r="O243" s="15"/>
    </row>
    <row r="244" customFormat="false" ht="15" hidden="false" customHeight="false" outlineLevel="0" collapsed="false">
      <c r="A244" s="13" t="n">
        <v>4721839241</v>
      </c>
      <c r="B244" s="13" t="s">
        <v>166</v>
      </c>
      <c r="C244" s="70" t="n">
        <v>0.4</v>
      </c>
      <c r="D244" s="30" t="n">
        <v>19.7619</v>
      </c>
      <c r="E244" s="35" t="n">
        <v>9.28</v>
      </c>
      <c r="F244" s="35" t="n">
        <v>0.47</v>
      </c>
      <c r="G244" s="35" t="n">
        <v>0</v>
      </c>
      <c r="H244" s="35" t="n">
        <v>0.93</v>
      </c>
      <c r="I244" s="35" t="n">
        <v>9.75</v>
      </c>
      <c r="J244" s="35" t="n">
        <v>9.75</v>
      </c>
      <c r="K244" s="35" t="n">
        <v>0</v>
      </c>
      <c r="L244" s="35" t="n">
        <v>8.35</v>
      </c>
      <c r="M244" s="35" t="n">
        <v>8.35</v>
      </c>
      <c r="N244" s="35" t="n">
        <v>0</v>
      </c>
      <c r="O244" s="13"/>
    </row>
    <row r="245" customFormat="false" ht="15" hidden="false" customHeight="false" outlineLevel="0" collapsed="false">
      <c r="A245" s="15" t="n">
        <v>4722921421</v>
      </c>
      <c r="B245" s="15" t="s">
        <v>166</v>
      </c>
      <c r="C245" s="69" t="n">
        <v>0.4</v>
      </c>
      <c r="D245" s="31" t="n">
        <v>38.716202</v>
      </c>
      <c r="E245" s="37" t="n">
        <v>18.78</v>
      </c>
      <c r="F245" s="37" t="n">
        <v>0.93</v>
      </c>
      <c r="G245" s="37" t="n">
        <v>0</v>
      </c>
      <c r="H245" s="37" t="n">
        <v>1.88</v>
      </c>
      <c r="I245" s="37" t="n">
        <v>19.71</v>
      </c>
      <c r="J245" s="37" t="n">
        <v>19.71</v>
      </c>
      <c r="K245" s="37" t="n">
        <v>0</v>
      </c>
      <c r="L245" s="37" t="n">
        <v>16.9</v>
      </c>
      <c r="M245" s="37" t="n">
        <v>16.9</v>
      </c>
      <c r="N245" s="37" t="n">
        <v>-3.5527136788005E-015</v>
      </c>
      <c r="O245" s="15"/>
    </row>
    <row r="246" customFormat="false" ht="15" hidden="false" customHeight="false" outlineLevel="0" collapsed="false">
      <c r="A246" s="13" t="n">
        <v>4723077581</v>
      </c>
      <c r="B246" s="13" t="s">
        <v>166</v>
      </c>
      <c r="C246" s="70" t="n">
        <v>0.4</v>
      </c>
      <c r="D246" s="30" t="n">
        <v>42.318802</v>
      </c>
      <c r="E246" s="35" t="n">
        <v>22.2</v>
      </c>
      <c r="F246" s="35" t="n">
        <v>1.02</v>
      </c>
      <c r="G246" s="35" t="n">
        <v>0</v>
      </c>
      <c r="H246" s="35" t="n">
        <v>2.22</v>
      </c>
      <c r="I246" s="35" t="n">
        <v>23.22</v>
      </c>
      <c r="J246" s="35" t="n">
        <v>23.22</v>
      </c>
      <c r="K246" s="35" t="n">
        <v>0</v>
      </c>
      <c r="L246" s="35" t="n">
        <v>19.98</v>
      </c>
      <c r="M246" s="35" t="n">
        <v>19.98</v>
      </c>
      <c r="N246" s="35" t="n">
        <v>0</v>
      </c>
      <c r="O246" s="13"/>
    </row>
    <row r="247" customFormat="false" ht="15" hidden="false" customHeight="false" outlineLevel="0" collapsed="false">
      <c r="A247" s="15" t="n">
        <v>4724893031</v>
      </c>
      <c r="B247" s="15" t="s">
        <v>166</v>
      </c>
      <c r="C247" s="69" t="n">
        <v>0.4</v>
      </c>
      <c r="D247" s="31" t="n">
        <v>18.436001</v>
      </c>
      <c r="E247" s="37" t="n">
        <v>10.39</v>
      </c>
      <c r="F247" s="37" t="n">
        <v>0.44</v>
      </c>
      <c r="G247" s="37" t="n">
        <v>0</v>
      </c>
      <c r="H247" s="37" t="n">
        <v>1.04</v>
      </c>
      <c r="I247" s="37" t="n">
        <v>10.83</v>
      </c>
      <c r="J247" s="37" t="n">
        <v>10.83</v>
      </c>
      <c r="K247" s="37" t="n">
        <v>0</v>
      </c>
      <c r="L247" s="37" t="n">
        <v>9.35</v>
      </c>
      <c r="M247" s="37" t="n">
        <v>9.35</v>
      </c>
      <c r="N247" s="37" t="n">
        <v>0</v>
      </c>
      <c r="O247" s="15"/>
    </row>
    <row r="248" customFormat="false" ht="15" hidden="false" customHeight="false" outlineLevel="0" collapsed="false">
      <c r="A248" s="13" t="n">
        <v>4727829791</v>
      </c>
      <c r="B248" s="13" t="s">
        <v>166</v>
      </c>
      <c r="C248" s="70" t="n">
        <v>0.4</v>
      </c>
      <c r="D248" s="30" t="n">
        <v>30.217699</v>
      </c>
      <c r="E248" s="35" t="n">
        <v>11.42</v>
      </c>
      <c r="F248" s="35" t="n">
        <v>0.47</v>
      </c>
      <c r="G248" s="35" t="n">
        <v>0</v>
      </c>
      <c r="H248" s="35" t="n">
        <v>1.14</v>
      </c>
      <c r="I248" s="35" t="n">
        <v>11.89</v>
      </c>
      <c r="J248" s="35" t="n">
        <v>11.89</v>
      </c>
      <c r="K248" s="35" t="n">
        <v>0</v>
      </c>
      <c r="L248" s="35" t="n">
        <v>10.28</v>
      </c>
      <c r="M248" s="35" t="n">
        <v>10.28</v>
      </c>
      <c r="N248" s="35" t="n">
        <v>0</v>
      </c>
      <c r="O248" s="13"/>
    </row>
    <row r="249" customFormat="false" ht="15" hidden="false" customHeight="false" outlineLevel="0" collapsed="false">
      <c r="A249" s="15" t="n">
        <v>4733857311</v>
      </c>
      <c r="B249" s="15" t="s">
        <v>166</v>
      </c>
      <c r="C249" s="69" t="n">
        <v>0.4</v>
      </c>
      <c r="D249" s="31" t="n">
        <v>12.3724</v>
      </c>
      <c r="E249" s="37" t="n">
        <v>6</v>
      </c>
      <c r="F249" s="37" t="n">
        <v>0.36</v>
      </c>
      <c r="G249" s="37" t="n">
        <v>0</v>
      </c>
      <c r="H249" s="37" t="n">
        <v>0.6</v>
      </c>
      <c r="I249" s="37" t="n">
        <v>6.36</v>
      </c>
      <c r="J249" s="37" t="n">
        <v>6.36</v>
      </c>
      <c r="K249" s="37" t="n">
        <v>0</v>
      </c>
      <c r="L249" s="37" t="n">
        <v>5.4</v>
      </c>
      <c r="M249" s="37" t="n">
        <v>5.4</v>
      </c>
      <c r="N249" s="37" t="n">
        <v>0</v>
      </c>
      <c r="O249" s="15"/>
    </row>
    <row r="250" customFormat="false" ht="15" hidden="false" customHeight="false" outlineLevel="0" collapsed="false">
      <c r="A250" s="13" t="n">
        <v>4741403081</v>
      </c>
      <c r="B250" s="13" t="s">
        <v>166</v>
      </c>
      <c r="C250" s="70" t="n">
        <v>0.4</v>
      </c>
      <c r="D250" s="30" t="n">
        <v>13.1661</v>
      </c>
      <c r="E250" s="35" t="n">
        <v>6.21</v>
      </c>
      <c r="F250" s="35" t="n">
        <v>0.38</v>
      </c>
      <c r="G250" s="35" t="n">
        <v>0</v>
      </c>
      <c r="H250" s="35" t="n">
        <v>0.62</v>
      </c>
      <c r="I250" s="35" t="n">
        <v>6.59</v>
      </c>
      <c r="J250" s="35" t="n">
        <v>6.59</v>
      </c>
      <c r="K250" s="35" t="n">
        <v>0</v>
      </c>
      <c r="L250" s="35" t="n">
        <v>5.59</v>
      </c>
      <c r="M250" s="35" t="n">
        <v>5.59</v>
      </c>
      <c r="N250" s="35" t="n">
        <v>0</v>
      </c>
      <c r="O250" s="13"/>
    </row>
    <row r="251" customFormat="false" ht="15" hidden="false" customHeight="false" outlineLevel="0" collapsed="false">
      <c r="A251" s="15" t="n">
        <v>4761007781</v>
      </c>
      <c r="B251" s="15" t="s">
        <v>166</v>
      </c>
      <c r="C251" s="69" t="n">
        <v>0.4</v>
      </c>
      <c r="D251" s="31" t="n">
        <v>40.663502</v>
      </c>
      <c r="E251" s="37" t="n">
        <v>19.47</v>
      </c>
      <c r="F251" s="37" t="n">
        <v>1.17</v>
      </c>
      <c r="G251" s="37" t="n">
        <v>0</v>
      </c>
      <c r="H251" s="37" t="n">
        <v>1.95</v>
      </c>
      <c r="I251" s="37" t="n">
        <v>20.64</v>
      </c>
      <c r="J251" s="37" t="n">
        <v>20.64</v>
      </c>
      <c r="K251" s="37" t="n">
        <v>0</v>
      </c>
      <c r="L251" s="37" t="n">
        <v>17.52</v>
      </c>
      <c r="M251" s="37" t="n">
        <v>17.52</v>
      </c>
      <c r="N251" s="37" t="n">
        <v>-3.5527136788005E-015</v>
      </c>
      <c r="O251" s="15"/>
    </row>
    <row r="252" customFormat="false" ht="15" hidden="false" customHeight="false" outlineLevel="0" collapsed="false">
      <c r="A252" s="13" t="n">
        <v>4777307511</v>
      </c>
      <c r="B252" s="13" t="s">
        <v>166</v>
      </c>
      <c r="C252" s="70" t="n">
        <v>0.4</v>
      </c>
      <c r="D252" s="30" t="n">
        <v>2.0061</v>
      </c>
      <c r="E252" s="35" t="n">
        <v>1</v>
      </c>
      <c r="F252" s="35" t="n">
        <v>0.06</v>
      </c>
      <c r="G252" s="35" t="n">
        <v>0</v>
      </c>
      <c r="H252" s="35" t="n">
        <v>0.1</v>
      </c>
      <c r="I252" s="35" t="n">
        <v>1.06</v>
      </c>
      <c r="J252" s="35" t="n">
        <v>1.06</v>
      </c>
      <c r="K252" s="35" t="n">
        <v>0</v>
      </c>
      <c r="L252" s="35" t="n">
        <v>0.9</v>
      </c>
      <c r="M252" s="35" t="n">
        <v>0.9</v>
      </c>
      <c r="N252" s="35" t="n">
        <v>-1.11022302462516E-016</v>
      </c>
      <c r="O252" s="13"/>
    </row>
    <row r="253" customFormat="false" ht="15" hidden="false" customHeight="false" outlineLevel="0" collapsed="false">
      <c r="A253" s="15" t="n">
        <v>4777318221</v>
      </c>
      <c r="B253" s="15" t="s">
        <v>166</v>
      </c>
      <c r="C253" s="69" t="n">
        <v>0.4</v>
      </c>
      <c r="D253" s="31" t="n">
        <v>8.3979</v>
      </c>
      <c r="E253" s="37" t="n">
        <v>4.01</v>
      </c>
      <c r="F253" s="37" t="n">
        <v>0.24</v>
      </c>
      <c r="G253" s="37" t="n">
        <v>0</v>
      </c>
      <c r="H253" s="37" t="n">
        <v>0.4</v>
      </c>
      <c r="I253" s="37" t="n">
        <v>4.25</v>
      </c>
      <c r="J253" s="37" t="n">
        <v>4.25</v>
      </c>
      <c r="K253" s="37" t="n">
        <v>0</v>
      </c>
      <c r="L253" s="37" t="n">
        <v>3.61</v>
      </c>
      <c r="M253" s="37" t="n">
        <v>3.61</v>
      </c>
      <c r="N253" s="37" t="n">
        <v>-4.44089209850063E-016</v>
      </c>
      <c r="O253" s="15"/>
    </row>
    <row r="254" customFormat="false" ht="15" hidden="false" customHeight="false" outlineLevel="0" collapsed="false">
      <c r="A254" s="13" t="n">
        <v>4779338971</v>
      </c>
      <c r="B254" s="13" t="s">
        <v>166</v>
      </c>
      <c r="C254" s="70" t="n">
        <v>0.4</v>
      </c>
      <c r="D254" s="30" t="n">
        <v>0</v>
      </c>
      <c r="E254" s="35" t="n">
        <v>0.21</v>
      </c>
      <c r="F254" s="35" t="n">
        <v>0.01</v>
      </c>
      <c r="G254" s="35" t="n">
        <v>0</v>
      </c>
      <c r="H254" s="35" t="n">
        <v>0.02</v>
      </c>
      <c r="I254" s="35" t="n">
        <v>0.22</v>
      </c>
      <c r="J254" s="35" t="n">
        <v>0.22</v>
      </c>
      <c r="K254" s="35" t="n">
        <v>0</v>
      </c>
      <c r="L254" s="35" t="n">
        <v>0.19</v>
      </c>
      <c r="M254" s="35" t="n">
        <v>0.19</v>
      </c>
      <c r="N254" s="35" t="n">
        <v>0</v>
      </c>
      <c r="O254" s="13"/>
    </row>
    <row r="255" customFormat="false" ht="15" hidden="false" customHeight="false" outlineLevel="0" collapsed="false">
      <c r="A255" s="15" t="n">
        <v>4779342671</v>
      </c>
      <c r="B255" s="15" t="s">
        <v>166</v>
      </c>
      <c r="C255" s="69" t="n">
        <v>0.4</v>
      </c>
      <c r="D255" s="31" t="n">
        <v>0</v>
      </c>
      <c r="E255" s="37" t="n">
        <v>0.28</v>
      </c>
      <c r="F255" s="37" t="n">
        <v>0.02</v>
      </c>
      <c r="G255" s="37" t="n">
        <v>0</v>
      </c>
      <c r="H255" s="37" t="n">
        <v>0.03</v>
      </c>
      <c r="I255" s="37" t="n">
        <v>0.3</v>
      </c>
      <c r="J255" s="37" t="n">
        <v>0.3</v>
      </c>
      <c r="K255" s="37" t="n">
        <v>-5.55111512312578E-017</v>
      </c>
      <c r="L255" s="37" t="n">
        <v>0.25</v>
      </c>
      <c r="M255" s="37" t="n">
        <v>0.25</v>
      </c>
      <c r="N255" s="37" t="n">
        <v>0</v>
      </c>
      <c r="O255" s="15"/>
    </row>
    <row r="256" customFormat="false" ht="15" hidden="false" customHeight="false" outlineLevel="0" collapsed="false">
      <c r="A256" s="13" t="n">
        <v>4779353161</v>
      </c>
      <c r="B256" s="13" t="s">
        <v>166</v>
      </c>
      <c r="C256" s="70" t="n">
        <v>0.4</v>
      </c>
      <c r="D256" s="30" t="n">
        <v>21.7241</v>
      </c>
      <c r="E256" s="35" t="n">
        <v>10.44</v>
      </c>
      <c r="F256" s="35" t="n">
        <v>0.63</v>
      </c>
      <c r="G256" s="35" t="n">
        <v>0</v>
      </c>
      <c r="H256" s="35" t="n">
        <v>1.04</v>
      </c>
      <c r="I256" s="35" t="n">
        <v>11.07</v>
      </c>
      <c r="J256" s="35" t="n">
        <v>11.07</v>
      </c>
      <c r="K256" s="35" t="n">
        <v>0</v>
      </c>
      <c r="L256" s="35" t="n">
        <v>9.4</v>
      </c>
      <c r="M256" s="35" t="n">
        <v>9.4</v>
      </c>
      <c r="N256" s="35" t="n">
        <v>0</v>
      </c>
      <c r="O256" s="13"/>
    </row>
    <row r="257" customFormat="false" ht="15" hidden="false" customHeight="false" outlineLevel="0" collapsed="false">
      <c r="A257" s="15" t="n">
        <v>4822670541</v>
      </c>
      <c r="B257" s="15" t="s">
        <v>166</v>
      </c>
      <c r="C257" s="69" t="n">
        <v>0.4</v>
      </c>
      <c r="D257" s="31" t="n">
        <v>73.232498</v>
      </c>
      <c r="E257" s="37" t="n">
        <v>34.86</v>
      </c>
      <c r="F257" s="37" t="n">
        <v>2.09</v>
      </c>
      <c r="G257" s="37" t="n">
        <v>0</v>
      </c>
      <c r="H257" s="37" t="n">
        <v>3.49</v>
      </c>
      <c r="I257" s="37" t="n">
        <v>36.95</v>
      </c>
      <c r="J257" s="37" t="n">
        <v>36.95</v>
      </c>
      <c r="K257" s="37" t="n">
        <v>0</v>
      </c>
      <c r="L257" s="37" t="n">
        <v>31.37</v>
      </c>
      <c r="M257" s="37" t="n">
        <v>31.37</v>
      </c>
      <c r="N257" s="37" t="n">
        <v>0</v>
      </c>
      <c r="O257" s="15"/>
    </row>
    <row r="258" customFormat="false" ht="15" hidden="false" customHeight="false" outlineLevel="0" collapsed="false">
      <c r="A258" s="13" t="n">
        <v>4825237521</v>
      </c>
      <c r="B258" s="13" t="s">
        <v>166</v>
      </c>
      <c r="C258" s="70" t="n">
        <v>0.4</v>
      </c>
      <c r="D258" s="30" t="n">
        <v>50.064899</v>
      </c>
      <c r="E258" s="35" t="n">
        <v>24.7</v>
      </c>
      <c r="F258" s="35" t="n">
        <v>1.48</v>
      </c>
      <c r="G258" s="35" t="n">
        <v>0</v>
      </c>
      <c r="H258" s="35" t="n">
        <v>2.47</v>
      </c>
      <c r="I258" s="35" t="n">
        <v>26.18</v>
      </c>
      <c r="J258" s="35" t="n">
        <v>26.18</v>
      </c>
      <c r="K258" s="35" t="n">
        <v>0</v>
      </c>
      <c r="L258" s="35" t="n">
        <v>22.23</v>
      </c>
      <c r="M258" s="35" t="n">
        <v>22.23</v>
      </c>
      <c r="N258" s="35" t="n">
        <v>0</v>
      </c>
      <c r="O258" s="13"/>
    </row>
    <row r="259" customFormat="false" ht="15" hidden="false" customHeight="false" outlineLevel="0" collapsed="false">
      <c r="A259" s="15" t="n">
        <v>4832197411</v>
      </c>
      <c r="B259" s="15" t="s">
        <v>166</v>
      </c>
      <c r="C259" s="69" t="n">
        <v>0.4</v>
      </c>
      <c r="D259" s="31" t="n">
        <v>55.120602</v>
      </c>
      <c r="E259" s="37" t="n">
        <v>26.37</v>
      </c>
      <c r="F259" s="37" t="n">
        <v>1.58</v>
      </c>
      <c r="G259" s="37" t="n">
        <v>0</v>
      </c>
      <c r="H259" s="37" t="n">
        <v>2.64</v>
      </c>
      <c r="I259" s="37" t="n">
        <v>27.95</v>
      </c>
      <c r="J259" s="37" t="n">
        <v>27.95</v>
      </c>
      <c r="K259" s="37" t="n">
        <v>-3.5527136788005E-015</v>
      </c>
      <c r="L259" s="37" t="n">
        <v>23.73</v>
      </c>
      <c r="M259" s="37" t="n">
        <v>23.73</v>
      </c>
      <c r="N259" s="37" t="n">
        <v>3.5527136788005E-015</v>
      </c>
      <c r="O259" s="15"/>
    </row>
    <row r="260" customFormat="false" ht="15" hidden="false" customHeight="false" outlineLevel="0" collapsed="false">
      <c r="A260" s="13" t="n">
        <v>4832810371</v>
      </c>
      <c r="B260" s="13" t="s">
        <v>166</v>
      </c>
      <c r="C260" s="70" t="n">
        <v>0.4</v>
      </c>
      <c r="D260" s="30" t="n">
        <v>32.118401</v>
      </c>
      <c r="E260" s="35" t="n">
        <v>15.19</v>
      </c>
      <c r="F260" s="35" t="n">
        <v>0.91</v>
      </c>
      <c r="G260" s="35" t="n">
        <v>0</v>
      </c>
      <c r="H260" s="35" t="n">
        <v>1.52</v>
      </c>
      <c r="I260" s="35" t="n">
        <v>16.1</v>
      </c>
      <c r="J260" s="35" t="n">
        <v>16.1</v>
      </c>
      <c r="K260" s="35" t="n">
        <v>3.5527136788005E-015</v>
      </c>
      <c r="L260" s="35" t="n">
        <v>13.67</v>
      </c>
      <c r="M260" s="35" t="n">
        <v>13.67</v>
      </c>
      <c r="N260" s="35" t="n">
        <v>-1.77635683940025E-015</v>
      </c>
      <c r="O260" s="13"/>
    </row>
    <row r="261" customFormat="false" ht="15" hidden="false" customHeight="false" outlineLevel="0" collapsed="false">
      <c r="A261" s="15" t="n">
        <v>4833046641</v>
      </c>
      <c r="B261" s="15" t="s">
        <v>166</v>
      </c>
      <c r="C261" s="69" t="n">
        <v>0.4</v>
      </c>
      <c r="D261" s="31" t="n">
        <v>45.535</v>
      </c>
      <c r="E261" s="37" t="n">
        <v>22.22</v>
      </c>
      <c r="F261" s="37" t="n">
        <v>1.33</v>
      </c>
      <c r="G261" s="37" t="n">
        <v>0</v>
      </c>
      <c r="H261" s="37" t="n">
        <v>2.22</v>
      </c>
      <c r="I261" s="37" t="n">
        <v>23.55</v>
      </c>
      <c r="J261" s="37" t="n">
        <v>23.55</v>
      </c>
      <c r="K261" s="37" t="n">
        <v>3.5527136788005E-015</v>
      </c>
      <c r="L261" s="37" t="n">
        <v>20</v>
      </c>
      <c r="M261" s="37" t="n">
        <v>20</v>
      </c>
      <c r="N261" s="37" t="n">
        <v>0</v>
      </c>
      <c r="O261" s="15"/>
    </row>
    <row r="262" customFormat="false" ht="15" hidden="false" customHeight="false" outlineLevel="0" collapsed="false">
      <c r="A262" s="13" t="n">
        <v>4842032651</v>
      </c>
      <c r="B262" s="13" t="s">
        <v>166</v>
      </c>
      <c r="C262" s="70" t="n">
        <v>0.4</v>
      </c>
      <c r="D262" s="30" t="n">
        <v>37.706402</v>
      </c>
      <c r="E262" s="35" t="n">
        <v>22.24</v>
      </c>
      <c r="F262" s="35" t="n">
        <v>1.33</v>
      </c>
      <c r="G262" s="35" t="n">
        <v>0</v>
      </c>
      <c r="H262" s="35" t="n">
        <v>2.22</v>
      </c>
      <c r="I262" s="35" t="n">
        <v>23.57</v>
      </c>
      <c r="J262" s="35" t="n">
        <v>23.57</v>
      </c>
      <c r="K262" s="35" t="n">
        <v>0</v>
      </c>
      <c r="L262" s="35" t="n">
        <v>20.02</v>
      </c>
      <c r="M262" s="35" t="n">
        <v>20.02</v>
      </c>
      <c r="N262" s="35" t="n">
        <v>-3.5527136788005E-015</v>
      </c>
      <c r="O262" s="13"/>
    </row>
    <row r="263" customFormat="false" ht="15" hidden="false" customHeight="false" outlineLevel="0" collapsed="false">
      <c r="A263" s="15" t="n">
        <v>4843380231</v>
      </c>
      <c r="B263" s="15" t="s">
        <v>166</v>
      </c>
      <c r="C263" s="69" t="n">
        <v>0.4</v>
      </c>
      <c r="D263" s="31" t="n">
        <v>44.549</v>
      </c>
      <c r="E263" s="37" t="n">
        <v>26.39</v>
      </c>
      <c r="F263" s="37" t="n">
        <v>1.59</v>
      </c>
      <c r="G263" s="37" t="n">
        <v>0</v>
      </c>
      <c r="H263" s="37" t="n">
        <v>2.64</v>
      </c>
      <c r="I263" s="37" t="n">
        <v>27.98</v>
      </c>
      <c r="J263" s="37" t="n">
        <v>27.98</v>
      </c>
      <c r="K263" s="37" t="n">
        <v>0</v>
      </c>
      <c r="L263" s="37" t="n">
        <v>23.75</v>
      </c>
      <c r="M263" s="37" t="n">
        <v>23.75</v>
      </c>
      <c r="N263" s="37" t="n">
        <v>0</v>
      </c>
      <c r="O263" s="15"/>
    </row>
    <row r="264" customFormat="false" ht="15" hidden="false" customHeight="false" outlineLevel="0" collapsed="false">
      <c r="A264" s="13" t="n">
        <v>4844065361</v>
      </c>
      <c r="B264" s="13" t="s">
        <v>166</v>
      </c>
      <c r="C264" s="70" t="n">
        <v>0.4</v>
      </c>
      <c r="D264" s="30" t="n">
        <v>27.820801</v>
      </c>
      <c r="E264" s="35" t="n">
        <v>17.02</v>
      </c>
      <c r="F264" s="35" t="n">
        <v>1.02</v>
      </c>
      <c r="G264" s="35" t="n">
        <v>0</v>
      </c>
      <c r="H264" s="35" t="n">
        <v>1.7</v>
      </c>
      <c r="I264" s="35" t="n">
        <v>18.04</v>
      </c>
      <c r="J264" s="35" t="n">
        <v>18.04</v>
      </c>
      <c r="K264" s="35" t="n">
        <v>0</v>
      </c>
      <c r="L264" s="35" t="n">
        <v>15.32</v>
      </c>
      <c r="M264" s="35" t="n">
        <v>15.32</v>
      </c>
      <c r="N264" s="35" t="n">
        <v>0</v>
      </c>
      <c r="O264" s="13"/>
    </row>
    <row r="265" customFormat="false" ht="15" hidden="false" customHeight="false" outlineLevel="0" collapsed="false">
      <c r="A265" s="15" t="n">
        <v>4847266781</v>
      </c>
      <c r="B265" s="15" t="s">
        <v>166</v>
      </c>
      <c r="C265" s="69" t="n">
        <v>0.4</v>
      </c>
      <c r="D265" s="31" t="n">
        <v>55.450699</v>
      </c>
      <c r="E265" s="37" t="n">
        <v>34.05</v>
      </c>
      <c r="F265" s="37" t="n">
        <v>2.04</v>
      </c>
      <c r="G265" s="37" t="n">
        <v>0</v>
      </c>
      <c r="H265" s="37" t="n">
        <v>3.4</v>
      </c>
      <c r="I265" s="37" t="n">
        <v>36.09</v>
      </c>
      <c r="J265" s="37" t="n">
        <v>36.09</v>
      </c>
      <c r="K265" s="37" t="n">
        <v>7.105427357601E-015</v>
      </c>
      <c r="L265" s="37" t="n">
        <v>30.65</v>
      </c>
      <c r="M265" s="37" t="n">
        <v>30.65</v>
      </c>
      <c r="N265" s="37" t="n">
        <v>-7.105427357601E-015</v>
      </c>
      <c r="O265" s="15"/>
    </row>
    <row r="266" customFormat="false" ht="15" hidden="false" customHeight="false" outlineLevel="0" collapsed="false">
      <c r="A266" s="13" t="n">
        <v>5312043551</v>
      </c>
      <c r="B266" s="13" t="s">
        <v>168</v>
      </c>
      <c r="C266" s="70" t="n">
        <v>0.5</v>
      </c>
      <c r="D266" s="30" t="n">
        <v>12.304789</v>
      </c>
      <c r="E266" s="35" t="n">
        <v>24.73</v>
      </c>
      <c r="F266" s="35" t="n">
        <v>1.48</v>
      </c>
      <c r="G266" s="35" t="n">
        <v>0.49</v>
      </c>
      <c r="H266" s="35" t="n">
        <v>2.47</v>
      </c>
      <c r="I266" s="35" t="n">
        <v>26.7</v>
      </c>
      <c r="J266" s="35" t="n">
        <v>26.7</v>
      </c>
      <c r="K266" s="35" t="n">
        <v>0</v>
      </c>
      <c r="L266" s="35" t="n">
        <v>22.26</v>
      </c>
      <c r="M266" s="35" t="n">
        <v>22.26</v>
      </c>
      <c r="N266" s="35" t="n">
        <v>0</v>
      </c>
      <c r="O266" s="13"/>
    </row>
    <row r="268" customFormat="false" ht="30" hidden="false" customHeight="true" outlineLevel="0" collapsed="false">
      <c r="A268" s="7" t="s">
        <v>169</v>
      </c>
      <c r="B268" s="7"/>
      <c r="C268" s="7"/>
      <c r="D268" s="7"/>
      <c r="E268" s="7"/>
      <c r="F268" s="7"/>
      <c r="G268" s="7"/>
      <c r="H268" s="7"/>
    </row>
  </sheetData>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268:H2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43" t="s">
        <v>170</v>
      </c>
    </row>
    <row r="2" customFormat="false" ht="15" hidden="false" customHeight="false" outlineLevel="0" collapsed="false">
      <c r="A2" s="22" t="s">
        <v>171</v>
      </c>
    </row>
    <row r="4" customFormat="false" ht="15" hidden="false" customHeight="false" outlineLevel="0" collapsed="false">
      <c r="A4" s="33" t="s">
        <v>69</v>
      </c>
      <c r="B4" s="33" t="s">
        <v>47</v>
      </c>
      <c r="C4" s="33" t="s">
        <v>49</v>
      </c>
    </row>
    <row r="5" customFormat="false" ht="15" hidden="false" customHeight="false" outlineLevel="0" collapsed="false">
      <c r="A5" s="13" t="str">
        <f aca="false">'Raw - Zip-County-State'!K5</f>
        <v>KY</v>
      </c>
      <c r="B5" s="13" t="n">
        <f aca="false">'Raw - Zip-County-State'!L5</f>
        <v>96</v>
      </c>
      <c r="C5" s="35" t="n">
        <f aca="false">'Raw - Zip-County-State'!M5</f>
        <v>1775.37</v>
      </c>
    </row>
    <row r="6" customFormat="false" ht="15" hidden="false" customHeight="false" outlineLevel="0" collapsed="false">
      <c r="A6" s="15" t="str">
        <f aca="false">'Raw - Zip-County-State'!K6</f>
        <v>TN</v>
      </c>
      <c r="B6" s="15" t="n">
        <f aca="false">'Raw - Zip-County-State'!L6</f>
        <v>18</v>
      </c>
      <c r="C6" s="37" t="n">
        <f aca="false">'Raw - Zip-County-State'!M6</f>
        <v>212.02</v>
      </c>
    </row>
    <row r="7" customFormat="false" ht="15" hidden="false" customHeight="false" outlineLevel="0" collapsed="false">
      <c r="A7" s="13" t="str">
        <f aca="false">'Raw - Zip-County-State'!K7</f>
        <v>OH</v>
      </c>
      <c r="B7" s="13" t="n">
        <f aca="false">'Raw - Zip-County-State'!L7</f>
        <v>10</v>
      </c>
      <c r="C7" s="35" t="n">
        <f aca="false">'Raw - Zip-County-State'!M7</f>
        <v>159.73</v>
      </c>
    </row>
    <row r="8" customFormat="false" ht="15" hidden="false" customHeight="false" outlineLevel="0" collapsed="false">
      <c r="A8" s="15" t="str">
        <f aca="false">'Raw - Zip-County-State'!K8</f>
        <v>NC</v>
      </c>
      <c r="B8" s="15" t="n">
        <f aca="false">'Raw - Zip-County-State'!L8</f>
        <v>9</v>
      </c>
      <c r="C8" s="37" t="n">
        <f aca="false">'Raw - Zip-County-State'!M8</f>
        <v>176.72</v>
      </c>
    </row>
    <row r="9" customFormat="false" ht="15" hidden="false" customHeight="false" outlineLevel="0" collapsed="false">
      <c r="A9" s="13" t="str">
        <f aca="false">'Raw - Zip-County-State'!K9</f>
        <v>IL</v>
      </c>
      <c r="B9" s="13" t="n">
        <f aca="false">'Raw - Zip-County-State'!L9</f>
        <v>5</v>
      </c>
      <c r="C9" s="35" t="n">
        <f aca="false">'Raw - Zip-County-State'!M9</f>
        <v>37.59</v>
      </c>
    </row>
    <row r="10" customFormat="false" ht="15" hidden="false" customHeight="false" outlineLevel="0" collapsed="false">
      <c r="A10" s="15" t="str">
        <f aca="false">'Raw - Zip-County-State'!K10</f>
        <v>FL</v>
      </c>
      <c r="B10" s="15" t="n">
        <f aca="false">'Raw - Zip-County-State'!L10</f>
        <v>3</v>
      </c>
      <c r="C10" s="37" t="n">
        <f aca="false">'Raw - Zip-County-State'!M10</f>
        <v>76.03</v>
      </c>
    </row>
    <row r="11" customFormat="false" ht="15" hidden="false" customHeight="false" outlineLevel="0" collapsed="false">
      <c r="A11" s="13" t="str">
        <f aca="false">'Raw - Zip-County-State'!K11</f>
        <v>SC</v>
      </c>
      <c r="B11" s="13" t="n">
        <f aca="false">'Raw - Zip-County-State'!L11</f>
        <v>3</v>
      </c>
      <c r="C11" s="35" t="n">
        <f aca="false">'Raw - Zip-County-State'!M11</f>
        <v>30.12</v>
      </c>
    </row>
    <row r="12" customFormat="false" ht="15" hidden="false" customHeight="false" outlineLevel="0" collapsed="false">
      <c r="A12" s="15" t="str">
        <f aca="false">'Raw - Zip-County-State'!K12</f>
        <v>MI</v>
      </c>
      <c r="B12" s="15" t="n">
        <f aca="false">'Raw - Zip-County-State'!L12</f>
        <v>3</v>
      </c>
      <c r="C12" s="37" t="n">
        <f aca="false">'Raw - Zip-County-State'!M12</f>
        <v>65.07</v>
      </c>
    </row>
    <row r="13" customFormat="false" ht="15" hidden="false" customHeight="false" outlineLevel="0" collapsed="false">
      <c r="A13" s="13" t="str">
        <f aca="false">'Raw - Zip-County-State'!K13</f>
        <v>WI</v>
      </c>
      <c r="B13" s="13" t="n">
        <f aca="false">'Raw - Zip-County-State'!L13</f>
        <v>3</v>
      </c>
      <c r="C13" s="35" t="n">
        <f aca="false">'Raw - Zip-County-State'!M13</f>
        <v>50.77</v>
      </c>
    </row>
    <row r="14" customFormat="false" ht="15" hidden="false" customHeight="false" outlineLevel="0" collapsed="false">
      <c r="A14" s="15" t="str">
        <f aca="false">'Raw - Zip-County-State'!K14</f>
        <v>IN</v>
      </c>
      <c r="B14" s="15" t="n">
        <f aca="false">'Raw - Zip-County-State'!L14</f>
        <v>2</v>
      </c>
      <c r="C14" s="37" t="n">
        <f aca="false">'Raw - Zip-County-State'!M14</f>
        <v>55.22</v>
      </c>
    </row>
    <row r="15" customFormat="false" ht="15" hidden="false" customHeight="false" outlineLevel="0" collapsed="false">
      <c r="A15" s="13" t="str">
        <f aca="false">'Raw - Zip-County-State'!K15</f>
        <v>GA</v>
      </c>
      <c r="B15" s="13" t="n">
        <f aca="false">'Raw - Zip-County-State'!L15</f>
        <v>2</v>
      </c>
      <c r="C15" s="35" t="n">
        <f aca="false">'Raw - Zip-County-State'!M15</f>
        <v>45.25</v>
      </c>
    </row>
    <row r="16" customFormat="false" ht="15" hidden="false" customHeight="false" outlineLevel="0" collapsed="false">
      <c r="A16" s="15" t="str">
        <f aca="false">'Raw - Zip-County-State'!K16</f>
        <v>TX</v>
      </c>
      <c r="B16" s="15" t="n">
        <f aca="false">'Raw - Zip-County-State'!L16</f>
        <v>2</v>
      </c>
      <c r="C16" s="37" t="n">
        <f aca="false">'Raw - Zip-County-State'!M16</f>
        <v>39.78</v>
      </c>
    </row>
    <row r="17" customFormat="false" ht="15" hidden="false" customHeight="false" outlineLevel="0" collapsed="false">
      <c r="A17" s="13" t="str">
        <f aca="false">'Raw - Zip-County-State'!K17</f>
        <v>PA</v>
      </c>
      <c r="B17" s="13" t="n">
        <f aca="false">'Raw - Zip-County-State'!L17</f>
        <v>2</v>
      </c>
      <c r="C17" s="35" t="n">
        <f aca="false">'Raw - Zip-County-State'!M17</f>
        <v>23.3</v>
      </c>
    </row>
    <row r="18" customFormat="false" ht="15" hidden="false" customHeight="false" outlineLevel="0" collapsed="false">
      <c r="A18" s="15" t="str">
        <f aca="false">'Raw - Zip-County-State'!K18</f>
        <v>CT</v>
      </c>
      <c r="B18" s="15" t="n">
        <f aca="false">'Raw - Zip-County-State'!L18</f>
        <v>1</v>
      </c>
      <c r="C18" s="37" t="n">
        <f aca="false">'Raw - Zip-County-State'!M18</f>
        <v>11.01</v>
      </c>
    </row>
    <row r="19" customFormat="false" ht="15" hidden="false" customHeight="false" outlineLevel="0" collapsed="false">
      <c r="A19" s="13" t="str">
        <f aca="false">'Raw - Zip-County-State'!K19</f>
        <v>KS</v>
      </c>
      <c r="B19" s="13" t="n">
        <f aca="false">'Raw - Zip-County-State'!L19</f>
        <v>1</v>
      </c>
      <c r="C19" s="35" t="n">
        <f aca="false">'Raw - Zip-County-State'!M19</f>
        <v>19.14</v>
      </c>
    </row>
    <row r="20" customFormat="false" ht="15" hidden="false" customHeight="false" outlineLevel="0" collapsed="false">
      <c r="A20" s="15" t="str">
        <f aca="false">'Raw - Zip-County-State'!K20</f>
        <v>MO</v>
      </c>
      <c r="B20" s="15" t="n">
        <f aca="false">'Raw - Zip-County-State'!L20</f>
        <v>1</v>
      </c>
      <c r="C20" s="37" t="n">
        <f aca="false">'Raw - Zip-County-State'!M20</f>
        <v>6.36</v>
      </c>
    </row>
    <row r="21" customFormat="false" ht="15" hidden="false" customHeight="false" outlineLevel="0" collapsed="false">
      <c r="A21" s="13" t="str">
        <f aca="false">'Raw - Zip-County-State'!K21</f>
        <v>MN</v>
      </c>
      <c r="B21" s="13" t="n">
        <f aca="false">'Raw - Zip-County-State'!L21</f>
        <v>1</v>
      </c>
      <c r="C21" s="35" t="n">
        <f aca="false">'Raw - Zip-County-State'!M21</f>
        <v>26.7</v>
      </c>
    </row>
    <row r="22" customFormat="false" ht="15" hidden="false" customHeight="false" outlineLevel="0" collapsed="false">
      <c r="A22" s="15" t="str">
        <f aca="false">'Raw - Zip-County-State'!K22</f>
        <v>MD</v>
      </c>
      <c r="B22" s="15" t="n">
        <f aca="false">'Raw - Zip-County-State'!L22</f>
        <v>1</v>
      </c>
      <c r="C22" s="37" t="n">
        <f aca="false">'Raw - Zip-County-State'!M22</f>
        <v>20.28</v>
      </c>
    </row>
    <row r="23" customFormat="false" ht="15" hidden="false" customHeight="false" outlineLevel="0" collapsed="false">
      <c r="A23" s="13" t="str">
        <f aca="false">'Raw - Zip-County-State'!K23</f>
        <v>OK</v>
      </c>
      <c r="B23" s="13" t="n">
        <f aca="false">'Raw - Zip-County-State'!L23</f>
        <v>1</v>
      </c>
      <c r="C23" s="35" t="n">
        <f aca="false">'Raw - Zip-County-State'!M23</f>
        <v>8.45</v>
      </c>
    </row>
    <row r="25" customFormat="false" ht="15" hidden="false" customHeight="false" outlineLevel="0" collapsed="false">
      <c r="A25" s="4" t="s">
        <v>172</v>
      </c>
    </row>
    <row r="26" customFormat="false" ht="15" hidden="false" customHeight="false" outlineLevel="0" collapsed="false">
      <c r="A26" s="12" t="s">
        <v>173</v>
      </c>
      <c r="B26" s="12" t="s">
        <v>47</v>
      </c>
    </row>
    <row r="27" customFormat="false" ht="15" hidden="false" customHeight="false" outlineLevel="0" collapsed="false">
      <c r="A27" s="13" t="s">
        <v>174</v>
      </c>
      <c r="B27" s="13" t="n">
        <f aca="false">COUNTIF('Raw - Sessions'!$M$5:$M$292,"40906")</f>
        <v>37</v>
      </c>
    </row>
    <row r="28" customFormat="false" ht="15" hidden="false" customHeight="false" outlineLevel="0" collapsed="false">
      <c r="A28" s="13" t="s">
        <v>175</v>
      </c>
      <c r="B28" s="13" t="n">
        <f aca="false">COUNTIF('Raw - Sessions'!$O$5:$O$292,"KY")-B27</f>
        <v>59</v>
      </c>
    </row>
    <row r="29" customFormat="false" ht="15" hidden="false" customHeight="false" outlineLevel="0" collapsed="false">
      <c r="A29" s="13" t="s">
        <v>176</v>
      </c>
      <c r="B29" s="13" t="n">
        <f aca="false">COUNTIFS('Raw - Sessions'!$O$5:$O$292,"&lt;&gt;",'Raw - Sessions'!$O$5:$O$292,"&lt;&gt;KY")</f>
        <v>68</v>
      </c>
    </row>
    <row r="30" customFormat="false" ht="15" hidden="false" customHeight="false" outlineLevel="0" collapsed="false">
      <c r="A30" s="13" t="s">
        <v>177</v>
      </c>
      <c r="B30" s="13" t="n">
        <f aca="false">(288)-COUNT('Raw - Sessions'!$O$5:$O$292)</f>
        <v>288</v>
      </c>
    </row>
    <row r="32" customFormat="false" ht="27.75" hidden="false" customHeight="true" outlineLevel="0" collapsed="false">
      <c r="A32" s="7" t="s">
        <v>178</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1" t="s">
        <v>179</v>
      </c>
      <c r="B1" s="21"/>
      <c r="C1" s="21"/>
      <c r="D1" s="21"/>
      <c r="E1" s="21"/>
      <c r="F1" s="21"/>
      <c r="G1" s="21"/>
      <c r="H1" s="21"/>
    </row>
    <row r="3" customFormat="false" ht="15" hidden="false" customHeight="false" outlineLevel="0" collapsed="false">
      <c r="B3" s="4" t="s">
        <v>180</v>
      </c>
    </row>
    <row r="4" customFormat="false" ht="39.75" hidden="false" customHeight="true" outlineLevel="0" collapsed="false">
      <c r="B4" s="5" t="s">
        <v>181</v>
      </c>
    </row>
    <row r="5" customFormat="false" ht="39.75" hidden="false" customHeight="true" outlineLevel="0" collapsed="false">
      <c r="B5" s="5" t="s">
        <v>182</v>
      </c>
    </row>
    <row r="6" customFormat="false" ht="39.75" hidden="false" customHeight="true" outlineLevel="0" collapsed="false">
      <c r="B6" s="5" t="s">
        <v>183</v>
      </c>
    </row>
    <row r="7" customFormat="false" ht="39.75" hidden="false" customHeight="true" outlineLevel="0" collapsed="false">
      <c r="B7" s="5" t="s">
        <v>184</v>
      </c>
    </row>
    <row r="8" customFormat="false" ht="39.75" hidden="false" customHeight="true" outlineLevel="0" collapsed="false">
      <c r="B8" s="5" t="s">
        <v>185</v>
      </c>
    </row>
    <row r="9" customFormat="false" ht="39.75" hidden="false" customHeight="true" outlineLevel="0" collapsed="false">
      <c r="B9" s="5" t="s">
        <v>186</v>
      </c>
    </row>
    <row r="11" customFormat="false" ht="15" hidden="false" customHeight="false" outlineLevel="0" collapsed="false">
      <c r="B11" s="4" t="s">
        <v>187</v>
      </c>
    </row>
    <row r="12" customFormat="false" ht="15" hidden="false" customHeight="false" outlineLevel="0" collapsed="false">
      <c r="B12" s="71" t="s">
        <v>188</v>
      </c>
    </row>
    <row r="13" customFormat="false" ht="43.5" hidden="false" customHeight="true" outlineLevel="0" collapsed="false">
      <c r="B13" s="5" t="s">
        <v>189</v>
      </c>
    </row>
    <row r="14" customFormat="false" ht="15" hidden="false" customHeight="false" outlineLevel="0" collapsed="false">
      <c r="B14" s="71" t="s">
        <v>190</v>
      </c>
    </row>
    <row r="15" customFormat="false" ht="43.5" hidden="false" customHeight="true" outlineLevel="0" collapsed="false">
      <c r="B15" s="5" t="s">
        <v>191</v>
      </c>
    </row>
    <row r="16" customFormat="false" ht="15" hidden="false" customHeight="false" outlineLevel="0" collapsed="false">
      <c r="B16" s="71" t="s">
        <v>192</v>
      </c>
    </row>
    <row r="17" customFormat="false" ht="43.5" hidden="false" customHeight="true" outlineLevel="0" collapsed="false">
      <c r="B17" s="5" t="s">
        <v>193</v>
      </c>
    </row>
    <row r="18" customFormat="false" ht="15" hidden="false" customHeight="false" outlineLevel="0" collapsed="false">
      <c r="B18" s="71" t="s">
        <v>194</v>
      </c>
    </row>
    <row r="19" customFormat="false" ht="43.5" hidden="false" customHeight="true" outlineLevel="0" collapsed="false">
      <c r="B19" s="5" t="s">
        <v>195</v>
      </c>
    </row>
    <row r="20" customFormat="false" ht="15" hidden="false" customHeight="false" outlineLevel="0" collapsed="false">
      <c r="B20" s="71" t="s">
        <v>196</v>
      </c>
    </row>
    <row r="21" customFormat="false" ht="43.5" hidden="false" customHeight="true" outlineLevel="0" collapsed="false">
      <c r="B21" s="5" t="s">
        <v>197</v>
      </c>
    </row>
    <row r="23" customFormat="false" ht="15" hidden="false" customHeight="false" outlineLevel="0" collapsed="false">
      <c r="B23" s="4" t="s">
        <v>198</v>
      </c>
    </row>
    <row r="24" customFormat="false" ht="39.75" hidden="false" customHeight="true" outlineLevel="0" collapsed="false">
      <c r="B24" s="5" t="s">
        <v>199</v>
      </c>
    </row>
    <row r="25" customFormat="false" ht="39.75" hidden="false" customHeight="true" outlineLevel="0" collapsed="false">
      <c r="B25" s="5" t="s">
        <v>200</v>
      </c>
    </row>
    <row r="26" customFormat="false" ht="39.75" hidden="false" customHeight="true" outlineLevel="0" collapsed="false">
      <c r="B26" s="5" t="s">
        <v>201</v>
      </c>
    </row>
    <row r="27" customFormat="false" ht="39.75" hidden="false" customHeight="true" outlineLevel="0" collapsed="false">
      <c r="B27" s="5" t="s">
        <v>202</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s>
  <sheetData>
    <row r="1" customFormat="false" ht="16.15" hidden="false" customHeight="false" outlineLevel="0" collapsed="false">
      <c r="A1" s="43" t="s">
        <v>203</v>
      </c>
    </row>
    <row r="2" customFormat="false" ht="15" hidden="false" customHeight="false" outlineLevel="0" collapsed="false">
      <c r="A2" s="22" t="s">
        <v>204</v>
      </c>
    </row>
    <row r="4" customFormat="false" ht="35.05" hidden="false" customHeight="false" outlineLevel="0" collapsed="false">
      <c r="A4" s="72" t="s">
        <v>153</v>
      </c>
      <c r="B4" s="72" t="s">
        <v>205</v>
      </c>
      <c r="C4" s="72" t="s">
        <v>206</v>
      </c>
      <c r="D4" s="72" t="s">
        <v>207</v>
      </c>
      <c r="E4" s="72" t="s">
        <v>48</v>
      </c>
      <c r="F4" s="72" t="s">
        <v>208</v>
      </c>
      <c r="G4" s="72" t="s">
        <v>59</v>
      </c>
      <c r="H4" s="72" t="s">
        <v>209</v>
      </c>
      <c r="I4" s="72" t="s">
        <v>210</v>
      </c>
      <c r="J4" s="72" t="s">
        <v>211</v>
      </c>
      <c r="K4" s="72" t="s">
        <v>154</v>
      </c>
      <c r="L4" s="72" t="s">
        <v>212</v>
      </c>
      <c r="M4" s="72" t="s">
        <v>213</v>
      </c>
      <c r="N4" s="72" t="s">
        <v>214</v>
      </c>
      <c r="O4" s="72" t="s">
        <v>69</v>
      </c>
      <c r="P4" s="72" t="s">
        <v>215</v>
      </c>
      <c r="Q4" s="72" t="s">
        <v>216</v>
      </c>
      <c r="R4" s="12" t="s">
        <v>217</v>
      </c>
      <c r="S4" s="73" t="s">
        <v>218</v>
      </c>
      <c r="T4" s="29" t="s">
        <v>155</v>
      </c>
      <c r="U4" s="29" t="s">
        <v>219</v>
      </c>
      <c r="V4" s="29" t="s">
        <v>220</v>
      </c>
      <c r="W4" s="29" t="s">
        <v>221</v>
      </c>
      <c r="X4" s="29" t="s">
        <v>98</v>
      </c>
      <c r="Y4" s="29" t="s">
        <v>108</v>
      </c>
    </row>
    <row r="5" customFormat="false" ht="15" hidden="false" customHeight="false" outlineLevel="0" collapsed="false">
      <c r="A5" s="13" t="n">
        <v>4511566811</v>
      </c>
      <c r="B5" s="74" t="n">
        <v>45945.7474768519</v>
      </c>
      <c r="C5" s="74" t="n">
        <v>45945.7979050926</v>
      </c>
      <c r="D5" s="30" t="n">
        <v>1.21027777777778</v>
      </c>
      <c r="E5" s="30" t="n">
        <v>8.483508</v>
      </c>
      <c r="F5" s="30" t="n">
        <v>7.1494</v>
      </c>
      <c r="G5" s="13" t="s">
        <v>62</v>
      </c>
      <c r="H5" s="75" t="b">
        <f aca="false">FALSE()</f>
        <v>0</v>
      </c>
      <c r="I5" s="75" t="b">
        <f aca="false">FALSE()</f>
        <v>0</v>
      </c>
      <c r="J5" s="48" t="n">
        <v>0</v>
      </c>
      <c r="K5" s="13" t="s">
        <v>168</v>
      </c>
      <c r="L5" s="13" t="s">
        <v>222</v>
      </c>
      <c r="M5" s="13" t="s">
        <v>223</v>
      </c>
      <c r="N5" s="13"/>
      <c r="O5" s="13" t="s">
        <v>224</v>
      </c>
      <c r="P5" s="35" t="n">
        <v>2.25</v>
      </c>
      <c r="Q5" s="35" t="n">
        <v>1.91</v>
      </c>
      <c r="R5" s="46" t="n">
        <f aca="false">INT(B5)</f>
        <v>45945</v>
      </c>
      <c r="S5" s="13" t="n">
        <f aca="false">IF(AND(I5=TRUE(),COUNTIFS($R$5:R5,R5,$I$5:I5,TRUE())=1),1,0)</f>
        <v>0</v>
      </c>
      <c r="T5" s="70" t="n">
        <v>0.25</v>
      </c>
      <c r="U5" s="35" t="n">
        <v>2.12</v>
      </c>
      <c r="V5" s="35" t="n">
        <v>2.120877</v>
      </c>
      <c r="W5" s="35" t="n">
        <v>0.34</v>
      </c>
      <c r="X5" s="13" t="s">
        <v>102</v>
      </c>
      <c r="Y5" s="46" t="n">
        <v>45943</v>
      </c>
    </row>
    <row r="6" customFormat="false" ht="15" hidden="false" customHeight="false" outlineLevel="0" collapsed="false">
      <c r="A6" s="15" t="n">
        <v>4523627951</v>
      </c>
      <c r="B6" s="76" t="n">
        <v>45949.6969444445</v>
      </c>
      <c r="C6" s="76" t="n">
        <v>45949.7017476852</v>
      </c>
      <c r="D6" s="31" t="n">
        <v>0.115277777777778</v>
      </c>
      <c r="E6" s="31" t="n">
        <v>4.8593</v>
      </c>
      <c r="F6" s="31" t="n">
        <v>56.004</v>
      </c>
      <c r="G6" s="15" t="s">
        <v>62</v>
      </c>
      <c r="H6" s="77" t="b">
        <f aca="false">TRUE()</f>
        <v>1</v>
      </c>
      <c r="I6" s="77" t="b">
        <f aca="false">FALSE()</f>
        <v>0</v>
      </c>
      <c r="J6" s="78" t="n">
        <v>1</v>
      </c>
      <c r="K6" s="15" t="s">
        <v>166</v>
      </c>
      <c r="L6" s="15" t="s">
        <v>222</v>
      </c>
      <c r="M6" s="15" t="s">
        <v>225</v>
      </c>
      <c r="N6" s="15"/>
      <c r="O6" s="15" t="s">
        <v>224</v>
      </c>
      <c r="P6" s="37" t="n">
        <v>1.28</v>
      </c>
      <c r="Q6" s="37" t="n">
        <v>1.09</v>
      </c>
      <c r="R6" s="47" t="n">
        <f aca="false">INT(B6)</f>
        <v>45949</v>
      </c>
      <c r="S6" s="15" t="n">
        <f aca="false">IF(AND(I6=TRUE(),COUNTIFS($R$5:R6,R6,$I$5:I6,TRUE())=1),1,0)</f>
        <v>0</v>
      </c>
      <c r="T6" s="69" t="n">
        <v>0.25</v>
      </c>
      <c r="U6" s="37" t="n">
        <v>1.21</v>
      </c>
      <c r="V6" s="37" t="n">
        <v>1.214825</v>
      </c>
      <c r="W6" s="37" t="n">
        <v>0.19</v>
      </c>
      <c r="X6" s="15" t="s">
        <v>106</v>
      </c>
      <c r="Y6" s="47" t="n">
        <v>45943</v>
      </c>
    </row>
    <row r="7" customFormat="false" ht="15" hidden="false" customHeight="false" outlineLevel="0" collapsed="false">
      <c r="A7" s="13" t="n">
        <v>4524317961</v>
      </c>
      <c r="B7" s="74" t="n">
        <v>45949.9062152778</v>
      </c>
      <c r="C7" s="74" t="n">
        <v>45949.9151041667</v>
      </c>
      <c r="D7" s="30" t="n">
        <v>0.213333333333333</v>
      </c>
      <c r="E7" s="30" t="n">
        <v>9.2283</v>
      </c>
      <c r="F7" s="30" t="n">
        <v>0</v>
      </c>
      <c r="G7" s="13" t="s">
        <v>63</v>
      </c>
      <c r="H7" s="75" t="b">
        <f aca="false">FALSE()</f>
        <v>0</v>
      </c>
      <c r="I7" s="75" t="b">
        <f aca="false">FALSE()</f>
        <v>0</v>
      </c>
      <c r="J7" s="48"/>
      <c r="K7" s="13" t="s">
        <v>166</v>
      </c>
      <c r="L7" s="13" t="s">
        <v>222</v>
      </c>
      <c r="M7" s="13"/>
      <c r="N7" s="13"/>
      <c r="O7" s="13"/>
      <c r="P7" s="35"/>
      <c r="Q7" s="35"/>
      <c r="R7" s="46" t="n">
        <f aca="false">INT(B7)</f>
        <v>45949</v>
      </c>
      <c r="S7" s="13" t="n">
        <f aca="false">IF(AND(I7=TRUE(),COUNTIFS($R$5:R7,R7,$I$5:I7,TRUE())=1),1,0)</f>
        <v>0</v>
      </c>
      <c r="T7" s="70"/>
      <c r="U7" s="35"/>
      <c r="V7" s="35"/>
      <c r="W7" s="35"/>
      <c r="X7" s="13" t="s">
        <v>106</v>
      </c>
      <c r="Y7" s="46" t="n">
        <v>45943</v>
      </c>
    </row>
    <row r="8" customFormat="false" ht="15" hidden="false" customHeight="false" outlineLevel="0" collapsed="false">
      <c r="A8" s="15" t="n">
        <v>4526984361</v>
      </c>
      <c r="B8" s="76" t="n">
        <v>45950.7893865741</v>
      </c>
      <c r="C8" s="76" t="n">
        <v>45950.7901736111</v>
      </c>
      <c r="D8" s="31" t="n">
        <v>0.0188888888888888</v>
      </c>
      <c r="E8" s="31" t="n">
        <v>0</v>
      </c>
      <c r="F8" s="31" t="n">
        <v>0</v>
      </c>
      <c r="G8" s="15" t="s">
        <v>63</v>
      </c>
      <c r="H8" s="77" t="b">
        <f aca="false">FALSE()</f>
        <v>0</v>
      </c>
      <c r="I8" s="77" t="b">
        <f aca="false">FALSE()</f>
        <v>0</v>
      </c>
      <c r="J8" s="78"/>
      <c r="K8" s="15" t="s">
        <v>166</v>
      </c>
      <c r="L8" s="15" t="s">
        <v>222</v>
      </c>
      <c r="M8" s="15"/>
      <c r="N8" s="15"/>
      <c r="O8" s="15"/>
      <c r="P8" s="37"/>
      <c r="Q8" s="37"/>
      <c r="R8" s="47" t="n">
        <f aca="false">INT(B8)</f>
        <v>45950</v>
      </c>
      <c r="S8" s="15" t="n">
        <f aca="false">IF(AND(I8=TRUE(),COUNTIFS($R$5:R8,R8,$I$5:I8,TRUE())=1),1,0)</f>
        <v>0</v>
      </c>
      <c r="T8" s="69"/>
      <c r="U8" s="37"/>
      <c r="V8" s="37"/>
      <c r="W8" s="37"/>
      <c r="X8" s="15" t="s">
        <v>100</v>
      </c>
      <c r="Y8" s="47" t="n">
        <v>45950</v>
      </c>
    </row>
    <row r="9" customFormat="false" ht="15" hidden="false" customHeight="false" outlineLevel="0" collapsed="false">
      <c r="A9" s="13" t="n">
        <v>4526989521</v>
      </c>
      <c r="B9" s="74" t="n">
        <v>45950.7903819445</v>
      </c>
      <c r="C9" s="74" t="n">
        <v>45950.8387152778</v>
      </c>
      <c r="D9" s="30" t="n">
        <v>1.16</v>
      </c>
      <c r="E9" s="30" t="n">
        <v>26.1175</v>
      </c>
      <c r="F9" s="30" t="n">
        <v>62.474</v>
      </c>
      <c r="G9" s="13" t="s">
        <v>63</v>
      </c>
      <c r="H9" s="75" t="b">
        <f aca="false">TRUE()</f>
        <v>1</v>
      </c>
      <c r="I9" s="75" t="b">
        <f aca="false">FALSE()</f>
        <v>0</v>
      </c>
      <c r="J9" s="48" t="n">
        <v>1</v>
      </c>
      <c r="K9" s="13" t="s">
        <v>166</v>
      </c>
      <c r="L9" s="13" t="s">
        <v>222</v>
      </c>
      <c r="M9" s="13" t="s">
        <v>225</v>
      </c>
      <c r="N9" s="13"/>
      <c r="O9" s="13" t="s">
        <v>224</v>
      </c>
      <c r="P9" s="35" t="n">
        <v>6.92</v>
      </c>
      <c r="Q9" s="35" t="n">
        <v>5.88</v>
      </c>
      <c r="R9" s="46" t="n">
        <f aca="false">INT(B9)</f>
        <v>45950</v>
      </c>
      <c r="S9" s="13" t="n">
        <f aca="false">IF(AND(I9=TRUE(),COUNTIFS($R$5:R9,R9,$I$5:I9,TRUE())=1),1,0)</f>
        <v>0</v>
      </c>
      <c r="T9" s="70" t="n">
        <v>0.25</v>
      </c>
      <c r="U9" s="35" t="n">
        <v>6.53</v>
      </c>
      <c r="V9" s="35" t="n">
        <v>6.529375</v>
      </c>
      <c r="W9" s="35" t="n">
        <v>1.04</v>
      </c>
      <c r="X9" s="13" t="s">
        <v>100</v>
      </c>
      <c r="Y9" s="46" t="n">
        <v>45950</v>
      </c>
    </row>
    <row r="10" customFormat="false" ht="15" hidden="false" customHeight="false" outlineLevel="0" collapsed="false">
      <c r="A10" s="15" t="n">
        <v>4530183221</v>
      </c>
      <c r="B10" s="76" t="n">
        <v>45951.7118402778</v>
      </c>
      <c r="C10" s="76" t="n">
        <v>45951.7437615741</v>
      </c>
      <c r="D10" s="31" t="n">
        <v>0.766111111111111</v>
      </c>
      <c r="E10" s="31" t="n">
        <v>42.2076</v>
      </c>
      <c r="F10" s="31" t="n">
        <v>61.541</v>
      </c>
      <c r="G10" s="15" t="s">
        <v>62</v>
      </c>
      <c r="H10" s="77" t="b">
        <f aca="false">TRUE()</f>
        <v>1</v>
      </c>
      <c r="I10" s="77" t="b">
        <f aca="false">FALSE()</f>
        <v>0</v>
      </c>
      <c r="J10" s="78" t="n">
        <v>1</v>
      </c>
      <c r="K10" s="15" t="s">
        <v>166</v>
      </c>
      <c r="L10" s="15" t="s">
        <v>222</v>
      </c>
      <c r="M10" s="15" t="s">
        <v>226</v>
      </c>
      <c r="N10" s="15"/>
      <c r="O10" s="15" t="s">
        <v>227</v>
      </c>
      <c r="P10" s="37" t="n">
        <v>11.18</v>
      </c>
      <c r="Q10" s="37" t="n">
        <v>9.5</v>
      </c>
      <c r="R10" s="47" t="n">
        <f aca="false">INT(B10)</f>
        <v>45951</v>
      </c>
      <c r="S10" s="15" t="n">
        <f aca="false">IF(AND(I10=TRUE(),COUNTIFS($R$5:R10,R10,$I$5:I10,TRUE())=1),1,0)</f>
        <v>0</v>
      </c>
      <c r="T10" s="69" t="n">
        <v>0.25</v>
      </c>
      <c r="U10" s="37" t="n">
        <v>10.55</v>
      </c>
      <c r="V10" s="37" t="n">
        <v>10.5519</v>
      </c>
      <c r="W10" s="37" t="n">
        <v>1.68</v>
      </c>
      <c r="X10" s="15" t="s">
        <v>101</v>
      </c>
      <c r="Y10" s="47" t="n">
        <v>45950</v>
      </c>
    </row>
    <row r="11" customFormat="false" ht="15" hidden="false" customHeight="false" outlineLevel="0" collapsed="false">
      <c r="A11" s="13" t="n">
        <v>4530304121</v>
      </c>
      <c r="B11" s="74" t="n">
        <v>45951.7438657407</v>
      </c>
      <c r="C11" s="74" t="n">
        <v>45951.7517361111</v>
      </c>
      <c r="D11" s="30" t="n">
        <v>0.188888888888889</v>
      </c>
      <c r="E11" s="30" t="n">
        <v>0.583891</v>
      </c>
      <c r="F11" s="30" t="n">
        <v>3.8065</v>
      </c>
      <c r="G11" s="13" t="s">
        <v>62</v>
      </c>
      <c r="H11" s="75" t="b">
        <f aca="false">FALSE()</f>
        <v>0</v>
      </c>
      <c r="I11" s="75" t="b">
        <f aca="false">FALSE()</f>
        <v>0</v>
      </c>
      <c r="J11" s="48" t="n">
        <v>0</v>
      </c>
      <c r="K11" s="13" t="s">
        <v>168</v>
      </c>
      <c r="L11" s="13" t="s">
        <v>228</v>
      </c>
      <c r="M11" s="13"/>
      <c r="N11" s="13"/>
      <c r="O11" s="13"/>
      <c r="P11" s="35" t="n">
        <v>0.16</v>
      </c>
      <c r="Q11" s="35" t="n">
        <v>0.14</v>
      </c>
      <c r="R11" s="46" t="n">
        <f aca="false">INT(B11)</f>
        <v>45951</v>
      </c>
      <c r="S11" s="13" t="n">
        <f aca="false">IF(AND(I11=TRUE(),COUNTIFS($R$5:R11,R11,$I$5:I11,TRUE())=1),1,0)</f>
        <v>0</v>
      </c>
      <c r="T11" s="70" t="n">
        <v>0.25</v>
      </c>
      <c r="U11" s="35" t="n">
        <v>0.15</v>
      </c>
      <c r="V11" s="35" t="n">
        <v>0.14597275</v>
      </c>
      <c r="W11" s="35" t="n">
        <v>0.02</v>
      </c>
      <c r="X11" s="13" t="s">
        <v>101</v>
      </c>
      <c r="Y11" s="46" t="n">
        <v>45950</v>
      </c>
    </row>
    <row r="12" customFormat="false" ht="15" hidden="false" customHeight="false" outlineLevel="0" collapsed="false">
      <c r="A12" s="15" t="n">
        <v>4530323111</v>
      </c>
      <c r="B12" s="76" t="n">
        <v>45951.7483101852</v>
      </c>
      <c r="C12" s="76" t="n">
        <v>45951.7484722222</v>
      </c>
      <c r="D12" s="31" t="n">
        <v>0.0038888888888888</v>
      </c>
      <c r="E12" s="31" t="n">
        <v>0</v>
      </c>
      <c r="F12" s="31"/>
      <c r="G12" s="15" t="s">
        <v>62</v>
      </c>
      <c r="H12" s="77" t="b">
        <f aca="false">FALSE()</f>
        <v>0</v>
      </c>
      <c r="I12" s="77" t="b">
        <f aca="false">FALSE()</f>
        <v>0</v>
      </c>
      <c r="J12" s="78"/>
      <c r="K12" s="15" t="s">
        <v>168</v>
      </c>
      <c r="L12" s="15" t="s">
        <v>228</v>
      </c>
      <c r="M12" s="15"/>
      <c r="N12" s="15"/>
      <c r="O12" s="15"/>
      <c r="P12" s="37"/>
      <c r="Q12" s="37"/>
      <c r="R12" s="47" t="n">
        <f aca="false">INT(B12)</f>
        <v>45951</v>
      </c>
      <c r="S12" s="15" t="n">
        <f aca="false">IF(AND(I12=TRUE(),COUNTIFS($R$5:R12,R12,$I$5:I12,TRUE())=1),1,0)</f>
        <v>0</v>
      </c>
      <c r="T12" s="69"/>
      <c r="U12" s="37"/>
      <c r="V12" s="37"/>
      <c r="W12" s="37"/>
      <c r="X12" s="15" t="s">
        <v>101</v>
      </c>
      <c r="Y12" s="47" t="n">
        <v>45950</v>
      </c>
    </row>
    <row r="13" customFormat="false" ht="15" hidden="false" customHeight="false" outlineLevel="0" collapsed="false">
      <c r="A13" s="13" t="n">
        <v>4530350941</v>
      </c>
      <c r="B13" s="74" t="n">
        <v>45951.7559490741</v>
      </c>
      <c r="C13" s="74" t="n">
        <v>45951.7559953704</v>
      </c>
      <c r="D13" s="30" t="n">
        <v>0.0011111111111111</v>
      </c>
      <c r="E13" s="30" t="n">
        <v>0</v>
      </c>
      <c r="F13" s="30"/>
      <c r="G13" s="13" t="s">
        <v>63</v>
      </c>
      <c r="H13" s="75" t="b">
        <f aca="false">FALSE()</f>
        <v>0</v>
      </c>
      <c r="I13" s="75" t="b">
        <f aca="false">FALSE()</f>
        <v>0</v>
      </c>
      <c r="J13" s="48"/>
      <c r="K13" s="13" t="s">
        <v>168</v>
      </c>
      <c r="L13" s="13" t="s">
        <v>228</v>
      </c>
      <c r="M13" s="13"/>
      <c r="N13" s="13"/>
      <c r="O13" s="13"/>
      <c r="P13" s="35"/>
      <c r="Q13" s="35"/>
      <c r="R13" s="46" t="n">
        <f aca="false">INT(B13)</f>
        <v>45951</v>
      </c>
      <c r="S13" s="13" t="n">
        <f aca="false">IF(AND(I13=TRUE(),COUNTIFS($R$5:R13,R13,$I$5:I13,TRUE())=1),1,0)</f>
        <v>0</v>
      </c>
      <c r="T13" s="70"/>
      <c r="U13" s="35"/>
      <c r="V13" s="35"/>
      <c r="W13" s="35"/>
      <c r="X13" s="13" t="s">
        <v>101</v>
      </c>
      <c r="Y13" s="46" t="n">
        <v>45950</v>
      </c>
    </row>
    <row r="14" customFormat="false" ht="15" hidden="false" customHeight="false" outlineLevel="0" collapsed="false">
      <c r="A14" s="15" t="n">
        <v>4530386071</v>
      </c>
      <c r="B14" s="76" t="n">
        <v>45951.7653935185</v>
      </c>
      <c r="C14" s="76" t="n">
        <v>45951.9968171296</v>
      </c>
      <c r="D14" s="31" t="n">
        <v>5.55416666666667</v>
      </c>
      <c r="E14" s="31" t="n">
        <v>12.813871</v>
      </c>
      <c r="F14" s="31" t="n">
        <v>3.7016</v>
      </c>
      <c r="G14" s="15" t="s">
        <v>63</v>
      </c>
      <c r="H14" s="77" t="b">
        <f aca="false">FALSE()</f>
        <v>0</v>
      </c>
      <c r="I14" s="77" t="b">
        <f aca="false">FALSE()</f>
        <v>0</v>
      </c>
      <c r="J14" s="78" t="n">
        <v>0</v>
      </c>
      <c r="K14" s="15" t="s">
        <v>168</v>
      </c>
      <c r="L14" s="15" t="s">
        <v>228</v>
      </c>
      <c r="M14" s="15"/>
      <c r="N14" s="15"/>
      <c r="O14" s="15"/>
      <c r="P14" s="37" t="n">
        <v>3.39</v>
      </c>
      <c r="Q14" s="37" t="n">
        <v>2.88</v>
      </c>
      <c r="R14" s="47" t="n">
        <f aca="false">INT(B14)</f>
        <v>45951</v>
      </c>
      <c r="S14" s="15" t="n">
        <f aca="false">IF(AND(I14=TRUE(),COUNTIFS($R$5:R14,R14,$I$5:I14,TRUE())=1),1,0)</f>
        <v>0</v>
      </c>
      <c r="T14" s="69" t="n">
        <v>0.25</v>
      </c>
      <c r="U14" s="37" t="n">
        <v>3.2</v>
      </c>
      <c r="V14" s="37" t="n">
        <v>3.20346775</v>
      </c>
      <c r="W14" s="37" t="n">
        <v>0.51</v>
      </c>
      <c r="X14" s="15" t="s">
        <v>101</v>
      </c>
      <c r="Y14" s="47" t="n">
        <v>45950</v>
      </c>
    </row>
    <row r="15" customFormat="false" ht="15" hidden="false" customHeight="false" outlineLevel="0" collapsed="false">
      <c r="A15" s="13" t="n">
        <v>4533809491</v>
      </c>
      <c r="B15" s="74" t="n">
        <v>45952.7857986111</v>
      </c>
      <c r="C15" s="74" t="n">
        <v>45952.8405208333</v>
      </c>
      <c r="D15" s="30" t="n">
        <v>1.31333333333333</v>
      </c>
      <c r="E15" s="30" t="n">
        <v>42.079498</v>
      </c>
      <c r="F15" s="30" t="n">
        <v>62.523</v>
      </c>
      <c r="G15" s="13" t="s">
        <v>63</v>
      </c>
      <c r="H15" s="75" t="b">
        <f aca="false">TRUE()</f>
        <v>1</v>
      </c>
      <c r="I15" s="75" t="b">
        <f aca="false">FALSE()</f>
        <v>0</v>
      </c>
      <c r="J15" s="48" t="n">
        <v>1</v>
      </c>
      <c r="K15" s="13" t="s">
        <v>166</v>
      </c>
      <c r="L15" s="13" t="s">
        <v>222</v>
      </c>
      <c r="M15" s="13" t="s">
        <v>225</v>
      </c>
      <c r="N15" s="13"/>
      <c r="O15" s="13" t="s">
        <v>224</v>
      </c>
      <c r="P15" s="35" t="n">
        <v>23.09</v>
      </c>
      <c r="Q15" s="35" t="n">
        <v>19.87</v>
      </c>
      <c r="R15" s="46" t="n">
        <f aca="false">INT(B15)</f>
        <v>45952</v>
      </c>
      <c r="S15" s="13" t="n">
        <f aca="false">IF(AND(I15=TRUE(),COUNTIFS($R$5:R15,R15,$I$5:I15,TRUE())=1),1,0)</f>
        <v>0</v>
      </c>
      <c r="T15" s="70" t="n">
        <v>0.4</v>
      </c>
      <c r="U15" s="35" t="n">
        <v>22.08</v>
      </c>
      <c r="V15" s="35" t="n">
        <v>16.8317992</v>
      </c>
      <c r="W15" s="35" t="n">
        <v>3.22</v>
      </c>
      <c r="X15" s="13" t="s">
        <v>102</v>
      </c>
      <c r="Y15" s="46" t="n">
        <v>45950</v>
      </c>
    </row>
    <row r="16" customFormat="false" ht="15" hidden="false" customHeight="false" outlineLevel="0" collapsed="false">
      <c r="A16" s="15" t="n">
        <v>4540153751</v>
      </c>
      <c r="B16" s="76" t="n">
        <v>45954.6730324074</v>
      </c>
      <c r="C16" s="76" t="n">
        <v>45954.6884490741</v>
      </c>
      <c r="D16" s="31" t="n">
        <v>0.37</v>
      </c>
      <c r="E16" s="31" t="n">
        <v>8.8275</v>
      </c>
      <c r="F16" s="31" t="n">
        <v>47.125</v>
      </c>
      <c r="G16" s="15" t="s">
        <v>62</v>
      </c>
      <c r="H16" s="77" t="b">
        <f aca="false">TRUE()</f>
        <v>1</v>
      </c>
      <c r="I16" s="77" t="b">
        <f aca="false">FALSE()</f>
        <v>0</v>
      </c>
      <c r="J16" s="78" t="n">
        <v>1</v>
      </c>
      <c r="K16" s="15" t="s">
        <v>166</v>
      </c>
      <c r="L16" s="15" t="s">
        <v>222</v>
      </c>
      <c r="M16" s="15" t="s">
        <v>229</v>
      </c>
      <c r="N16" s="15" t="s">
        <v>230</v>
      </c>
      <c r="O16" s="15" t="s">
        <v>224</v>
      </c>
      <c r="P16" s="37" t="n">
        <v>5.22</v>
      </c>
      <c r="Q16" s="37" t="n">
        <v>4.51</v>
      </c>
      <c r="R16" s="47" t="n">
        <f aca="false">INT(B16)</f>
        <v>45954</v>
      </c>
      <c r="S16" s="15" t="n">
        <f aca="false">IF(AND(I16=TRUE(),COUNTIFS($R$5:R16,R16,$I$5:I16,TRUE())=1),1,0)</f>
        <v>0</v>
      </c>
      <c r="T16" s="69" t="n">
        <v>0.4</v>
      </c>
      <c r="U16" s="37" t="n">
        <v>5.01</v>
      </c>
      <c r="V16" s="37" t="n">
        <v>3.531</v>
      </c>
      <c r="W16" s="37" t="n">
        <v>0.71</v>
      </c>
      <c r="X16" s="15" t="s">
        <v>104</v>
      </c>
      <c r="Y16" s="47" t="n">
        <v>45950</v>
      </c>
    </row>
    <row r="17" customFormat="false" ht="15" hidden="false" customHeight="false" outlineLevel="0" collapsed="false">
      <c r="A17" s="13" t="n">
        <v>4540492661</v>
      </c>
      <c r="B17" s="74" t="n">
        <v>45954.7545486111</v>
      </c>
      <c r="C17" s="74" t="n">
        <v>45954.7583217593</v>
      </c>
      <c r="D17" s="30" t="n">
        <v>0.0905555555555555</v>
      </c>
      <c r="E17" s="30" t="n">
        <v>0</v>
      </c>
      <c r="F17" s="30" t="n">
        <v>0</v>
      </c>
      <c r="G17" s="13" t="s">
        <v>63</v>
      </c>
      <c r="H17" s="75" t="b">
        <f aca="false">FALSE()</f>
        <v>0</v>
      </c>
      <c r="I17" s="75" t="b">
        <f aca="false">FALSE()</f>
        <v>0</v>
      </c>
      <c r="J17" s="48"/>
      <c r="K17" s="13" t="s">
        <v>166</v>
      </c>
      <c r="L17" s="13" t="s">
        <v>222</v>
      </c>
      <c r="M17" s="13" t="s">
        <v>231</v>
      </c>
      <c r="N17" s="13" t="s">
        <v>232</v>
      </c>
      <c r="O17" s="13" t="s">
        <v>227</v>
      </c>
      <c r="P17" s="35" t="n">
        <v>0.36</v>
      </c>
      <c r="Q17" s="35" t="n">
        <v>0.32</v>
      </c>
      <c r="R17" s="46" t="n">
        <f aca="false">INT(B17)</f>
        <v>45954</v>
      </c>
      <c r="S17" s="13" t="n">
        <f aca="false">IF(AND(I17=TRUE(),COUNTIFS($R$5:R17,R17,$I$5:I17,TRUE())=1),1,0)</f>
        <v>0</v>
      </c>
      <c r="T17" s="70" t="n">
        <v>0.4</v>
      </c>
      <c r="U17" s="35" t="n">
        <v>0.36</v>
      </c>
      <c r="V17" s="35" t="n">
        <v>0</v>
      </c>
      <c r="W17" s="35" t="n">
        <v>0.04</v>
      </c>
      <c r="X17" s="13" t="s">
        <v>104</v>
      </c>
      <c r="Y17" s="46" t="n">
        <v>45950</v>
      </c>
    </row>
    <row r="18" customFormat="false" ht="15" hidden="false" customHeight="false" outlineLevel="0" collapsed="false">
      <c r="A18" s="15" t="n">
        <v>4540515451</v>
      </c>
      <c r="B18" s="76" t="n">
        <v>45954.7606134259</v>
      </c>
      <c r="C18" s="76" t="n">
        <v>45954.7616203704</v>
      </c>
      <c r="D18" s="31" t="n">
        <v>0.0241666666666666</v>
      </c>
      <c r="E18" s="31" t="n">
        <v>0</v>
      </c>
      <c r="F18" s="31" t="n">
        <v>0</v>
      </c>
      <c r="G18" s="15" t="s">
        <v>63</v>
      </c>
      <c r="H18" s="77" t="b">
        <f aca="false">FALSE()</f>
        <v>0</v>
      </c>
      <c r="I18" s="77" t="b">
        <f aca="false">FALSE()</f>
        <v>0</v>
      </c>
      <c r="J18" s="78"/>
      <c r="K18" s="15" t="s">
        <v>166</v>
      </c>
      <c r="L18" s="15" t="s">
        <v>222</v>
      </c>
      <c r="M18" s="15"/>
      <c r="N18" s="15"/>
      <c r="O18" s="15"/>
      <c r="P18" s="37"/>
      <c r="Q18" s="37"/>
      <c r="R18" s="47" t="n">
        <f aca="false">INT(B18)</f>
        <v>45954</v>
      </c>
      <c r="S18" s="15" t="n">
        <f aca="false">IF(AND(I18=TRUE(),COUNTIFS($R$5:R18,R18,$I$5:I18,TRUE())=1),1,0)</f>
        <v>0</v>
      </c>
      <c r="T18" s="69"/>
      <c r="U18" s="37"/>
      <c r="V18" s="37"/>
      <c r="W18" s="37"/>
      <c r="X18" s="15" t="s">
        <v>104</v>
      </c>
      <c r="Y18" s="47" t="n">
        <v>45950</v>
      </c>
    </row>
    <row r="19" customFormat="false" ht="15" hidden="false" customHeight="false" outlineLevel="0" collapsed="false">
      <c r="A19" s="13" t="n">
        <v>4540546531</v>
      </c>
      <c r="B19" s="74" t="n">
        <v>45954.7687384259</v>
      </c>
      <c r="C19" s="74" t="n">
        <v>45954.8025</v>
      </c>
      <c r="D19" s="30" t="n">
        <v>0.810277777777778</v>
      </c>
      <c r="E19" s="30" t="n">
        <v>46.164501</v>
      </c>
      <c r="F19" s="30" t="n">
        <v>60.907</v>
      </c>
      <c r="G19" s="13" t="s">
        <v>63</v>
      </c>
      <c r="H19" s="75" t="b">
        <f aca="false">TRUE()</f>
        <v>1</v>
      </c>
      <c r="I19" s="75" t="b">
        <f aca="false">FALSE()</f>
        <v>0</v>
      </c>
      <c r="J19" s="48" t="n">
        <v>1</v>
      </c>
      <c r="K19" s="13" t="s">
        <v>166</v>
      </c>
      <c r="L19" s="13" t="s">
        <v>222</v>
      </c>
      <c r="M19" s="13" t="s">
        <v>231</v>
      </c>
      <c r="N19" s="13" t="s">
        <v>232</v>
      </c>
      <c r="O19" s="13" t="s">
        <v>227</v>
      </c>
      <c r="P19" s="35" t="n">
        <v>22.82</v>
      </c>
      <c r="Q19" s="35" t="n">
        <v>19.54</v>
      </c>
      <c r="R19" s="46" t="n">
        <f aca="false">INT(B19)</f>
        <v>45954</v>
      </c>
      <c r="S19" s="13" t="n">
        <f aca="false">IF(AND(I19=TRUE(),COUNTIFS($R$5:R19,R19,$I$5:I19,TRUE())=1),1,0)</f>
        <v>0</v>
      </c>
      <c r="T19" s="70" t="n">
        <v>0.4</v>
      </c>
      <c r="U19" s="35" t="n">
        <v>21.71</v>
      </c>
      <c r="V19" s="35" t="n">
        <v>18.4658004</v>
      </c>
      <c r="W19" s="35" t="n">
        <v>3.28</v>
      </c>
      <c r="X19" s="13" t="s">
        <v>104</v>
      </c>
      <c r="Y19" s="46" t="n">
        <v>45950</v>
      </c>
    </row>
    <row r="20" customFormat="false" ht="15" hidden="false" customHeight="false" outlineLevel="0" collapsed="false">
      <c r="A20" s="15" t="n">
        <v>4540698941</v>
      </c>
      <c r="B20" s="76" t="n">
        <v>45954.8055324074</v>
      </c>
      <c r="C20" s="76" t="n">
        <v>45954.821087963</v>
      </c>
      <c r="D20" s="31" t="n">
        <v>0.373333333333333</v>
      </c>
      <c r="E20" s="31" t="n">
        <v>21.1</v>
      </c>
      <c r="F20" s="31" t="n">
        <v>62.487</v>
      </c>
      <c r="G20" s="15" t="s">
        <v>63</v>
      </c>
      <c r="H20" s="77" t="b">
        <f aca="false">TRUE()</f>
        <v>1</v>
      </c>
      <c r="I20" s="77" t="b">
        <f aca="false">FALSE()</f>
        <v>0</v>
      </c>
      <c r="J20" s="78" t="n">
        <v>1</v>
      </c>
      <c r="K20" s="15" t="s">
        <v>166</v>
      </c>
      <c r="L20" s="15" t="s">
        <v>228</v>
      </c>
      <c r="M20" s="15"/>
      <c r="N20" s="15"/>
      <c r="O20" s="15"/>
      <c r="P20" s="37" t="n">
        <v>10.44</v>
      </c>
      <c r="Q20" s="37" t="n">
        <v>8.94</v>
      </c>
      <c r="R20" s="47" t="n">
        <f aca="false">INT(B20)</f>
        <v>45954</v>
      </c>
      <c r="S20" s="15" t="n">
        <f aca="false">IF(AND(I20=TRUE(),COUNTIFS($R$5:R20,R20,$I$5:I20,TRUE())=1),1,0)</f>
        <v>0</v>
      </c>
      <c r="T20" s="69" t="n">
        <v>0.4</v>
      </c>
      <c r="U20" s="37" t="n">
        <v>9.93</v>
      </c>
      <c r="V20" s="37" t="n">
        <v>8.44</v>
      </c>
      <c r="W20" s="37" t="n">
        <v>1.5</v>
      </c>
      <c r="X20" s="15" t="s">
        <v>104</v>
      </c>
      <c r="Y20" s="47" t="n">
        <v>45950</v>
      </c>
    </row>
    <row r="21" customFormat="false" ht="15" hidden="false" customHeight="false" outlineLevel="0" collapsed="false">
      <c r="A21" s="13" t="n">
        <v>4540773061</v>
      </c>
      <c r="B21" s="74" t="n">
        <v>45954.8225694444</v>
      </c>
      <c r="C21" s="74" t="n">
        <v>45954.8503240741</v>
      </c>
      <c r="D21" s="30" t="n">
        <v>0.666111111111111</v>
      </c>
      <c r="E21" s="30" t="n">
        <v>14.3674</v>
      </c>
      <c r="F21" s="30" t="n">
        <v>46.875</v>
      </c>
      <c r="G21" s="13" t="s">
        <v>63</v>
      </c>
      <c r="H21" s="75" t="b">
        <f aca="false">TRUE()</f>
        <v>1</v>
      </c>
      <c r="I21" s="75" t="b">
        <f aca="false">FALSE()</f>
        <v>0</v>
      </c>
      <c r="J21" s="48" t="n">
        <v>0.983606557377049</v>
      </c>
      <c r="K21" s="13" t="s">
        <v>166</v>
      </c>
      <c r="L21" s="13" t="s">
        <v>222</v>
      </c>
      <c r="M21" s="13" t="s">
        <v>229</v>
      </c>
      <c r="N21" s="13" t="s">
        <v>230</v>
      </c>
      <c r="O21" s="13" t="s">
        <v>224</v>
      </c>
      <c r="P21" s="35" t="n">
        <v>8.76</v>
      </c>
      <c r="Q21" s="35" t="n">
        <v>7.57</v>
      </c>
      <c r="R21" s="46" t="n">
        <f aca="false">INT(B21)</f>
        <v>45954</v>
      </c>
      <c r="S21" s="13" t="n">
        <f aca="false">IF(AND(I21=TRUE(),COUNTIFS($R$5:R21,R21,$I$5:I21,TRUE())=1),1,0)</f>
        <v>0</v>
      </c>
      <c r="T21" s="70" t="n">
        <v>0.4</v>
      </c>
      <c r="U21" s="35" t="n">
        <v>8.41</v>
      </c>
      <c r="V21" s="35" t="n">
        <v>5.74696</v>
      </c>
      <c r="W21" s="35" t="n">
        <v>1.19</v>
      </c>
      <c r="X21" s="13" t="s">
        <v>104</v>
      </c>
      <c r="Y21" s="46" t="n">
        <v>45950</v>
      </c>
    </row>
    <row r="22" customFormat="false" ht="15" hidden="false" customHeight="false" outlineLevel="0" collapsed="false">
      <c r="A22" s="15" t="n">
        <v>4543524101</v>
      </c>
      <c r="B22" s="76" t="n">
        <v>45955.8398611111</v>
      </c>
      <c r="C22" s="76" t="n">
        <v>45955.848287037</v>
      </c>
      <c r="D22" s="31" t="n">
        <v>0.202222222222222</v>
      </c>
      <c r="E22" s="31" t="n">
        <v>5.3031</v>
      </c>
      <c r="F22" s="31" t="n">
        <v>48.625</v>
      </c>
      <c r="G22" s="15" t="s">
        <v>63</v>
      </c>
      <c r="H22" s="77" t="b">
        <f aca="false">TRUE()</f>
        <v>1</v>
      </c>
      <c r="I22" s="77" t="b">
        <f aca="false">FALSE()</f>
        <v>0</v>
      </c>
      <c r="J22" s="78" t="n">
        <v>1</v>
      </c>
      <c r="K22" s="15" t="s">
        <v>166</v>
      </c>
      <c r="L22" s="15" t="s">
        <v>222</v>
      </c>
      <c r="M22" s="15" t="s">
        <v>223</v>
      </c>
      <c r="N22" s="15"/>
      <c r="O22" s="15" t="s">
        <v>224</v>
      </c>
      <c r="P22" s="37" t="n">
        <v>3.06</v>
      </c>
      <c r="Q22" s="37" t="n">
        <v>2.64</v>
      </c>
      <c r="R22" s="47" t="n">
        <f aca="false">INT(B22)</f>
        <v>45955</v>
      </c>
      <c r="S22" s="15" t="n">
        <f aca="false">IF(AND(I22=TRUE(),COUNTIFS($R$5:R22,R22,$I$5:I22,TRUE())=1),1,0)</f>
        <v>0</v>
      </c>
      <c r="T22" s="69" t="n">
        <v>0.4</v>
      </c>
      <c r="U22" s="37" t="n">
        <v>2.93</v>
      </c>
      <c r="V22" s="37" t="n">
        <v>2.12124</v>
      </c>
      <c r="W22" s="37" t="n">
        <v>0.42</v>
      </c>
      <c r="X22" s="15" t="s">
        <v>105</v>
      </c>
      <c r="Y22" s="47" t="n">
        <v>45950</v>
      </c>
    </row>
    <row r="23" customFormat="false" ht="15" hidden="false" customHeight="false" outlineLevel="0" collapsed="false">
      <c r="A23" s="13" t="n">
        <v>4545939491</v>
      </c>
      <c r="B23" s="74" t="n">
        <v>45956.8818518519</v>
      </c>
      <c r="C23" s="74" t="n">
        <v>45956.8824074074</v>
      </c>
      <c r="D23" s="30" t="n">
        <v>0.0133333333333333</v>
      </c>
      <c r="E23" s="30" t="n">
        <v>0</v>
      </c>
      <c r="F23" s="30" t="n">
        <v>0</v>
      </c>
      <c r="G23" s="13" t="s">
        <v>63</v>
      </c>
      <c r="H23" s="75" t="b">
        <f aca="false">FALSE()</f>
        <v>0</v>
      </c>
      <c r="I23" s="75" t="b">
        <f aca="false">FALSE()</f>
        <v>0</v>
      </c>
      <c r="J23" s="48"/>
      <c r="K23" s="13" t="s">
        <v>166</v>
      </c>
      <c r="L23" s="13" t="s">
        <v>222</v>
      </c>
      <c r="M23" s="13"/>
      <c r="N23" s="13"/>
      <c r="O23" s="13"/>
      <c r="P23" s="35"/>
      <c r="Q23" s="35"/>
      <c r="R23" s="46" t="n">
        <f aca="false">INT(B23)</f>
        <v>45956</v>
      </c>
      <c r="S23" s="13" t="n">
        <f aca="false">IF(AND(I23=TRUE(),COUNTIFS($R$5:R23,R23,$I$5:I23,TRUE())=1),1,0)</f>
        <v>0</v>
      </c>
      <c r="T23" s="70"/>
      <c r="U23" s="35"/>
      <c r="V23" s="35"/>
      <c r="W23" s="35"/>
      <c r="X23" s="13" t="s">
        <v>106</v>
      </c>
      <c r="Y23" s="46" t="n">
        <v>45950</v>
      </c>
    </row>
    <row r="24" customFormat="false" ht="15" hidden="false" customHeight="false" outlineLevel="0" collapsed="false">
      <c r="A24" s="15" t="n">
        <v>4545941821</v>
      </c>
      <c r="B24" s="76" t="n">
        <v>45956.8827083333</v>
      </c>
      <c r="C24" s="76" t="n">
        <v>45956.8871527778</v>
      </c>
      <c r="D24" s="31" t="n">
        <v>0.106666666666667</v>
      </c>
      <c r="E24" s="31" t="n">
        <v>5.4966</v>
      </c>
      <c r="F24" s="31" t="n">
        <v>58.5</v>
      </c>
      <c r="G24" s="15" t="s">
        <v>63</v>
      </c>
      <c r="H24" s="77" t="b">
        <f aca="false">TRUE()</f>
        <v>1</v>
      </c>
      <c r="I24" s="77" t="b">
        <f aca="false">FALSE()</f>
        <v>0</v>
      </c>
      <c r="J24" s="78" t="n">
        <v>1</v>
      </c>
      <c r="K24" s="15" t="s">
        <v>166</v>
      </c>
      <c r="L24" s="15" t="s">
        <v>222</v>
      </c>
      <c r="M24" s="15" t="s">
        <v>233</v>
      </c>
      <c r="N24" s="15"/>
      <c r="O24" s="15" t="s">
        <v>227</v>
      </c>
      <c r="P24" s="37" t="n">
        <v>2.76</v>
      </c>
      <c r="Q24" s="37" t="n">
        <v>2.37</v>
      </c>
      <c r="R24" s="47" t="n">
        <f aca="false">INT(B24)</f>
        <v>45956</v>
      </c>
      <c r="S24" s="15" t="n">
        <f aca="false">IF(AND(I24=TRUE(),COUNTIFS($R$5:R24,R24,$I$5:I24,TRUE())=1),1,0)</f>
        <v>0</v>
      </c>
      <c r="T24" s="69" t="n">
        <v>0.4</v>
      </c>
      <c r="U24" s="37" t="n">
        <v>2.63</v>
      </c>
      <c r="V24" s="37" t="n">
        <v>2.19864</v>
      </c>
      <c r="W24" s="37" t="n">
        <v>0.39</v>
      </c>
      <c r="X24" s="15" t="s">
        <v>106</v>
      </c>
      <c r="Y24" s="47" t="n">
        <v>45950</v>
      </c>
    </row>
    <row r="25" customFormat="false" ht="15" hidden="false" customHeight="false" outlineLevel="0" collapsed="false">
      <c r="A25" s="13" t="n">
        <v>4547937941</v>
      </c>
      <c r="B25" s="74" t="n">
        <v>45957.6419097222</v>
      </c>
      <c r="C25" s="74" t="n">
        <v>45957.6572800926</v>
      </c>
      <c r="D25" s="30" t="n">
        <v>0.368888888888889</v>
      </c>
      <c r="E25" s="30" t="n">
        <v>22.2493</v>
      </c>
      <c r="F25" s="30" t="n">
        <v>62.868</v>
      </c>
      <c r="G25" s="13" t="s">
        <v>62</v>
      </c>
      <c r="H25" s="75" t="b">
        <f aca="false">TRUE()</f>
        <v>1</v>
      </c>
      <c r="I25" s="75" t="b">
        <f aca="false">FALSE()</f>
        <v>0</v>
      </c>
      <c r="J25" s="48" t="n">
        <v>1</v>
      </c>
      <c r="K25" s="13" t="s">
        <v>166</v>
      </c>
      <c r="L25" s="13" t="s">
        <v>228</v>
      </c>
      <c r="M25" s="13"/>
      <c r="N25" s="13"/>
      <c r="O25" s="13"/>
      <c r="P25" s="35" t="n">
        <v>10.91</v>
      </c>
      <c r="Q25" s="35" t="n">
        <v>9.34</v>
      </c>
      <c r="R25" s="46" t="n">
        <f aca="false">INT(B25)</f>
        <v>45957</v>
      </c>
      <c r="S25" s="13" t="n">
        <f aca="false">IF(AND(I25=TRUE(),COUNTIFS($R$5:R25,R25,$I$5:I25,TRUE())=1),1,0)</f>
        <v>0</v>
      </c>
      <c r="T25" s="70" t="n">
        <v>0.4</v>
      </c>
      <c r="U25" s="35" t="n">
        <v>10.38</v>
      </c>
      <c r="V25" s="35" t="n">
        <v>8.89972</v>
      </c>
      <c r="W25" s="35" t="n">
        <v>1.57</v>
      </c>
      <c r="X25" s="13" t="s">
        <v>100</v>
      </c>
      <c r="Y25" s="46" t="n">
        <v>45957</v>
      </c>
    </row>
    <row r="26" customFormat="false" ht="15" hidden="false" customHeight="false" outlineLevel="0" collapsed="false">
      <c r="A26" s="15" t="n">
        <v>4549967281</v>
      </c>
      <c r="B26" s="76" t="n">
        <v>45958.1145949074</v>
      </c>
      <c r="C26" s="76" t="n">
        <v>45958.1150694444</v>
      </c>
      <c r="D26" s="31" t="n">
        <v>0.0113888888888888</v>
      </c>
      <c r="E26" s="31" t="n">
        <v>0</v>
      </c>
      <c r="F26" s="31" t="n">
        <v>0</v>
      </c>
      <c r="G26" s="15" t="s">
        <v>64</v>
      </c>
      <c r="H26" s="77" t="b">
        <f aca="false">FALSE()</f>
        <v>0</v>
      </c>
      <c r="I26" s="77" t="b">
        <f aca="false">TRUE()</f>
        <v>1</v>
      </c>
      <c r="J26" s="78"/>
      <c r="K26" s="15" t="s">
        <v>166</v>
      </c>
      <c r="L26" s="15" t="s">
        <v>222</v>
      </c>
      <c r="M26" s="15"/>
      <c r="N26" s="15"/>
      <c r="O26" s="15"/>
      <c r="P26" s="37"/>
      <c r="Q26" s="37"/>
      <c r="R26" s="47" t="n">
        <f aca="false">INT(B26)</f>
        <v>45958</v>
      </c>
      <c r="S26" s="15" t="n">
        <f aca="false">IF(AND(I26=TRUE(),COUNTIFS($R$5:R26,R26,$I$5:I26,TRUE())=1),1,0)</f>
        <v>1</v>
      </c>
      <c r="T26" s="69"/>
      <c r="U26" s="37"/>
      <c r="V26" s="37"/>
      <c r="W26" s="37"/>
      <c r="X26" s="15" t="s">
        <v>101</v>
      </c>
      <c r="Y26" s="47" t="n">
        <v>45957</v>
      </c>
    </row>
    <row r="27" customFormat="false" ht="15" hidden="false" customHeight="false" outlineLevel="0" collapsed="false">
      <c r="A27" s="13" t="n">
        <v>4549969211</v>
      </c>
      <c r="B27" s="74" t="n">
        <v>45958.1153125</v>
      </c>
      <c r="C27" s="74" t="n">
        <v>45958.1465740741</v>
      </c>
      <c r="D27" s="30" t="n">
        <v>0.750277777777778</v>
      </c>
      <c r="E27" s="30" t="n">
        <v>28.066799</v>
      </c>
      <c r="F27" s="30" t="n">
        <v>53.549</v>
      </c>
      <c r="G27" s="13" t="s">
        <v>64</v>
      </c>
      <c r="H27" s="75" t="b">
        <f aca="false">TRUE()</f>
        <v>1</v>
      </c>
      <c r="I27" s="75" t="b">
        <f aca="false">TRUE()</f>
        <v>1</v>
      </c>
      <c r="J27" s="48" t="n">
        <v>1</v>
      </c>
      <c r="K27" s="13" t="s">
        <v>166</v>
      </c>
      <c r="L27" s="13" t="s">
        <v>222</v>
      </c>
      <c r="M27" s="13" t="s">
        <v>234</v>
      </c>
      <c r="N27" s="13" t="s">
        <v>235</v>
      </c>
      <c r="O27" s="13" t="s">
        <v>224</v>
      </c>
      <c r="P27" s="35" t="n">
        <v>14.9</v>
      </c>
      <c r="Q27" s="35" t="n">
        <v>12.81</v>
      </c>
      <c r="R27" s="46" t="n">
        <f aca="false">INT(B27)</f>
        <v>45958</v>
      </c>
      <c r="S27" s="13" t="n">
        <f aca="false">IF(AND(I27=TRUE(),COUNTIFS($R$5:R27,R27,$I$5:I27,TRUE())=1),1,0)</f>
        <v>0</v>
      </c>
      <c r="T27" s="70" t="n">
        <v>0.4</v>
      </c>
      <c r="U27" s="35" t="n">
        <v>14.23</v>
      </c>
      <c r="V27" s="35" t="n">
        <v>11.2267196</v>
      </c>
      <c r="W27" s="35" t="n">
        <v>2.09</v>
      </c>
      <c r="X27" s="13" t="s">
        <v>101</v>
      </c>
      <c r="Y27" s="46" t="n">
        <v>45957</v>
      </c>
    </row>
    <row r="28" customFormat="false" ht="15" hidden="false" customHeight="false" outlineLevel="0" collapsed="false">
      <c r="A28" s="15" t="n">
        <v>4552702471</v>
      </c>
      <c r="B28" s="76" t="n">
        <v>45958.9517824074</v>
      </c>
      <c r="C28" s="76" t="n">
        <v>45959.0311226852</v>
      </c>
      <c r="D28" s="31" t="n">
        <v>1.90416666666667</v>
      </c>
      <c r="E28" s="31" t="n">
        <v>66.149902</v>
      </c>
      <c r="F28" s="31" t="n">
        <v>62.474</v>
      </c>
      <c r="G28" s="15" t="s">
        <v>64</v>
      </c>
      <c r="H28" s="77" t="b">
        <f aca="false">TRUE()</f>
        <v>1</v>
      </c>
      <c r="I28" s="77" t="b">
        <f aca="false">TRUE()</f>
        <v>1</v>
      </c>
      <c r="J28" s="78" t="n">
        <v>1</v>
      </c>
      <c r="K28" s="15" t="s">
        <v>166</v>
      </c>
      <c r="L28" s="15" t="s">
        <v>222</v>
      </c>
      <c r="M28" s="15" t="s">
        <v>225</v>
      </c>
      <c r="N28" s="15"/>
      <c r="O28" s="15" t="s">
        <v>224</v>
      </c>
      <c r="P28" s="37" t="n">
        <v>35.67</v>
      </c>
      <c r="Q28" s="37" t="n">
        <v>30.67</v>
      </c>
      <c r="R28" s="47" t="n">
        <f aca="false">INT(B28)</f>
        <v>45958</v>
      </c>
      <c r="S28" s="15" t="n">
        <f aca="false">IF(AND(I28=TRUE(),COUNTIFS($R$5:R28,R28,$I$5:I28,TRUE())=1),1,0)</f>
        <v>0</v>
      </c>
      <c r="T28" s="69" t="n">
        <v>0.4</v>
      </c>
      <c r="U28" s="37" t="n">
        <v>34.08</v>
      </c>
      <c r="V28" s="37" t="n">
        <v>26.4599608</v>
      </c>
      <c r="W28" s="37" t="n">
        <v>5</v>
      </c>
      <c r="X28" s="15" t="s">
        <v>101</v>
      </c>
      <c r="Y28" s="47" t="n">
        <v>45957</v>
      </c>
    </row>
    <row r="29" customFormat="false" ht="15" hidden="false" customHeight="false" outlineLevel="0" collapsed="false">
      <c r="A29" s="13" t="n">
        <v>4558258911</v>
      </c>
      <c r="B29" s="74" t="n">
        <v>45960.6611226852</v>
      </c>
      <c r="C29" s="74" t="n">
        <v>45960.7171990741</v>
      </c>
      <c r="D29" s="30" t="n">
        <v>1.34583333333333</v>
      </c>
      <c r="E29" s="30" t="n">
        <v>20.0424</v>
      </c>
      <c r="F29" s="30" t="n">
        <v>51.695</v>
      </c>
      <c r="G29" s="13" t="s">
        <v>62</v>
      </c>
      <c r="H29" s="75" t="b">
        <f aca="false">TRUE()</f>
        <v>1</v>
      </c>
      <c r="I29" s="75" t="b">
        <f aca="false">FALSE()</f>
        <v>0</v>
      </c>
      <c r="J29" s="48" t="n">
        <v>0.779357685707281</v>
      </c>
      <c r="K29" s="13" t="s">
        <v>166</v>
      </c>
      <c r="L29" s="13" t="s">
        <v>222</v>
      </c>
      <c r="M29" s="13" t="s">
        <v>236</v>
      </c>
      <c r="N29" s="13"/>
      <c r="O29" s="13" t="s">
        <v>224</v>
      </c>
      <c r="P29" s="35" t="n">
        <v>13.88</v>
      </c>
      <c r="Q29" s="35" t="n">
        <v>12.06</v>
      </c>
      <c r="R29" s="46" t="n">
        <f aca="false">INT(B29)</f>
        <v>45960</v>
      </c>
      <c r="S29" s="13" t="n">
        <f aca="false">IF(AND(I29=TRUE(),COUNTIFS($R$5:R29,R29,$I$5:I29,TRUE())=1),1,0)</f>
        <v>0</v>
      </c>
      <c r="T29" s="70" t="n">
        <v>0.4</v>
      </c>
      <c r="U29" s="35" t="n">
        <v>13.4</v>
      </c>
      <c r="V29" s="35" t="n">
        <v>8.01696</v>
      </c>
      <c r="W29" s="35" t="n">
        <v>1.82</v>
      </c>
      <c r="X29" s="13" t="s">
        <v>103</v>
      </c>
      <c r="Y29" s="46" t="n">
        <v>45957</v>
      </c>
    </row>
    <row r="30" customFormat="false" ht="15" hidden="false" customHeight="false" outlineLevel="0" collapsed="false">
      <c r="A30" s="15" t="n">
        <v>4562784681</v>
      </c>
      <c r="B30" s="76" t="n">
        <v>45961.9576388889</v>
      </c>
      <c r="C30" s="76" t="n">
        <v>45961.9738310185</v>
      </c>
      <c r="D30" s="31" t="n">
        <v>0.388611111111111</v>
      </c>
      <c r="E30" s="31" t="n">
        <v>22.979</v>
      </c>
      <c r="F30" s="31" t="n">
        <v>62.465</v>
      </c>
      <c r="G30" s="15" t="s">
        <v>64</v>
      </c>
      <c r="H30" s="77" t="b">
        <f aca="false">TRUE()</f>
        <v>1</v>
      </c>
      <c r="I30" s="77" t="b">
        <f aca="false">TRUE()</f>
        <v>1</v>
      </c>
      <c r="J30" s="78" t="n">
        <v>1</v>
      </c>
      <c r="K30" s="15" t="s">
        <v>166</v>
      </c>
      <c r="L30" s="15" t="s">
        <v>222</v>
      </c>
      <c r="M30" s="15" t="s">
        <v>237</v>
      </c>
      <c r="N30" s="15"/>
      <c r="O30" s="15" t="s">
        <v>238</v>
      </c>
      <c r="P30" s="37" t="n">
        <v>11.29</v>
      </c>
      <c r="Q30" s="37" t="n">
        <v>9.67</v>
      </c>
      <c r="R30" s="47" t="n">
        <f aca="false">INT(B30)</f>
        <v>45961</v>
      </c>
      <c r="S30" s="15" t="n">
        <f aca="false">IF(AND(I30=TRUE(),COUNTIFS($R$5:R30,R30,$I$5:I30,TRUE())=1),1,0)</f>
        <v>1</v>
      </c>
      <c r="T30" s="69" t="n">
        <v>0.4</v>
      </c>
      <c r="U30" s="37" t="n">
        <v>10.74</v>
      </c>
      <c r="V30" s="37" t="n">
        <v>9.1916</v>
      </c>
      <c r="W30" s="37" t="n">
        <v>1.62</v>
      </c>
      <c r="X30" s="15" t="s">
        <v>104</v>
      </c>
      <c r="Y30" s="47" t="n">
        <v>45957</v>
      </c>
    </row>
    <row r="31" customFormat="false" ht="15" hidden="false" customHeight="false" outlineLevel="0" collapsed="false">
      <c r="A31" s="13" t="n">
        <v>4562924501</v>
      </c>
      <c r="B31" s="74" t="n">
        <v>45961.9988194444</v>
      </c>
      <c r="C31" s="74" t="n">
        <v>45962.0010763889</v>
      </c>
      <c r="D31" s="30" t="n">
        <v>0.0541666666666666</v>
      </c>
      <c r="E31" s="30" t="n">
        <v>0</v>
      </c>
      <c r="F31" s="30" t="n">
        <v>0</v>
      </c>
      <c r="G31" s="13" t="s">
        <v>64</v>
      </c>
      <c r="H31" s="75" t="b">
        <f aca="false">FALSE()</f>
        <v>0</v>
      </c>
      <c r="I31" s="75" t="b">
        <f aca="false">TRUE()</f>
        <v>1</v>
      </c>
      <c r="J31" s="48" t="n">
        <v>0</v>
      </c>
      <c r="K31" s="13" t="s">
        <v>166</v>
      </c>
      <c r="L31" s="13" t="s">
        <v>222</v>
      </c>
      <c r="M31" s="13" t="s">
        <v>239</v>
      </c>
      <c r="N31" s="13"/>
      <c r="O31" s="13" t="s">
        <v>224</v>
      </c>
      <c r="P31" s="35" t="n">
        <v>0.22</v>
      </c>
      <c r="Q31" s="35" t="n">
        <v>0.2</v>
      </c>
      <c r="R31" s="46" t="n">
        <f aca="false">INT(B31)</f>
        <v>45961</v>
      </c>
      <c r="S31" s="13" t="n">
        <f aca="false">IF(AND(I31=TRUE(),COUNTIFS($R$5:R31,R31,$I$5:I31,TRUE())=1),1,0)</f>
        <v>0</v>
      </c>
      <c r="T31" s="70" t="n">
        <v>0.4</v>
      </c>
      <c r="U31" s="35" t="n">
        <v>0.22</v>
      </c>
      <c r="V31" s="35" t="n">
        <v>0</v>
      </c>
      <c r="W31" s="35" t="n">
        <v>0.02</v>
      </c>
      <c r="X31" s="13" t="s">
        <v>104</v>
      </c>
      <c r="Y31" s="46" t="n">
        <v>45957</v>
      </c>
    </row>
    <row r="32" customFormat="false" ht="15" hidden="false" customHeight="false" outlineLevel="0" collapsed="false">
      <c r="A32" s="15" t="n">
        <v>4562936151</v>
      </c>
      <c r="B32" s="76" t="n">
        <v>45962.0013888889</v>
      </c>
      <c r="C32" s="76" t="n">
        <v>45962.0328125</v>
      </c>
      <c r="D32" s="31" t="n">
        <v>0.754166666666667</v>
      </c>
      <c r="E32" s="31" t="n">
        <v>30.7314</v>
      </c>
      <c r="F32" s="31" t="n">
        <v>58.744</v>
      </c>
      <c r="G32" s="15" t="s">
        <v>64</v>
      </c>
      <c r="H32" s="77" t="b">
        <f aca="false">TRUE()</f>
        <v>1</v>
      </c>
      <c r="I32" s="77" t="b">
        <f aca="false">TRUE()</f>
        <v>1</v>
      </c>
      <c r="J32" s="78" t="n">
        <v>1</v>
      </c>
      <c r="K32" s="15" t="s">
        <v>166</v>
      </c>
      <c r="L32" s="15" t="s">
        <v>222</v>
      </c>
      <c r="M32" s="15" t="s">
        <v>239</v>
      </c>
      <c r="N32" s="15"/>
      <c r="O32" s="15" t="s">
        <v>224</v>
      </c>
      <c r="P32" s="37" t="n">
        <v>16.05</v>
      </c>
      <c r="Q32" s="37" t="n">
        <v>13.78</v>
      </c>
      <c r="R32" s="47" t="n">
        <f aca="false">INT(B32)</f>
        <v>45962</v>
      </c>
      <c r="S32" s="15" t="n">
        <f aca="false">IF(AND(I32=TRUE(),COUNTIFS($R$5:R32,R32,$I$5:I32,TRUE())=1),1,0)</f>
        <v>1</v>
      </c>
      <c r="T32" s="69" t="n">
        <v>0.4</v>
      </c>
      <c r="U32" s="37" t="n">
        <v>15.31</v>
      </c>
      <c r="V32" s="37" t="n">
        <v>12.29256</v>
      </c>
      <c r="W32" s="37" t="n">
        <v>2.27</v>
      </c>
      <c r="X32" s="15" t="s">
        <v>105</v>
      </c>
      <c r="Y32" s="47" t="n">
        <v>45957</v>
      </c>
    </row>
    <row r="33" customFormat="false" ht="15" hidden="false" customHeight="false" outlineLevel="0" collapsed="false">
      <c r="A33" s="13" t="n">
        <v>4563049001</v>
      </c>
      <c r="B33" s="74" t="n">
        <v>45962.0361458333</v>
      </c>
      <c r="C33" s="74" t="n">
        <v>45962.0374768519</v>
      </c>
      <c r="D33" s="30" t="n">
        <v>0.0319444444444444</v>
      </c>
      <c r="E33" s="30" t="n">
        <v>0</v>
      </c>
      <c r="F33" s="30" t="n">
        <v>0</v>
      </c>
      <c r="G33" s="13" t="s">
        <v>64</v>
      </c>
      <c r="H33" s="75" t="b">
        <f aca="false">FALSE()</f>
        <v>0</v>
      </c>
      <c r="I33" s="75" t="b">
        <f aca="false">TRUE()</f>
        <v>1</v>
      </c>
      <c r="J33" s="48"/>
      <c r="K33" s="13" t="s">
        <v>168</v>
      </c>
      <c r="L33" s="13" t="s">
        <v>222</v>
      </c>
      <c r="M33" s="13"/>
      <c r="N33" s="13"/>
      <c r="O33" s="13"/>
      <c r="P33" s="35"/>
      <c r="Q33" s="35"/>
      <c r="R33" s="46" t="n">
        <f aca="false">INT(B33)</f>
        <v>45962</v>
      </c>
      <c r="S33" s="13" t="n">
        <f aca="false">IF(AND(I33=TRUE(),COUNTIFS($R$5:R33,R33,$I$5:I33,TRUE())=1),1,0)</f>
        <v>0</v>
      </c>
      <c r="T33" s="70"/>
      <c r="U33" s="35"/>
      <c r="V33" s="35"/>
      <c r="W33" s="35"/>
      <c r="X33" s="13" t="s">
        <v>105</v>
      </c>
      <c r="Y33" s="46" t="n">
        <v>45957</v>
      </c>
    </row>
    <row r="34" customFormat="false" ht="15" hidden="false" customHeight="false" outlineLevel="0" collapsed="false">
      <c r="A34" s="15" t="n">
        <v>4563050701</v>
      </c>
      <c r="B34" s="76" t="n">
        <v>45962.0378472222</v>
      </c>
      <c r="C34" s="76" t="n">
        <v>45962.0715856482</v>
      </c>
      <c r="D34" s="31" t="n">
        <v>0.809722222222222</v>
      </c>
      <c r="E34" s="31" t="n">
        <v>33.872002</v>
      </c>
      <c r="F34" s="31" t="n">
        <v>56.159</v>
      </c>
      <c r="G34" s="15" t="s">
        <v>64</v>
      </c>
      <c r="H34" s="77" t="b">
        <f aca="false">TRUE()</f>
        <v>1</v>
      </c>
      <c r="I34" s="77" t="b">
        <f aca="false">TRUE()</f>
        <v>1</v>
      </c>
      <c r="J34" s="78" t="n">
        <v>1</v>
      </c>
      <c r="K34" s="15" t="s">
        <v>166</v>
      </c>
      <c r="L34" s="15" t="s">
        <v>222</v>
      </c>
      <c r="M34" s="15" t="s">
        <v>240</v>
      </c>
      <c r="N34" s="15" t="s">
        <v>241</v>
      </c>
      <c r="O34" s="15" t="s">
        <v>242</v>
      </c>
      <c r="P34" s="37" t="n">
        <v>17.6</v>
      </c>
      <c r="Q34" s="37" t="n">
        <v>15.11</v>
      </c>
      <c r="R34" s="47" t="n">
        <f aca="false">INT(B34)</f>
        <v>45962</v>
      </c>
      <c r="S34" s="15" t="n">
        <f aca="false">IF(AND(I34=TRUE(),COUNTIFS($R$5:R34,R34,$I$5:I34,TRUE())=1),1,0)</f>
        <v>0</v>
      </c>
      <c r="T34" s="69" t="n">
        <v>0.4</v>
      </c>
      <c r="U34" s="37" t="n">
        <v>16.79</v>
      </c>
      <c r="V34" s="37" t="n">
        <v>13.5488008</v>
      </c>
      <c r="W34" s="37" t="n">
        <v>2.49</v>
      </c>
      <c r="X34" s="15" t="s">
        <v>105</v>
      </c>
      <c r="Y34" s="47" t="n">
        <v>45957</v>
      </c>
    </row>
    <row r="35" customFormat="false" ht="15" hidden="false" customHeight="false" outlineLevel="0" collapsed="false">
      <c r="A35" s="13" t="n">
        <v>4564233461</v>
      </c>
      <c r="B35" s="74" t="n">
        <v>45962.6640046296</v>
      </c>
      <c r="C35" s="74" t="n">
        <v>45962.6730902778</v>
      </c>
      <c r="D35" s="30" t="n">
        <v>0.218055555555556</v>
      </c>
      <c r="E35" s="30" t="n">
        <v>11.2005</v>
      </c>
      <c r="F35" s="30" t="n">
        <v>52.571</v>
      </c>
      <c r="G35" s="13" t="s">
        <v>62</v>
      </c>
      <c r="H35" s="75" t="b">
        <f aca="false">TRUE()</f>
        <v>1</v>
      </c>
      <c r="I35" s="75" t="b">
        <f aca="false">FALSE()</f>
        <v>0</v>
      </c>
      <c r="J35" s="48" t="n">
        <v>1</v>
      </c>
      <c r="K35" s="13" t="s">
        <v>166</v>
      </c>
      <c r="L35" s="13" t="s">
        <v>222</v>
      </c>
      <c r="M35" s="13" t="s">
        <v>225</v>
      </c>
      <c r="N35" s="13"/>
      <c r="O35" s="13" t="s">
        <v>224</v>
      </c>
      <c r="P35" s="35" t="n">
        <v>5.62</v>
      </c>
      <c r="Q35" s="35" t="n">
        <v>4.82</v>
      </c>
      <c r="R35" s="46" t="n">
        <f aca="false">INT(B35)</f>
        <v>45962</v>
      </c>
      <c r="S35" s="13" t="n">
        <f aca="false">IF(AND(I35=TRUE(),COUNTIFS($R$5:R35,R35,$I$5:I35,TRUE())=1),1,0)</f>
        <v>0</v>
      </c>
      <c r="T35" s="70" t="n">
        <v>0.4</v>
      </c>
      <c r="U35" s="35" t="n">
        <v>5.35</v>
      </c>
      <c r="V35" s="35" t="n">
        <v>4.4802</v>
      </c>
      <c r="W35" s="35" t="n">
        <v>0.8</v>
      </c>
      <c r="X35" s="13" t="s">
        <v>105</v>
      </c>
      <c r="Y35" s="46" t="n">
        <v>45957</v>
      </c>
    </row>
    <row r="36" customFormat="false" ht="15" hidden="false" customHeight="false" outlineLevel="0" collapsed="false">
      <c r="A36" s="15" t="n">
        <v>4572893011</v>
      </c>
      <c r="B36" s="76" t="n">
        <v>45965.8180439815</v>
      </c>
      <c r="C36" s="76" t="n">
        <v>45965.8490740741</v>
      </c>
      <c r="D36" s="31" t="n">
        <v>0.744722222222222</v>
      </c>
      <c r="E36" s="31" t="n">
        <v>41.457901</v>
      </c>
      <c r="F36" s="31" t="n">
        <v>62.513</v>
      </c>
      <c r="G36" s="15" t="s">
        <v>63</v>
      </c>
      <c r="H36" s="77" t="b">
        <f aca="false">TRUE()</f>
        <v>1</v>
      </c>
      <c r="I36" s="77" t="b">
        <f aca="false">FALSE()</f>
        <v>0</v>
      </c>
      <c r="J36" s="78" t="n">
        <v>1</v>
      </c>
      <c r="K36" s="15" t="s">
        <v>166</v>
      </c>
      <c r="L36" s="15" t="s">
        <v>222</v>
      </c>
      <c r="M36" s="15" t="s">
        <v>225</v>
      </c>
      <c r="N36" s="15"/>
      <c r="O36" s="15" t="s">
        <v>224</v>
      </c>
      <c r="P36" s="37" t="n">
        <v>20.55</v>
      </c>
      <c r="Q36" s="37" t="n">
        <v>17.6</v>
      </c>
      <c r="R36" s="47" t="n">
        <f aca="false">INT(B36)</f>
        <v>45965</v>
      </c>
      <c r="S36" s="15" t="n">
        <f aca="false">IF(AND(I36=TRUE(),COUNTIFS($R$5:R36,R36,$I$5:I36,TRUE())=1),1,0)</f>
        <v>0</v>
      </c>
      <c r="T36" s="69" t="n">
        <v>0.4</v>
      </c>
      <c r="U36" s="37" t="n">
        <v>19.56</v>
      </c>
      <c r="V36" s="37" t="n">
        <v>16.5831604</v>
      </c>
      <c r="W36" s="37" t="n">
        <v>2.95</v>
      </c>
      <c r="X36" s="15" t="s">
        <v>101</v>
      </c>
      <c r="Y36" s="47" t="n">
        <v>45964</v>
      </c>
    </row>
    <row r="37" customFormat="false" ht="15" hidden="false" customHeight="false" outlineLevel="0" collapsed="false">
      <c r="A37" s="13" t="n">
        <v>4581774341</v>
      </c>
      <c r="B37" s="74" t="n">
        <v>45968.6106828704</v>
      </c>
      <c r="C37" s="74" t="n">
        <v>45968.6421875</v>
      </c>
      <c r="D37" s="30" t="n">
        <v>0.756111111111111</v>
      </c>
      <c r="E37" s="30" t="n">
        <v>41.336102</v>
      </c>
      <c r="F37" s="30" t="n">
        <v>56.088</v>
      </c>
      <c r="G37" s="13" t="s">
        <v>62</v>
      </c>
      <c r="H37" s="75" t="b">
        <f aca="false">TRUE()</f>
        <v>1</v>
      </c>
      <c r="I37" s="75" t="b">
        <f aca="false">FALSE()</f>
        <v>0</v>
      </c>
      <c r="J37" s="48" t="n">
        <v>1</v>
      </c>
      <c r="K37" s="13" t="s">
        <v>166</v>
      </c>
      <c r="L37" s="13" t="s">
        <v>222</v>
      </c>
      <c r="M37" s="13" t="s">
        <v>243</v>
      </c>
      <c r="N37" s="13"/>
      <c r="O37" s="13" t="s">
        <v>224</v>
      </c>
      <c r="P37" s="35" t="n">
        <v>20.54</v>
      </c>
      <c r="Q37" s="35" t="n">
        <v>17.6</v>
      </c>
      <c r="R37" s="46" t="n">
        <f aca="false">INT(B37)</f>
        <v>45968</v>
      </c>
      <c r="S37" s="13" t="n">
        <f aca="false">IF(AND(I37=TRUE(),COUNTIFS($R$5:R37,R37,$I$5:I37,TRUE())=1),1,0)</f>
        <v>0</v>
      </c>
      <c r="T37" s="70" t="n">
        <v>0.4</v>
      </c>
      <c r="U37" s="35" t="n">
        <v>19.55</v>
      </c>
      <c r="V37" s="35" t="n">
        <v>16.5344408</v>
      </c>
      <c r="W37" s="35" t="n">
        <v>2.94</v>
      </c>
      <c r="X37" s="13" t="s">
        <v>104</v>
      </c>
      <c r="Y37" s="46" t="n">
        <v>45964</v>
      </c>
    </row>
    <row r="38" customFormat="false" ht="15" hidden="false" customHeight="false" outlineLevel="0" collapsed="false">
      <c r="A38" s="15" t="n">
        <v>4582429001</v>
      </c>
      <c r="B38" s="76" t="n">
        <v>45968.7524074074</v>
      </c>
      <c r="C38" s="76" t="n">
        <v>45968.7715277778</v>
      </c>
      <c r="D38" s="31" t="n">
        <v>0.458888888888889</v>
      </c>
      <c r="E38" s="31" t="n">
        <v>23.511499</v>
      </c>
      <c r="F38" s="31" t="n">
        <v>60.604</v>
      </c>
      <c r="G38" s="15" t="s">
        <v>63</v>
      </c>
      <c r="H38" s="77" t="b">
        <f aca="false">TRUE()</f>
        <v>1</v>
      </c>
      <c r="I38" s="77" t="b">
        <f aca="false">FALSE()</f>
        <v>0</v>
      </c>
      <c r="J38" s="78" t="n">
        <v>1</v>
      </c>
      <c r="K38" s="15" t="s">
        <v>166</v>
      </c>
      <c r="L38" s="15" t="s">
        <v>222</v>
      </c>
      <c r="M38" s="15" t="s">
        <v>244</v>
      </c>
      <c r="N38" s="15" t="s">
        <v>245</v>
      </c>
      <c r="O38" s="15" t="s">
        <v>246</v>
      </c>
      <c r="P38" s="37" t="n">
        <v>11.8</v>
      </c>
      <c r="Q38" s="37" t="n">
        <v>10.12</v>
      </c>
      <c r="R38" s="47" t="n">
        <f aca="false">INT(B38)</f>
        <v>45968</v>
      </c>
      <c r="S38" s="15" t="n">
        <f aca="false">IF(AND(I38=TRUE(),COUNTIFS($R$5:R38,R38,$I$5:I38,TRUE())=1),1,0)</f>
        <v>0</v>
      </c>
      <c r="T38" s="69" t="n">
        <v>0.4</v>
      </c>
      <c r="U38" s="37" t="n">
        <v>11.24</v>
      </c>
      <c r="V38" s="37" t="n">
        <v>9.4045996</v>
      </c>
      <c r="W38" s="37" t="n">
        <v>1.68</v>
      </c>
      <c r="X38" s="15" t="s">
        <v>104</v>
      </c>
      <c r="Y38" s="47" t="n">
        <v>45964</v>
      </c>
    </row>
    <row r="39" customFormat="false" ht="15" hidden="false" customHeight="false" outlineLevel="0" collapsed="false">
      <c r="A39" s="13" t="n">
        <v>4584727751</v>
      </c>
      <c r="B39" s="74" t="n">
        <v>45969.6133449074</v>
      </c>
      <c r="C39" s="74" t="n">
        <v>45969.6163888889</v>
      </c>
      <c r="D39" s="30" t="n">
        <v>0.0730555555555555</v>
      </c>
      <c r="E39" s="30" t="n">
        <v>1.6401</v>
      </c>
      <c r="F39" s="30" t="n">
        <v>26.753</v>
      </c>
      <c r="G39" s="13" t="s">
        <v>62</v>
      </c>
      <c r="H39" s="75" t="b">
        <f aca="false">TRUE()</f>
        <v>1</v>
      </c>
      <c r="I39" s="75" t="b">
        <f aca="false">FALSE()</f>
        <v>0</v>
      </c>
      <c r="J39" s="48" t="n">
        <v>1</v>
      </c>
      <c r="K39" s="13" t="s">
        <v>166</v>
      </c>
      <c r="L39" s="13" t="s">
        <v>247</v>
      </c>
      <c r="M39" s="13"/>
      <c r="N39" s="13"/>
      <c r="O39" s="13"/>
      <c r="P39" s="35" t="n">
        <v>0.99</v>
      </c>
      <c r="Q39" s="35" t="n">
        <v>0.86</v>
      </c>
      <c r="R39" s="46" t="n">
        <f aca="false">INT(B39)</f>
        <v>45969</v>
      </c>
      <c r="S39" s="13" t="n">
        <f aca="false">IF(AND(I39=TRUE(),COUNTIFS($R$5:R39,R39,$I$5:I39,TRUE())=1),1,0)</f>
        <v>0</v>
      </c>
      <c r="T39" s="70" t="n">
        <v>0.4</v>
      </c>
      <c r="U39" s="35" t="n">
        <v>0.95</v>
      </c>
      <c r="V39" s="35" t="n">
        <v>0.65604</v>
      </c>
      <c r="W39" s="35" t="n">
        <v>0.13</v>
      </c>
      <c r="X39" s="13" t="s">
        <v>105</v>
      </c>
      <c r="Y39" s="46" t="n">
        <v>45964</v>
      </c>
    </row>
    <row r="40" customFormat="false" ht="15" hidden="false" customHeight="false" outlineLevel="0" collapsed="false">
      <c r="A40" s="15" t="n">
        <v>4584735501</v>
      </c>
      <c r="B40" s="76" t="n">
        <v>45969.6167476852</v>
      </c>
      <c r="C40" s="76" t="n">
        <v>45969.6295601852</v>
      </c>
      <c r="D40" s="31" t="n">
        <v>0.3075</v>
      </c>
      <c r="E40" s="31" t="n">
        <v>14.9243</v>
      </c>
      <c r="F40" s="31" t="n">
        <v>53.4</v>
      </c>
      <c r="G40" s="15" t="s">
        <v>62</v>
      </c>
      <c r="H40" s="77" t="b">
        <f aca="false">TRUE()</f>
        <v>1</v>
      </c>
      <c r="I40" s="77" t="b">
        <f aca="false">FALSE()</f>
        <v>0</v>
      </c>
      <c r="J40" s="78" t="n">
        <v>1</v>
      </c>
      <c r="K40" s="15" t="s">
        <v>166</v>
      </c>
      <c r="L40" s="15" t="s">
        <v>247</v>
      </c>
      <c r="M40" s="15"/>
      <c r="N40" s="15"/>
      <c r="O40" s="15"/>
      <c r="P40" s="37" t="n">
        <v>7.56</v>
      </c>
      <c r="Q40" s="37" t="n">
        <v>6.48</v>
      </c>
      <c r="R40" s="47" t="n">
        <f aca="false">INT(B40)</f>
        <v>45969</v>
      </c>
      <c r="S40" s="15" t="n">
        <f aca="false">IF(AND(I40=TRUE(),COUNTIFS($R$5:R40,R40,$I$5:I40,TRUE())=1),1,0)</f>
        <v>0</v>
      </c>
      <c r="T40" s="69" t="n">
        <v>0.4</v>
      </c>
      <c r="U40" s="37" t="n">
        <v>7.2</v>
      </c>
      <c r="V40" s="37" t="n">
        <v>5.96972</v>
      </c>
      <c r="W40" s="37" t="n">
        <v>1.08</v>
      </c>
      <c r="X40" s="15" t="s">
        <v>105</v>
      </c>
      <c r="Y40" s="47" t="n">
        <v>45964</v>
      </c>
    </row>
    <row r="41" customFormat="false" ht="15" hidden="false" customHeight="false" outlineLevel="0" collapsed="false">
      <c r="A41" s="13" t="n">
        <v>4587521521</v>
      </c>
      <c r="B41" s="74" t="n">
        <v>45970.8244560185</v>
      </c>
      <c r="C41" s="74" t="n">
        <v>45970.8842476852</v>
      </c>
      <c r="D41" s="30" t="n">
        <v>1.435</v>
      </c>
      <c r="E41" s="30" t="n">
        <v>63.373699</v>
      </c>
      <c r="F41" s="30" t="n">
        <v>62.523</v>
      </c>
      <c r="G41" s="13" t="s">
        <v>63</v>
      </c>
      <c r="H41" s="75" t="b">
        <f aca="false">TRUE()</f>
        <v>1</v>
      </c>
      <c r="I41" s="75" t="b">
        <f aca="false">FALSE()</f>
        <v>0</v>
      </c>
      <c r="J41" s="48" t="n">
        <v>1</v>
      </c>
      <c r="K41" s="13" t="s">
        <v>166</v>
      </c>
      <c r="L41" s="13" t="s">
        <v>222</v>
      </c>
      <c r="M41" s="13" t="s">
        <v>225</v>
      </c>
      <c r="N41" s="13"/>
      <c r="O41" s="13" t="s">
        <v>224</v>
      </c>
      <c r="P41" s="35" t="n">
        <v>32.61</v>
      </c>
      <c r="Q41" s="35" t="n">
        <v>27.98</v>
      </c>
      <c r="R41" s="46" t="n">
        <f aca="false">INT(B41)</f>
        <v>45970</v>
      </c>
      <c r="S41" s="13" t="n">
        <f aca="false">IF(AND(I41=TRUE(),COUNTIFS($R$5:R41,R41,$I$5:I41,TRUE())=1),1,0)</f>
        <v>0</v>
      </c>
      <c r="T41" s="70" t="n">
        <v>0.4</v>
      </c>
      <c r="U41" s="35" t="n">
        <v>31.09</v>
      </c>
      <c r="V41" s="35" t="n">
        <v>25.3494796</v>
      </c>
      <c r="W41" s="35" t="n">
        <v>4.63</v>
      </c>
      <c r="X41" s="13" t="s">
        <v>106</v>
      </c>
      <c r="Y41" s="46" t="n">
        <v>45964</v>
      </c>
    </row>
    <row r="42" customFormat="false" ht="15" hidden="false" customHeight="false" outlineLevel="0" collapsed="false">
      <c r="A42" s="15" t="n">
        <v>4589744431</v>
      </c>
      <c r="B42" s="76" t="n">
        <v>45971.6959606482</v>
      </c>
      <c r="C42" s="76" t="n">
        <v>45971.7221180556</v>
      </c>
      <c r="D42" s="31" t="n">
        <v>0.627777777777778</v>
      </c>
      <c r="E42" s="31" t="n">
        <v>36.359001</v>
      </c>
      <c r="F42" s="31" t="n">
        <v>62.41</v>
      </c>
      <c r="G42" s="15" t="s">
        <v>62</v>
      </c>
      <c r="H42" s="77" t="b">
        <f aca="false">TRUE()</f>
        <v>1</v>
      </c>
      <c r="I42" s="77" t="b">
        <f aca="false">FALSE()</f>
        <v>0</v>
      </c>
      <c r="J42" s="78" t="n">
        <v>1</v>
      </c>
      <c r="K42" s="15" t="s">
        <v>166</v>
      </c>
      <c r="L42" s="15" t="s">
        <v>222</v>
      </c>
      <c r="M42" s="15" t="s">
        <v>248</v>
      </c>
      <c r="N42" s="15"/>
      <c r="O42" s="15" t="s">
        <v>227</v>
      </c>
      <c r="P42" s="37" t="n">
        <v>17.92</v>
      </c>
      <c r="Q42" s="37" t="n">
        <v>15.35</v>
      </c>
      <c r="R42" s="47" t="n">
        <f aca="false">INT(B42)</f>
        <v>45971</v>
      </c>
      <c r="S42" s="15" t="n">
        <f aca="false">IF(AND(I42=TRUE(),COUNTIFS($R$5:R42,R42,$I$5:I42,TRUE())=1),1,0)</f>
        <v>0</v>
      </c>
      <c r="T42" s="69" t="n">
        <v>0.4</v>
      </c>
      <c r="U42" s="37" t="n">
        <v>17.05</v>
      </c>
      <c r="V42" s="37" t="n">
        <v>14.5436004</v>
      </c>
      <c r="W42" s="37" t="n">
        <v>2.57</v>
      </c>
      <c r="X42" s="15" t="s">
        <v>100</v>
      </c>
      <c r="Y42" s="47" t="n">
        <v>45971</v>
      </c>
    </row>
    <row r="43" customFormat="false" ht="15" hidden="false" customHeight="false" outlineLevel="0" collapsed="false">
      <c r="A43" s="13" t="n">
        <v>4603051091</v>
      </c>
      <c r="B43" s="74" t="n">
        <v>45975.7779513889</v>
      </c>
      <c r="C43" s="74" t="n">
        <v>45975.8221643519</v>
      </c>
      <c r="D43" s="30" t="n">
        <v>1.06111111111111</v>
      </c>
      <c r="E43" s="30" t="n">
        <v>62.974098</v>
      </c>
      <c r="F43" s="30" t="n">
        <v>62.882</v>
      </c>
      <c r="G43" s="13" t="s">
        <v>63</v>
      </c>
      <c r="H43" s="75" t="b">
        <f aca="false">TRUE()</f>
        <v>1</v>
      </c>
      <c r="I43" s="75" t="b">
        <f aca="false">FALSE()</f>
        <v>0</v>
      </c>
      <c r="J43" s="48" t="n">
        <v>1</v>
      </c>
      <c r="K43" s="13" t="s">
        <v>166</v>
      </c>
      <c r="L43" s="13" t="s">
        <v>222</v>
      </c>
      <c r="M43" s="13" t="s">
        <v>249</v>
      </c>
      <c r="N43" s="13" t="s">
        <v>230</v>
      </c>
      <c r="O43" s="13" t="s">
        <v>224</v>
      </c>
      <c r="P43" s="35" t="n">
        <v>30.94</v>
      </c>
      <c r="Q43" s="35" t="n">
        <v>26.49</v>
      </c>
      <c r="R43" s="46" t="n">
        <f aca="false">INT(B43)</f>
        <v>45975</v>
      </c>
      <c r="S43" s="13" t="n">
        <f aca="false">IF(AND(I43=TRUE(),COUNTIFS($R$5:R43,R43,$I$5:I43,TRUE())=1),1,0)</f>
        <v>0</v>
      </c>
      <c r="T43" s="70" t="n">
        <v>0.4</v>
      </c>
      <c r="U43" s="35" t="n">
        <v>29.43</v>
      </c>
      <c r="V43" s="35" t="n">
        <v>25.1896392</v>
      </c>
      <c r="W43" s="35" t="n">
        <v>4.45</v>
      </c>
      <c r="X43" s="13" t="s">
        <v>104</v>
      </c>
      <c r="Y43" s="46" t="n">
        <v>45971</v>
      </c>
    </row>
    <row r="44" customFormat="false" ht="15" hidden="false" customHeight="false" outlineLevel="0" collapsed="false">
      <c r="A44" s="15" t="n">
        <v>4605493791</v>
      </c>
      <c r="B44" s="76" t="n">
        <v>45976.7180902778</v>
      </c>
      <c r="C44" s="76" t="n">
        <v>45976.7562847222</v>
      </c>
      <c r="D44" s="31" t="n">
        <v>0.916666666666667</v>
      </c>
      <c r="E44" s="31" t="n">
        <v>48.506901</v>
      </c>
      <c r="F44" s="31" t="n">
        <v>55.38</v>
      </c>
      <c r="G44" s="15" t="s">
        <v>62</v>
      </c>
      <c r="H44" s="77" t="b">
        <f aca="false">TRUE()</f>
        <v>1</v>
      </c>
      <c r="I44" s="77" t="b">
        <f aca="false">FALSE()</f>
        <v>0</v>
      </c>
      <c r="J44" s="78" t="n">
        <v>1</v>
      </c>
      <c r="K44" s="15" t="s">
        <v>166</v>
      </c>
      <c r="L44" s="15" t="s">
        <v>222</v>
      </c>
      <c r="M44" s="15" t="s">
        <v>225</v>
      </c>
      <c r="N44" s="15"/>
      <c r="O44" s="15" t="s">
        <v>224</v>
      </c>
      <c r="P44" s="37" t="n">
        <v>24.23</v>
      </c>
      <c r="Q44" s="37" t="n">
        <v>20.76</v>
      </c>
      <c r="R44" s="47" t="n">
        <f aca="false">INT(B44)</f>
        <v>45976</v>
      </c>
      <c r="S44" s="15" t="n">
        <f aca="false">IF(AND(I44=TRUE(),COUNTIFS($R$5:R44,R44,$I$5:I44,TRUE())=1),1,0)</f>
        <v>0</v>
      </c>
      <c r="T44" s="69" t="n">
        <v>0.4</v>
      </c>
      <c r="U44" s="37" t="n">
        <v>23.07</v>
      </c>
      <c r="V44" s="37" t="n">
        <v>19.4027604</v>
      </c>
      <c r="W44" s="37" t="n">
        <v>3.47</v>
      </c>
      <c r="X44" s="15" t="s">
        <v>105</v>
      </c>
      <c r="Y44" s="47" t="n">
        <v>45971</v>
      </c>
    </row>
    <row r="45" customFormat="false" ht="15" hidden="false" customHeight="false" outlineLevel="0" collapsed="false">
      <c r="A45" s="13" t="n">
        <v>4607466511</v>
      </c>
      <c r="B45" s="74" t="n">
        <v>45977.6381828704</v>
      </c>
      <c r="C45" s="74" t="n">
        <v>45977.6397106482</v>
      </c>
      <c r="D45" s="30" t="n">
        <v>0.0366666666666666</v>
      </c>
      <c r="E45" s="30" t="n">
        <v>0</v>
      </c>
      <c r="F45" s="30"/>
      <c r="G45" s="13" t="s">
        <v>62</v>
      </c>
      <c r="H45" s="75" t="b">
        <f aca="false">FALSE()</f>
        <v>0</v>
      </c>
      <c r="I45" s="75" t="b">
        <f aca="false">FALSE()</f>
        <v>0</v>
      </c>
      <c r="J45" s="48"/>
      <c r="K45" s="13" t="s">
        <v>166</v>
      </c>
      <c r="L45" s="13" t="s">
        <v>228</v>
      </c>
      <c r="M45" s="13"/>
      <c r="N45" s="13"/>
      <c r="O45" s="13"/>
      <c r="P45" s="35"/>
      <c r="Q45" s="35"/>
      <c r="R45" s="46" t="n">
        <f aca="false">INT(B45)</f>
        <v>45977</v>
      </c>
      <c r="S45" s="13" t="n">
        <f aca="false">IF(AND(I45=TRUE(),COUNTIFS($R$5:R45,R45,$I$5:I45,TRUE())=1),1,0)</f>
        <v>0</v>
      </c>
      <c r="T45" s="70"/>
      <c r="U45" s="35"/>
      <c r="V45" s="35"/>
      <c r="W45" s="35"/>
      <c r="X45" s="13" t="s">
        <v>106</v>
      </c>
      <c r="Y45" s="46" t="n">
        <v>45971</v>
      </c>
    </row>
    <row r="46" customFormat="false" ht="15" hidden="false" customHeight="false" outlineLevel="0" collapsed="false">
      <c r="A46" s="15" t="n">
        <v>4608121961</v>
      </c>
      <c r="B46" s="76" t="n">
        <v>45977.8697569444</v>
      </c>
      <c r="C46" s="76" t="n">
        <v>45977.8802314815</v>
      </c>
      <c r="D46" s="31" t="n">
        <v>0.251388888888889</v>
      </c>
      <c r="E46" s="31" t="n">
        <v>1.656913</v>
      </c>
      <c r="F46" s="31" t="n">
        <v>7.0231</v>
      </c>
      <c r="G46" s="15" t="s">
        <v>63</v>
      </c>
      <c r="H46" s="77" t="b">
        <f aca="false">FALSE()</f>
        <v>0</v>
      </c>
      <c r="I46" s="77" t="b">
        <f aca="false">FALSE()</f>
        <v>0</v>
      </c>
      <c r="J46" s="78" t="n">
        <v>0</v>
      </c>
      <c r="K46" s="15" t="s">
        <v>168</v>
      </c>
      <c r="L46" s="15" t="s">
        <v>228</v>
      </c>
      <c r="M46" s="15"/>
      <c r="N46" s="15"/>
      <c r="O46" s="15"/>
      <c r="P46" s="37" t="n">
        <v>1.71</v>
      </c>
      <c r="Q46" s="37" t="n">
        <v>1.5</v>
      </c>
      <c r="R46" s="47" t="n">
        <f aca="false">INT(B46)</f>
        <v>45977</v>
      </c>
      <c r="S46" s="15" t="n">
        <f aca="false">IF(AND(I46=TRUE(),COUNTIFS($R$5:R46,R46,$I$5:I46,TRUE())=1),1,0)</f>
        <v>0</v>
      </c>
      <c r="T46" s="69" t="n">
        <v>0.4</v>
      </c>
      <c r="U46" s="37" t="n">
        <v>1.67</v>
      </c>
      <c r="V46" s="37" t="n">
        <v>0.6627652</v>
      </c>
      <c r="W46" s="37" t="n">
        <v>0.21</v>
      </c>
      <c r="X46" s="15" t="s">
        <v>106</v>
      </c>
      <c r="Y46" s="47" t="n">
        <v>45971</v>
      </c>
    </row>
    <row r="47" customFormat="false" ht="15" hidden="false" customHeight="false" outlineLevel="0" collapsed="false">
      <c r="A47" s="13" t="n">
        <v>4608160281</v>
      </c>
      <c r="B47" s="74" t="n">
        <v>45977.8808912037</v>
      </c>
      <c r="C47" s="74" t="n">
        <v>45977.9008449074</v>
      </c>
      <c r="D47" s="30" t="n">
        <v>0.478888888888889</v>
      </c>
      <c r="E47" s="30" t="n">
        <v>3.20775</v>
      </c>
      <c r="F47" s="30" t="n">
        <v>6.964</v>
      </c>
      <c r="G47" s="13" t="s">
        <v>63</v>
      </c>
      <c r="H47" s="75" t="b">
        <f aca="false">FALSE()</f>
        <v>0</v>
      </c>
      <c r="I47" s="75" t="b">
        <f aca="false">FALSE()</f>
        <v>0</v>
      </c>
      <c r="J47" s="48" t="n">
        <v>0</v>
      </c>
      <c r="K47" s="13" t="s">
        <v>168</v>
      </c>
      <c r="L47" s="13" t="s">
        <v>228</v>
      </c>
      <c r="M47" s="13"/>
      <c r="N47" s="13"/>
      <c r="O47" s="13"/>
      <c r="P47" s="35" t="n">
        <v>3.28</v>
      </c>
      <c r="Q47" s="35" t="n">
        <v>2.88</v>
      </c>
      <c r="R47" s="46" t="n">
        <f aca="false">INT(B47)</f>
        <v>45977</v>
      </c>
      <c r="S47" s="13" t="n">
        <f aca="false">IF(AND(I47=TRUE(),COUNTIFS($R$5:R47,R47,$I$5:I47,TRUE())=1),1,0)</f>
        <v>0</v>
      </c>
      <c r="T47" s="70" t="n">
        <v>0.4</v>
      </c>
      <c r="U47" s="35" t="n">
        <v>3.2</v>
      </c>
      <c r="V47" s="35" t="n">
        <v>1.2831</v>
      </c>
      <c r="W47" s="35" t="n">
        <v>0.4</v>
      </c>
      <c r="X47" s="13" t="s">
        <v>106</v>
      </c>
      <c r="Y47" s="46" t="n">
        <v>45971</v>
      </c>
    </row>
    <row r="48" customFormat="false" ht="15" hidden="false" customHeight="false" outlineLevel="0" collapsed="false">
      <c r="A48" s="15" t="n">
        <v>4608260881</v>
      </c>
      <c r="B48" s="76" t="n">
        <v>45977.9095601852</v>
      </c>
      <c r="C48" s="76" t="n">
        <v>45977.9314236111</v>
      </c>
      <c r="D48" s="31" t="n">
        <v>0.524722222222222</v>
      </c>
      <c r="E48" s="31" t="n">
        <v>29.381399</v>
      </c>
      <c r="F48" s="31" t="n">
        <v>58.344</v>
      </c>
      <c r="G48" s="15" t="s">
        <v>63</v>
      </c>
      <c r="H48" s="77" t="b">
        <f aca="false">TRUE()</f>
        <v>1</v>
      </c>
      <c r="I48" s="77" t="b">
        <f aca="false">FALSE()</f>
        <v>0</v>
      </c>
      <c r="J48" s="78" t="n">
        <v>1</v>
      </c>
      <c r="K48" s="15" t="s">
        <v>166</v>
      </c>
      <c r="L48" s="15" t="s">
        <v>228</v>
      </c>
      <c r="M48" s="15"/>
      <c r="N48" s="15"/>
      <c r="O48" s="15"/>
      <c r="P48" s="37" t="n">
        <v>14.56</v>
      </c>
      <c r="Q48" s="37" t="n">
        <v>12.47</v>
      </c>
      <c r="R48" s="47" t="n">
        <f aca="false">INT(B48)</f>
        <v>45977</v>
      </c>
      <c r="S48" s="15" t="n">
        <f aca="false">IF(AND(I48=TRUE(),COUNTIFS($R$5:R48,R48,$I$5:I48,TRUE())=1),1,0)</f>
        <v>0</v>
      </c>
      <c r="T48" s="69" t="n">
        <v>0.4</v>
      </c>
      <c r="U48" s="37" t="n">
        <v>13.85</v>
      </c>
      <c r="V48" s="37" t="n">
        <v>11.7525596</v>
      </c>
      <c r="W48" s="37" t="n">
        <v>2.09</v>
      </c>
      <c r="X48" s="15" t="s">
        <v>106</v>
      </c>
      <c r="Y48" s="47" t="n">
        <v>45971</v>
      </c>
    </row>
    <row r="49" customFormat="false" ht="15" hidden="false" customHeight="false" outlineLevel="0" collapsed="false">
      <c r="A49" s="13" t="n">
        <v>4614135981</v>
      </c>
      <c r="B49" s="74" t="n">
        <v>45979.8246180556</v>
      </c>
      <c r="C49" s="74" t="n">
        <v>45979.8831597222</v>
      </c>
      <c r="D49" s="30" t="n">
        <v>1.405</v>
      </c>
      <c r="E49" s="30" t="n">
        <v>72.0289</v>
      </c>
      <c r="F49" s="30" t="n">
        <v>62.474</v>
      </c>
      <c r="G49" s="13" t="s">
        <v>63</v>
      </c>
      <c r="H49" s="75" t="b">
        <f aca="false">TRUE()</f>
        <v>1</v>
      </c>
      <c r="I49" s="75" t="b">
        <f aca="false">FALSE()</f>
        <v>0</v>
      </c>
      <c r="J49" s="48" t="n">
        <v>1</v>
      </c>
      <c r="K49" s="13" t="s">
        <v>166</v>
      </c>
      <c r="L49" s="13" t="s">
        <v>222</v>
      </c>
      <c r="M49" s="13" t="s">
        <v>225</v>
      </c>
      <c r="N49" s="13"/>
      <c r="O49" s="13" t="s">
        <v>224</v>
      </c>
      <c r="P49" s="35" t="n">
        <v>36.16</v>
      </c>
      <c r="Q49" s="35" t="n">
        <v>30.99</v>
      </c>
      <c r="R49" s="46" t="n">
        <f aca="false">INT(B49)</f>
        <v>45979</v>
      </c>
      <c r="S49" s="13" t="n">
        <f aca="false">IF(AND(I49=TRUE(),COUNTIFS($R$5:R49,R49,$I$5:I49,TRUE())=1),1,0)</f>
        <v>0</v>
      </c>
      <c r="T49" s="70" t="n">
        <v>0.4</v>
      </c>
      <c r="U49" s="35" t="n">
        <v>34.43</v>
      </c>
      <c r="V49" s="35" t="n">
        <v>28.81156</v>
      </c>
      <c r="W49" s="35" t="n">
        <v>5.17</v>
      </c>
      <c r="X49" s="13" t="s">
        <v>101</v>
      </c>
      <c r="Y49" s="46" t="n">
        <v>45978</v>
      </c>
    </row>
    <row r="50" customFormat="false" ht="15" hidden="false" customHeight="false" outlineLevel="0" collapsed="false">
      <c r="A50" s="15" t="n">
        <v>4617286741</v>
      </c>
      <c r="B50" s="76" t="n">
        <v>45980.7633796296</v>
      </c>
      <c r="C50" s="76" t="n">
        <v>45980.8159259259</v>
      </c>
      <c r="D50" s="31" t="n">
        <v>1.26111111111111</v>
      </c>
      <c r="E50" s="31" t="n">
        <v>21.8878</v>
      </c>
      <c r="F50" s="31" t="n">
        <v>18.252</v>
      </c>
      <c r="G50" s="15" t="s">
        <v>63</v>
      </c>
      <c r="H50" s="77" t="b">
        <f aca="false">TRUE()</f>
        <v>1</v>
      </c>
      <c r="I50" s="77" t="b">
        <f aca="false">FALSE()</f>
        <v>0</v>
      </c>
      <c r="J50" s="78" t="n">
        <v>1</v>
      </c>
      <c r="K50" s="15" t="s">
        <v>166</v>
      </c>
      <c r="L50" s="15" t="s">
        <v>222</v>
      </c>
      <c r="M50" s="15" t="s">
        <v>250</v>
      </c>
      <c r="N50" s="15" t="s">
        <v>251</v>
      </c>
      <c r="O50" s="15" t="s">
        <v>252</v>
      </c>
      <c r="P50" s="37" t="n">
        <v>14.33</v>
      </c>
      <c r="Q50" s="37" t="n">
        <v>12.42</v>
      </c>
      <c r="R50" s="47" t="n">
        <f aca="false">INT(B50)</f>
        <v>45980</v>
      </c>
      <c r="S50" s="15" t="n">
        <f aca="false">IF(AND(I50=TRUE(),COUNTIFS($R$5:R50,R50,$I$5:I50,TRUE())=1),1,0)</f>
        <v>0</v>
      </c>
      <c r="T50" s="69" t="n">
        <v>0.4</v>
      </c>
      <c r="U50" s="37" t="n">
        <v>13.8</v>
      </c>
      <c r="V50" s="37" t="n">
        <v>8.75512</v>
      </c>
      <c r="W50" s="37" t="n">
        <v>1.91</v>
      </c>
      <c r="X50" s="15" t="s">
        <v>102</v>
      </c>
      <c r="Y50" s="47" t="n">
        <v>45978</v>
      </c>
    </row>
    <row r="51" customFormat="false" ht="15" hidden="false" customHeight="false" outlineLevel="0" collapsed="false">
      <c r="A51" s="13" t="n">
        <v>4617870451</v>
      </c>
      <c r="B51" s="74" t="n">
        <v>45980.9006018519</v>
      </c>
      <c r="C51" s="74" t="n">
        <v>45980.9312268519</v>
      </c>
      <c r="D51" s="30" t="n">
        <v>0.735</v>
      </c>
      <c r="E51" s="30" t="n">
        <v>40.239601</v>
      </c>
      <c r="F51" s="30" t="n">
        <v>57.251</v>
      </c>
      <c r="G51" s="13" t="s">
        <v>63</v>
      </c>
      <c r="H51" s="75" t="b">
        <f aca="false">TRUE()</f>
        <v>1</v>
      </c>
      <c r="I51" s="75" t="b">
        <f aca="false">FALSE()</f>
        <v>0</v>
      </c>
      <c r="J51" s="48" t="n">
        <v>1</v>
      </c>
      <c r="K51" s="13" t="s">
        <v>166</v>
      </c>
      <c r="L51" s="13" t="s">
        <v>222</v>
      </c>
      <c r="M51" s="13" t="s">
        <v>253</v>
      </c>
      <c r="N51" s="13"/>
      <c r="O51" s="13" t="s">
        <v>254</v>
      </c>
      <c r="P51" s="35" t="n">
        <v>20.01</v>
      </c>
      <c r="Q51" s="35" t="n">
        <v>17.14</v>
      </c>
      <c r="R51" s="46" t="n">
        <f aca="false">INT(B51)</f>
        <v>45980</v>
      </c>
      <c r="S51" s="13" t="n">
        <f aca="false">IF(AND(I51=TRUE(),COUNTIFS($R$5:R51,R51,$I$5:I51,TRUE())=1),1,0)</f>
        <v>0</v>
      </c>
      <c r="T51" s="70" t="n">
        <v>0.4</v>
      </c>
      <c r="U51" s="35" t="n">
        <v>19.04</v>
      </c>
      <c r="V51" s="35" t="n">
        <v>16.0958404</v>
      </c>
      <c r="W51" s="35" t="n">
        <v>2.87</v>
      </c>
      <c r="X51" s="13" t="s">
        <v>102</v>
      </c>
      <c r="Y51" s="46" t="n">
        <v>45978</v>
      </c>
    </row>
    <row r="52" customFormat="false" ht="15" hidden="false" customHeight="false" outlineLevel="0" collapsed="false">
      <c r="A52" s="15" t="n">
        <v>4637998171</v>
      </c>
      <c r="B52" s="76" t="n">
        <v>45987.8501157407</v>
      </c>
      <c r="C52" s="76" t="n">
        <v>45987.8514467593</v>
      </c>
      <c r="D52" s="31" t="n">
        <v>0.0319444444444444</v>
      </c>
      <c r="E52" s="31" t="n">
        <v>0</v>
      </c>
      <c r="F52" s="31" t="n">
        <v>0</v>
      </c>
      <c r="G52" s="15" t="s">
        <v>63</v>
      </c>
      <c r="H52" s="77" t="b">
        <f aca="false">FALSE()</f>
        <v>0</v>
      </c>
      <c r="I52" s="77" t="b">
        <f aca="false">FALSE()</f>
        <v>0</v>
      </c>
      <c r="J52" s="78"/>
      <c r="K52" s="15" t="s">
        <v>168</v>
      </c>
      <c r="L52" s="15" t="s">
        <v>228</v>
      </c>
      <c r="M52" s="15"/>
      <c r="N52" s="15"/>
      <c r="O52" s="15"/>
      <c r="P52" s="37"/>
      <c r="Q52" s="37"/>
      <c r="R52" s="47" t="n">
        <f aca="false">INT(B52)</f>
        <v>45987</v>
      </c>
      <c r="S52" s="15" t="n">
        <f aca="false">IF(AND(I52=TRUE(),COUNTIFS($R$5:R52,R52,$I$5:I52,TRUE())=1),1,0)</f>
        <v>0</v>
      </c>
      <c r="T52" s="69"/>
      <c r="U52" s="37"/>
      <c r="V52" s="37"/>
      <c r="W52" s="37"/>
      <c r="X52" s="15" t="s">
        <v>102</v>
      </c>
      <c r="Y52" s="47" t="n">
        <v>45985</v>
      </c>
    </row>
    <row r="53" customFormat="false" ht="15" hidden="false" customHeight="false" outlineLevel="0" collapsed="false">
      <c r="A53" s="13" t="n">
        <v>4641229131</v>
      </c>
      <c r="B53" s="74" t="n">
        <v>45989.5572685185</v>
      </c>
      <c r="C53" s="74" t="n">
        <v>45989.5621990741</v>
      </c>
      <c r="D53" s="30" t="n">
        <v>0.118333333333333</v>
      </c>
      <c r="E53" s="30" t="n">
        <v>6.229</v>
      </c>
      <c r="F53" s="30" t="n">
        <v>0</v>
      </c>
      <c r="G53" s="13" t="s">
        <v>62</v>
      </c>
      <c r="H53" s="75" t="b">
        <f aca="false">FALSE()</f>
        <v>0</v>
      </c>
      <c r="I53" s="75" t="b">
        <f aca="false">FALSE()</f>
        <v>0</v>
      </c>
      <c r="J53" s="48"/>
      <c r="K53" s="13" t="s">
        <v>166</v>
      </c>
      <c r="L53" s="13" t="s">
        <v>222</v>
      </c>
      <c r="M53" s="13" t="s">
        <v>255</v>
      </c>
      <c r="N53" s="13" t="s">
        <v>256</v>
      </c>
      <c r="O53" s="13" t="s">
        <v>257</v>
      </c>
      <c r="P53" s="35" t="n">
        <v>3.11</v>
      </c>
      <c r="Q53" s="35" t="n">
        <v>2.66</v>
      </c>
      <c r="R53" s="46" t="n">
        <f aca="false">INT(B53)</f>
        <v>45989</v>
      </c>
      <c r="S53" s="13" t="n">
        <f aca="false">IF(AND(I53=TRUE(),COUNTIFS($R$5:R53,R53,$I$5:I53,TRUE())=1),1,0)</f>
        <v>0</v>
      </c>
      <c r="T53" s="70" t="n">
        <v>0.4</v>
      </c>
      <c r="U53" s="35" t="n">
        <v>2.96</v>
      </c>
      <c r="V53" s="35" t="n">
        <v>2.4916</v>
      </c>
      <c r="W53" s="35" t="n">
        <v>0.45</v>
      </c>
      <c r="X53" s="13" t="s">
        <v>104</v>
      </c>
      <c r="Y53" s="46" t="n">
        <v>45985</v>
      </c>
    </row>
    <row r="54" customFormat="false" ht="15" hidden="false" customHeight="false" outlineLevel="0" collapsed="false">
      <c r="A54" s="15" t="n">
        <v>4641596451</v>
      </c>
      <c r="B54" s="76" t="n">
        <v>45989.7307175926</v>
      </c>
      <c r="C54" s="76" t="n">
        <v>45989.7665856482</v>
      </c>
      <c r="D54" s="31" t="n">
        <v>0.860833333333333</v>
      </c>
      <c r="E54" s="31" t="n">
        <v>51.939098</v>
      </c>
      <c r="F54" s="31" t="n">
        <v>62.523</v>
      </c>
      <c r="G54" s="15" t="s">
        <v>62</v>
      </c>
      <c r="H54" s="77" t="b">
        <f aca="false">TRUE()</f>
        <v>1</v>
      </c>
      <c r="I54" s="77" t="b">
        <f aca="false">FALSE()</f>
        <v>0</v>
      </c>
      <c r="J54" s="78" t="n">
        <v>1</v>
      </c>
      <c r="K54" s="15" t="s">
        <v>166</v>
      </c>
      <c r="L54" s="15" t="s">
        <v>222</v>
      </c>
      <c r="M54" s="15" t="s">
        <v>258</v>
      </c>
      <c r="N54" s="15"/>
      <c r="O54" s="15" t="s">
        <v>246</v>
      </c>
      <c r="P54" s="37" t="n">
        <v>25.47</v>
      </c>
      <c r="Q54" s="37" t="n">
        <v>21.8</v>
      </c>
      <c r="R54" s="47" t="n">
        <f aca="false">INT(B54)</f>
        <v>45989</v>
      </c>
      <c r="S54" s="15" t="n">
        <f aca="false">IF(AND(I54=TRUE(),COUNTIFS($R$5:R54,R54,$I$5:I54,TRUE())=1),1,0)</f>
        <v>0</v>
      </c>
      <c r="T54" s="69" t="n">
        <v>0.4</v>
      </c>
      <c r="U54" s="37" t="n">
        <v>24.22</v>
      </c>
      <c r="V54" s="37" t="n">
        <v>20.7756392</v>
      </c>
      <c r="W54" s="37" t="n">
        <v>3.67</v>
      </c>
      <c r="X54" s="15" t="s">
        <v>104</v>
      </c>
      <c r="Y54" s="47" t="n">
        <v>45985</v>
      </c>
    </row>
    <row r="55" customFormat="false" ht="15" hidden="false" customHeight="false" outlineLevel="0" collapsed="false">
      <c r="A55" s="13" t="n">
        <v>4641715541</v>
      </c>
      <c r="B55" s="74" t="n">
        <v>45989.773287037</v>
      </c>
      <c r="C55" s="74" t="n">
        <v>45989.8175694444</v>
      </c>
      <c r="D55" s="30" t="n">
        <v>1.06277777777778</v>
      </c>
      <c r="E55" s="30" t="n">
        <v>60.9911</v>
      </c>
      <c r="F55" s="30" t="n">
        <v>62.513</v>
      </c>
      <c r="G55" s="13" t="s">
        <v>63</v>
      </c>
      <c r="H55" s="75" t="b">
        <f aca="false">TRUE()</f>
        <v>1</v>
      </c>
      <c r="I55" s="75" t="b">
        <f aca="false">FALSE()</f>
        <v>0</v>
      </c>
      <c r="J55" s="48" t="n">
        <v>1</v>
      </c>
      <c r="K55" s="13" t="s">
        <v>166</v>
      </c>
      <c r="L55" s="13" t="s">
        <v>222</v>
      </c>
      <c r="M55" s="13" t="s">
        <v>225</v>
      </c>
      <c r="N55" s="13"/>
      <c r="O55" s="13" t="s">
        <v>224</v>
      </c>
      <c r="P55" s="35" t="n">
        <v>30.11</v>
      </c>
      <c r="Q55" s="35" t="n">
        <v>25.79</v>
      </c>
      <c r="R55" s="46" t="n">
        <f aca="false">INT(B55)</f>
        <v>45989</v>
      </c>
      <c r="S55" s="13" t="n">
        <f aca="false">IF(AND(I55=TRUE(),COUNTIFS($R$5:R55,R55,$I$5:I55,TRUE())=1),1,0)</f>
        <v>0</v>
      </c>
      <c r="T55" s="70" t="n">
        <v>0.4</v>
      </c>
      <c r="U55" s="35" t="n">
        <v>28.65</v>
      </c>
      <c r="V55" s="35" t="n">
        <v>24.39644</v>
      </c>
      <c r="W55" s="35" t="n">
        <v>4.32</v>
      </c>
      <c r="X55" s="13" t="s">
        <v>104</v>
      </c>
      <c r="Y55" s="46" t="n">
        <v>45985</v>
      </c>
    </row>
    <row r="56" customFormat="false" ht="15" hidden="false" customHeight="false" outlineLevel="0" collapsed="false">
      <c r="A56" s="15" t="n">
        <v>4643802021</v>
      </c>
      <c r="B56" s="76" t="n">
        <v>45990.755</v>
      </c>
      <c r="C56" s="76" t="n">
        <v>45990.7685763889</v>
      </c>
      <c r="D56" s="31" t="n">
        <v>0.325833333333333</v>
      </c>
      <c r="E56" s="31" t="n">
        <v>2.312983</v>
      </c>
      <c r="F56" s="31" t="n">
        <v>7.3399</v>
      </c>
      <c r="G56" s="15" t="s">
        <v>63</v>
      </c>
      <c r="H56" s="77" t="b">
        <f aca="false">FALSE()</f>
        <v>0</v>
      </c>
      <c r="I56" s="77" t="b">
        <f aca="false">FALSE()</f>
        <v>0</v>
      </c>
      <c r="J56" s="78" t="n">
        <v>0</v>
      </c>
      <c r="K56" s="15" t="s">
        <v>168</v>
      </c>
      <c r="L56" s="15" t="s">
        <v>228</v>
      </c>
      <c r="M56" s="15"/>
      <c r="N56" s="15"/>
      <c r="O56" s="15"/>
      <c r="P56" s="37" t="n">
        <v>2.29</v>
      </c>
      <c r="Q56" s="37" t="n">
        <v>2.01</v>
      </c>
      <c r="R56" s="47" t="n">
        <f aca="false">INT(B56)</f>
        <v>45990</v>
      </c>
      <c r="S56" s="15" t="n">
        <f aca="false">IF(AND(I56=TRUE(),COUNTIFS($R$5:R56,R56,$I$5:I56,TRUE())=1),1,0)</f>
        <v>0</v>
      </c>
      <c r="T56" s="69" t="n">
        <v>0.4</v>
      </c>
      <c r="U56" s="37" t="n">
        <v>2.23</v>
      </c>
      <c r="V56" s="37" t="n">
        <v>0.9251932</v>
      </c>
      <c r="W56" s="37" t="n">
        <v>0.28</v>
      </c>
      <c r="X56" s="15" t="s">
        <v>105</v>
      </c>
      <c r="Y56" s="47" t="n">
        <v>45985</v>
      </c>
    </row>
    <row r="57" customFormat="false" ht="15" hidden="false" customHeight="false" outlineLevel="0" collapsed="false">
      <c r="A57" s="13" t="n">
        <v>4644336541</v>
      </c>
      <c r="B57" s="74" t="n">
        <v>45990.9284722222</v>
      </c>
      <c r="C57" s="74" t="n">
        <v>45990.9293402778</v>
      </c>
      <c r="D57" s="30" t="n">
        <v>0.0208333333333333</v>
      </c>
      <c r="E57" s="30" t="n">
        <v>0</v>
      </c>
      <c r="F57" s="30" t="n">
        <v>0</v>
      </c>
      <c r="G57" s="13" t="s">
        <v>64</v>
      </c>
      <c r="H57" s="75" t="b">
        <f aca="false">FALSE()</f>
        <v>0</v>
      </c>
      <c r="I57" s="75" t="b">
        <f aca="false">TRUE()</f>
        <v>1</v>
      </c>
      <c r="J57" s="48"/>
      <c r="K57" s="13" t="s">
        <v>166</v>
      </c>
      <c r="L57" s="13" t="s">
        <v>222</v>
      </c>
      <c r="M57" s="13"/>
      <c r="N57" s="13"/>
      <c r="O57" s="13"/>
      <c r="P57" s="35"/>
      <c r="Q57" s="35"/>
      <c r="R57" s="46" t="n">
        <f aca="false">INT(B57)</f>
        <v>45990</v>
      </c>
      <c r="S57" s="13" t="n">
        <f aca="false">IF(AND(I57=TRUE(),COUNTIFS($R$5:R57,R57,$I$5:I57,TRUE())=1),1,0)</f>
        <v>1</v>
      </c>
      <c r="T57" s="70"/>
      <c r="U57" s="35"/>
      <c r="V57" s="35"/>
      <c r="W57" s="35"/>
      <c r="X57" s="13" t="s">
        <v>105</v>
      </c>
      <c r="Y57" s="46" t="n">
        <v>45985</v>
      </c>
    </row>
    <row r="58" customFormat="false" ht="15" hidden="false" customHeight="false" outlineLevel="0" collapsed="false">
      <c r="A58" s="15" t="n">
        <v>4644745771</v>
      </c>
      <c r="B58" s="76" t="n">
        <v>45991.0579861111</v>
      </c>
      <c r="C58" s="76" t="n">
        <v>45991.1004398148</v>
      </c>
      <c r="D58" s="31" t="n">
        <v>1.01888888888889</v>
      </c>
      <c r="E58" s="31" t="n">
        <v>56.687801</v>
      </c>
      <c r="F58" s="31" t="n">
        <v>59.903</v>
      </c>
      <c r="G58" s="15" t="s">
        <v>64</v>
      </c>
      <c r="H58" s="77" t="b">
        <f aca="false">TRUE()</f>
        <v>1</v>
      </c>
      <c r="I58" s="77" t="b">
        <f aca="false">TRUE()</f>
        <v>1</v>
      </c>
      <c r="J58" s="78" t="n">
        <v>1</v>
      </c>
      <c r="K58" s="15" t="s">
        <v>166</v>
      </c>
      <c r="L58" s="15" t="s">
        <v>247</v>
      </c>
      <c r="M58" s="15"/>
      <c r="N58" s="15"/>
      <c r="O58" s="15"/>
      <c r="P58" s="37" t="n">
        <v>28.12</v>
      </c>
      <c r="Q58" s="37" t="n">
        <v>24.08</v>
      </c>
      <c r="R58" s="47" t="n">
        <f aca="false">INT(B58)</f>
        <v>45991</v>
      </c>
      <c r="S58" s="15" t="n">
        <f aca="false">IF(AND(I58=TRUE(),COUNTIFS($R$5:R58,R58,$I$5:I58,TRUE())=1),1,0)</f>
        <v>1</v>
      </c>
      <c r="T58" s="69" t="n">
        <v>0.4</v>
      </c>
      <c r="U58" s="37" t="n">
        <v>26.76</v>
      </c>
      <c r="V58" s="37" t="n">
        <v>22.6751204</v>
      </c>
      <c r="W58" s="37" t="n">
        <v>4.04</v>
      </c>
      <c r="X58" s="15" t="s">
        <v>106</v>
      </c>
      <c r="Y58" s="47" t="n">
        <v>45985</v>
      </c>
    </row>
    <row r="59" customFormat="false" ht="15" hidden="false" customHeight="false" outlineLevel="0" collapsed="false">
      <c r="A59" s="13" t="n">
        <v>4646456341</v>
      </c>
      <c r="B59" s="74" t="n">
        <v>45991.9382060185</v>
      </c>
      <c r="C59" s="74" t="n">
        <v>45991.9468402778</v>
      </c>
      <c r="D59" s="30" t="n">
        <v>0.207222222222222</v>
      </c>
      <c r="E59" s="30" t="n">
        <v>6.1598</v>
      </c>
      <c r="F59" s="30" t="n">
        <v>0</v>
      </c>
      <c r="G59" s="13" t="s">
        <v>64</v>
      </c>
      <c r="H59" s="75" t="b">
        <f aca="false">FALSE()</f>
        <v>0</v>
      </c>
      <c r="I59" s="75" t="b">
        <f aca="false">TRUE()</f>
        <v>1</v>
      </c>
      <c r="J59" s="48"/>
      <c r="K59" s="13" t="s">
        <v>166</v>
      </c>
      <c r="L59" s="13" t="s">
        <v>222</v>
      </c>
      <c r="M59" s="13" t="s">
        <v>250</v>
      </c>
      <c r="N59" s="13" t="s">
        <v>251</v>
      </c>
      <c r="O59" s="13" t="s">
        <v>252</v>
      </c>
      <c r="P59" s="35" t="n">
        <v>3.44</v>
      </c>
      <c r="Q59" s="35" t="n">
        <v>2.96</v>
      </c>
      <c r="R59" s="46" t="n">
        <f aca="false">INT(B59)</f>
        <v>45991</v>
      </c>
      <c r="S59" s="13" t="n">
        <f aca="false">IF(AND(I59=TRUE(),COUNTIFS($R$5:R59,R59,$I$5:I59,TRUE())=1),1,0)</f>
        <v>0</v>
      </c>
      <c r="T59" s="70" t="n">
        <v>0.4</v>
      </c>
      <c r="U59" s="35" t="n">
        <v>3.29</v>
      </c>
      <c r="V59" s="35" t="n">
        <v>2.46392</v>
      </c>
      <c r="W59" s="35" t="n">
        <v>0.48</v>
      </c>
      <c r="X59" s="13" t="s">
        <v>106</v>
      </c>
      <c r="Y59" s="46" t="n">
        <v>45985</v>
      </c>
    </row>
    <row r="60" customFormat="false" ht="15" hidden="false" customHeight="false" outlineLevel="0" collapsed="false">
      <c r="A60" s="15" t="n">
        <v>4646520411</v>
      </c>
      <c r="B60" s="76" t="n">
        <v>45991.9570138889</v>
      </c>
      <c r="C60" s="76" t="n">
        <v>45991.994837963</v>
      </c>
      <c r="D60" s="31" t="n">
        <v>0.907777777777778</v>
      </c>
      <c r="E60" s="31" t="n">
        <v>20.563</v>
      </c>
      <c r="F60" s="31" t="n">
        <v>28.677</v>
      </c>
      <c r="G60" s="15" t="s">
        <v>64</v>
      </c>
      <c r="H60" s="77" t="b">
        <f aca="false">TRUE()</f>
        <v>1</v>
      </c>
      <c r="I60" s="77" t="b">
        <f aca="false">TRUE()</f>
        <v>1</v>
      </c>
      <c r="J60" s="78" t="n">
        <v>1</v>
      </c>
      <c r="K60" s="15" t="s">
        <v>166</v>
      </c>
      <c r="L60" s="15" t="s">
        <v>222</v>
      </c>
      <c r="M60" s="15" t="s">
        <v>250</v>
      </c>
      <c r="N60" s="15" t="s">
        <v>251</v>
      </c>
      <c r="O60" s="15" t="s">
        <v>252</v>
      </c>
      <c r="P60" s="37" t="n">
        <v>12.35</v>
      </c>
      <c r="Q60" s="37" t="n">
        <v>10.67</v>
      </c>
      <c r="R60" s="47" t="n">
        <f aca="false">INT(B60)</f>
        <v>45991</v>
      </c>
      <c r="S60" s="15" t="n">
        <f aca="false">IF(AND(I60=TRUE(),COUNTIFS($R$5:R60,R60,$I$5:I60,TRUE())=1),1,0)</f>
        <v>0</v>
      </c>
      <c r="T60" s="69" t="n">
        <v>0.4</v>
      </c>
      <c r="U60" s="37" t="n">
        <v>11.86</v>
      </c>
      <c r="V60" s="37" t="n">
        <v>8.2252</v>
      </c>
      <c r="W60" s="37" t="n">
        <v>1.68</v>
      </c>
      <c r="X60" s="15" t="s">
        <v>106</v>
      </c>
      <c r="Y60" s="47" t="n">
        <v>45985</v>
      </c>
    </row>
    <row r="61" customFormat="false" ht="15" hidden="false" customHeight="false" outlineLevel="0" collapsed="false">
      <c r="A61" s="13" t="n">
        <v>4648087231</v>
      </c>
      <c r="B61" s="74" t="n">
        <v>45992.6338657407</v>
      </c>
      <c r="C61" s="74" t="n">
        <v>45992.6343865741</v>
      </c>
      <c r="D61" s="30" t="n">
        <v>0.0125</v>
      </c>
      <c r="E61" s="30" t="n">
        <v>0</v>
      </c>
      <c r="F61" s="30" t="n">
        <v>0</v>
      </c>
      <c r="G61" s="13" t="s">
        <v>62</v>
      </c>
      <c r="H61" s="75" t="b">
        <f aca="false">FALSE()</f>
        <v>0</v>
      </c>
      <c r="I61" s="75" t="b">
        <f aca="false">FALSE()</f>
        <v>0</v>
      </c>
      <c r="J61" s="48"/>
      <c r="K61" s="13" t="s">
        <v>166</v>
      </c>
      <c r="L61" s="13" t="s">
        <v>222</v>
      </c>
      <c r="M61" s="13"/>
      <c r="N61" s="13"/>
      <c r="O61" s="13"/>
      <c r="P61" s="35"/>
      <c r="Q61" s="35"/>
      <c r="R61" s="46" t="n">
        <f aca="false">INT(B61)</f>
        <v>45992</v>
      </c>
      <c r="S61" s="13" t="n">
        <f aca="false">IF(AND(I61=TRUE(),COUNTIFS($R$5:R61,R61,$I$5:I61,TRUE())=1),1,0)</f>
        <v>0</v>
      </c>
      <c r="T61" s="70"/>
      <c r="U61" s="35"/>
      <c r="V61" s="35"/>
      <c r="W61" s="35"/>
      <c r="X61" s="13" t="s">
        <v>100</v>
      </c>
      <c r="Y61" s="46" t="n">
        <v>45992</v>
      </c>
    </row>
    <row r="62" customFormat="false" ht="15" hidden="false" customHeight="false" outlineLevel="0" collapsed="false">
      <c r="A62" s="15" t="n">
        <v>4648092671</v>
      </c>
      <c r="B62" s="76" t="n">
        <v>45992.6351273148</v>
      </c>
      <c r="C62" s="76" t="n">
        <v>45992.652650463</v>
      </c>
      <c r="D62" s="31" t="n">
        <v>0.420555555555556</v>
      </c>
      <c r="E62" s="31" t="n">
        <v>25.139</v>
      </c>
      <c r="F62" s="31" t="n">
        <v>62.799</v>
      </c>
      <c r="G62" s="15" t="s">
        <v>62</v>
      </c>
      <c r="H62" s="77" t="b">
        <f aca="false">TRUE()</f>
        <v>1</v>
      </c>
      <c r="I62" s="77" t="b">
        <f aca="false">FALSE()</f>
        <v>0</v>
      </c>
      <c r="J62" s="78" t="n">
        <v>0.972972972972973</v>
      </c>
      <c r="K62" s="15" t="s">
        <v>166</v>
      </c>
      <c r="L62" s="15" t="s">
        <v>222</v>
      </c>
      <c r="M62" s="15" t="s">
        <v>258</v>
      </c>
      <c r="N62" s="15"/>
      <c r="O62" s="15" t="s">
        <v>246</v>
      </c>
      <c r="P62" s="37" t="n">
        <v>12.34</v>
      </c>
      <c r="Q62" s="37" t="n">
        <v>10.57</v>
      </c>
      <c r="R62" s="47" t="n">
        <f aca="false">INT(B62)</f>
        <v>45992</v>
      </c>
      <c r="S62" s="15" t="n">
        <f aca="false">IF(AND(I62=TRUE(),COUNTIFS($R$5:R62,R62,$I$5:I62,TRUE())=1),1,0)</f>
        <v>0</v>
      </c>
      <c r="T62" s="69" t="n">
        <v>0.4</v>
      </c>
      <c r="U62" s="37" t="n">
        <v>11.74</v>
      </c>
      <c r="V62" s="37" t="n">
        <v>10.0556</v>
      </c>
      <c r="W62" s="37" t="n">
        <v>1.77</v>
      </c>
      <c r="X62" s="15" t="s">
        <v>100</v>
      </c>
      <c r="Y62" s="47" t="n">
        <v>45992</v>
      </c>
    </row>
    <row r="63" customFormat="false" ht="15" hidden="false" customHeight="false" outlineLevel="0" collapsed="false">
      <c r="A63" s="13" t="n">
        <v>4660368151</v>
      </c>
      <c r="B63" s="74" t="n">
        <v>45996.0861342593</v>
      </c>
      <c r="C63" s="74" t="n">
        <v>45996.1091203704</v>
      </c>
      <c r="D63" s="30" t="n">
        <v>0.551666666666667</v>
      </c>
      <c r="E63" s="30" t="n">
        <v>20.3325</v>
      </c>
      <c r="F63" s="30" t="n">
        <v>57.133</v>
      </c>
      <c r="G63" s="13" t="s">
        <v>64</v>
      </c>
      <c r="H63" s="75" t="b">
        <f aca="false">TRUE()</f>
        <v>1</v>
      </c>
      <c r="I63" s="75" t="b">
        <f aca="false">TRUE()</f>
        <v>1</v>
      </c>
      <c r="J63" s="48" t="n">
        <v>1</v>
      </c>
      <c r="K63" s="13" t="s">
        <v>166</v>
      </c>
      <c r="L63" s="13" t="s">
        <v>222</v>
      </c>
      <c r="M63" s="13" t="s">
        <v>226</v>
      </c>
      <c r="N63" s="13"/>
      <c r="O63" s="13" t="s">
        <v>227</v>
      </c>
      <c r="P63" s="35" t="n">
        <v>10.83</v>
      </c>
      <c r="Q63" s="35" t="n">
        <v>9.31</v>
      </c>
      <c r="R63" s="46" t="n">
        <f aca="false">INT(B63)</f>
        <v>45996</v>
      </c>
      <c r="S63" s="13" t="n">
        <f aca="false">IF(AND(I63=TRUE(),COUNTIFS($R$5:R63,R63,$I$5:I63,TRUE())=1),1,0)</f>
        <v>1</v>
      </c>
      <c r="T63" s="70" t="n">
        <v>0.4</v>
      </c>
      <c r="U63" s="35" t="n">
        <v>10.34</v>
      </c>
      <c r="V63" s="35" t="n">
        <v>8.133</v>
      </c>
      <c r="W63" s="35" t="n">
        <v>1.52</v>
      </c>
      <c r="X63" s="13" t="s">
        <v>104</v>
      </c>
      <c r="Y63" s="46" t="n">
        <v>45992</v>
      </c>
    </row>
    <row r="64" customFormat="false" ht="15" hidden="false" customHeight="false" outlineLevel="0" collapsed="false">
      <c r="A64" s="15" t="n">
        <v>4675208611</v>
      </c>
      <c r="B64" s="76" t="n">
        <v>46001.0912037037</v>
      </c>
      <c r="C64" s="76" t="n">
        <v>46001.1255671296</v>
      </c>
      <c r="D64" s="31" t="n">
        <v>0.824722222222222</v>
      </c>
      <c r="E64" s="31" t="n">
        <v>49.4212</v>
      </c>
      <c r="F64" s="31" t="n">
        <v>62.487</v>
      </c>
      <c r="G64" s="15" t="s">
        <v>64</v>
      </c>
      <c r="H64" s="77" t="b">
        <f aca="false">TRUE()</f>
        <v>1</v>
      </c>
      <c r="I64" s="77" t="b">
        <f aca="false">TRUE()</f>
        <v>1</v>
      </c>
      <c r="J64" s="78" t="n">
        <v>1</v>
      </c>
      <c r="K64" s="15" t="s">
        <v>166</v>
      </c>
      <c r="L64" s="15" t="s">
        <v>222</v>
      </c>
      <c r="M64" s="15" t="s">
        <v>259</v>
      </c>
      <c r="N64" s="15" t="s">
        <v>260</v>
      </c>
      <c r="O64" s="15" t="s">
        <v>224</v>
      </c>
      <c r="P64" s="37" t="n">
        <v>24.26</v>
      </c>
      <c r="Q64" s="37" t="n">
        <v>20.76</v>
      </c>
      <c r="R64" s="47" t="n">
        <f aca="false">INT(B64)</f>
        <v>46001</v>
      </c>
      <c r="S64" s="15" t="n">
        <f aca="false">IF(AND(I64=TRUE(),COUNTIFS($R$5:R64,R64,$I$5:I64,TRUE())=1),1,0)</f>
        <v>1</v>
      </c>
      <c r="T64" s="69" t="n">
        <v>0.4</v>
      </c>
      <c r="U64" s="37" t="n">
        <v>23.07</v>
      </c>
      <c r="V64" s="37" t="n">
        <v>19.76848</v>
      </c>
      <c r="W64" s="37" t="n">
        <v>3.5</v>
      </c>
      <c r="X64" s="15" t="s">
        <v>102</v>
      </c>
      <c r="Y64" s="47" t="n">
        <v>45999</v>
      </c>
    </row>
    <row r="65" customFormat="false" ht="15" hidden="false" customHeight="false" outlineLevel="0" collapsed="false">
      <c r="A65" s="13" t="n">
        <v>4678805351</v>
      </c>
      <c r="B65" s="74" t="n">
        <v>46002.1613310185</v>
      </c>
      <c r="C65" s="74" t="n">
        <v>46002.1825231482</v>
      </c>
      <c r="D65" s="30" t="n">
        <v>0.508611111111111</v>
      </c>
      <c r="E65" s="30" t="n">
        <v>29.437799</v>
      </c>
      <c r="F65" s="30" t="n">
        <v>62.472</v>
      </c>
      <c r="G65" s="13" t="s">
        <v>64</v>
      </c>
      <c r="H65" s="75" t="b">
        <f aca="false">TRUE()</f>
        <v>1</v>
      </c>
      <c r="I65" s="75" t="b">
        <f aca="false">TRUE()</f>
        <v>1</v>
      </c>
      <c r="J65" s="48" t="n">
        <v>1</v>
      </c>
      <c r="K65" s="13" t="s">
        <v>166</v>
      </c>
      <c r="L65" s="13" t="s">
        <v>222</v>
      </c>
      <c r="M65" s="13" t="s">
        <v>249</v>
      </c>
      <c r="N65" s="13" t="s">
        <v>230</v>
      </c>
      <c r="O65" s="13" t="s">
        <v>224</v>
      </c>
      <c r="P65" s="35" t="n">
        <v>14.52</v>
      </c>
      <c r="Q65" s="35" t="n">
        <v>12.43</v>
      </c>
      <c r="R65" s="46" t="n">
        <f aca="false">INT(B65)</f>
        <v>46002</v>
      </c>
      <c r="S65" s="13" t="n">
        <f aca="false">IF(AND(I65=TRUE(),COUNTIFS($R$5:R65,R65,$I$5:I65,TRUE())=1),1,0)</f>
        <v>1</v>
      </c>
      <c r="T65" s="70" t="n">
        <v>0.4</v>
      </c>
      <c r="U65" s="35" t="n">
        <v>13.81</v>
      </c>
      <c r="V65" s="35" t="n">
        <v>11.7751196</v>
      </c>
      <c r="W65" s="35" t="n">
        <v>2.09</v>
      </c>
      <c r="X65" s="13" t="s">
        <v>103</v>
      </c>
      <c r="Y65" s="46" t="n">
        <v>45999</v>
      </c>
    </row>
    <row r="66" customFormat="false" ht="15" hidden="false" customHeight="false" outlineLevel="0" collapsed="false">
      <c r="A66" s="15" t="n">
        <v>4684013521</v>
      </c>
      <c r="B66" s="76" t="n">
        <v>46003.8045486111</v>
      </c>
      <c r="C66" s="76" t="n">
        <v>46003.8077546296</v>
      </c>
      <c r="D66" s="31" t="n">
        <v>0.0769444444444444</v>
      </c>
      <c r="E66" s="31" t="n">
        <v>3.4989</v>
      </c>
      <c r="F66" s="31" t="n">
        <v>0</v>
      </c>
      <c r="G66" s="15" t="s">
        <v>63</v>
      </c>
      <c r="H66" s="77" t="b">
        <f aca="false">FALSE()</f>
        <v>0</v>
      </c>
      <c r="I66" s="77" t="b">
        <f aca="false">FALSE()</f>
        <v>0</v>
      </c>
      <c r="J66" s="78"/>
      <c r="K66" s="15" t="s">
        <v>166</v>
      </c>
      <c r="L66" s="15" t="s">
        <v>222</v>
      </c>
      <c r="M66" s="15" t="s">
        <v>225</v>
      </c>
      <c r="N66" s="15"/>
      <c r="O66" s="15" t="s">
        <v>224</v>
      </c>
      <c r="P66" s="37" t="n">
        <v>1.79</v>
      </c>
      <c r="Q66" s="37" t="n">
        <v>1.54</v>
      </c>
      <c r="R66" s="47" t="n">
        <f aca="false">INT(B66)</f>
        <v>46003</v>
      </c>
      <c r="S66" s="15" t="n">
        <f aca="false">IF(AND(I66=TRUE(),COUNTIFS($R$5:R66,R66,$I$5:I66,TRUE())=1),1,0)</f>
        <v>0</v>
      </c>
      <c r="T66" s="69" t="n">
        <v>0.4</v>
      </c>
      <c r="U66" s="37" t="n">
        <v>1.71</v>
      </c>
      <c r="V66" s="37" t="n">
        <v>1.39956</v>
      </c>
      <c r="W66" s="37" t="n">
        <v>0.25</v>
      </c>
      <c r="X66" s="15" t="s">
        <v>104</v>
      </c>
      <c r="Y66" s="47" t="n">
        <v>45999</v>
      </c>
    </row>
    <row r="67" customFormat="false" ht="15" hidden="false" customHeight="false" outlineLevel="0" collapsed="false">
      <c r="A67" s="13" t="n">
        <v>4686616141</v>
      </c>
      <c r="B67" s="74" t="n">
        <v>46004.7616898148</v>
      </c>
      <c r="C67" s="74" t="n">
        <v>46005.1391435185</v>
      </c>
      <c r="D67" s="30" t="n">
        <v>9.05888888888889</v>
      </c>
      <c r="E67" s="30" t="n">
        <v>62.976509</v>
      </c>
      <c r="F67" s="30" t="n">
        <v>7.051</v>
      </c>
      <c r="G67" s="13" t="s">
        <v>63</v>
      </c>
      <c r="H67" s="75" t="b">
        <f aca="false">FALSE()</f>
        <v>0</v>
      </c>
      <c r="I67" s="75" t="b">
        <f aca="false">FALSE()</f>
        <v>0</v>
      </c>
      <c r="J67" s="48" t="n">
        <v>0</v>
      </c>
      <c r="K67" s="13" t="s">
        <v>168</v>
      </c>
      <c r="L67" s="13" t="s">
        <v>261</v>
      </c>
      <c r="M67" s="13"/>
      <c r="N67" s="13"/>
      <c r="O67" s="13"/>
      <c r="P67" s="35" t="n">
        <v>63.93</v>
      </c>
      <c r="Q67" s="35" t="n">
        <v>56.18</v>
      </c>
      <c r="R67" s="46" t="n">
        <f aca="false">INT(B67)</f>
        <v>46004</v>
      </c>
      <c r="S67" s="13" t="n">
        <f aca="false">IF(AND(I67=TRUE(),COUNTIFS($R$5:R67,R67,$I$5:I67,TRUE())=1),1,0)</f>
        <v>0</v>
      </c>
      <c r="T67" s="70" t="n">
        <v>0.4</v>
      </c>
      <c r="U67" s="35" t="n">
        <v>61.43</v>
      </c>
      <c r="V67" s="35" t="n">
        <v>25.1906036</v>
      </c>
      <c r="W67" s="35" t="n">
        <v>7.75</v>
      </c>
      <c r="X67" s="13" t="s">
        <v>105</v>
      </c>
      <c r="Y67" s="46" t="n">
        <v>45999</v>
      </c>
    </row>
    <row r="68" customFormat="false" ht="15" hidden="false" customHeight="false" outlineLevel="0" collapsed="false">
      <c r="A68" s="15" t="n">
        <v>4690212021</v>
      </c>
      <c r="B68" s="76" t="n">
        <v>46006.1580092593</v>
      </c>
      <c r="C68" s="76" t="n">
        <v>46006.1795023148</v>
      </c>
      <c r="D68" s="31" t="n">
        <v>0.515833333333333</v>
      </c>
      <c r="E68" s="31" t="n">
        <v>22.837601</v>
      </c>
      <c r="F68" s="31" t="n">
        <v>48.36</v>
      </c>
      <c r="G68" s="15" t="s">
        <v>64</v>
      </c>
      <c r="H68" s="77" t="b">
        <f aca="false">TRUE()</f>
        <v>1</v>
      </c>
      <c r="I68" s="77" t="b">
        <f aca="false">TRUE()</f>
        <v>1</v>
      </c>
      <c r="J68" s="78" t="n">
        <v>1</v>
      </c>
      <c r="K68" s="15" t="s">
        <v>166</v>
      </c>
      <c r="L68" s="15" t="s">
        <v>222</v>
      </c>
      <c r="M68" s="15" t="s">
        <v>262</v>
      </c>
      <c r="N68" s="15" t="s">
        <v>263</v>
      </c>
      <c r="O68" s="15" t="s">
        <v>264</v>
      </c>
      <c r="P68" s="37" t="n">
        <v>11.75</v>
      </c>
      <c r="Q68" s="37" t="n">
        <v>10.08</v>
      </c>
      <c r="R68" s="47" t="n">
        <f aca="false">INT(B68)</f>
        <v>46006</v>
      </c>
      <c r="S68" s="15" t="n">
        <f aca="false">IF(AND(I68=TRUE(),COUNTIFS($R$5:R68,R68,$I$5:I68,TRUE())=1),1,0)</f>
        <v>1</v>
      </c>
      <c r="T68" s="69" t="n">
        <v>0.4</v>
      </c>
      <c r="U68" s="37" t="n">
        <v>11.2</v>
      </c>
      <c r="V68" s="37" t="n">
        <v>9.1350404</v>
      </c>
      <c r="W68" s="37" t="n">
        <v>1.67</v>
      </c>
      <c r="X68" s="15" t="s">
        <v>100</v>
      </c>
      <c r="Y68" s="47" t="n">
        <v>46006</v>
      </c>
    </row>
    <row r="69" customFormat="false" ht="15" hidden="false" customHeight="false" outlineLevel="0" collapsed="false">
      <c r="A69" s="13" t="n">
        <v>4692214171</v>
      </c>
      <c r="B69" s="74" t="n">
        <v>46006.8743518519</v>
      </c>
      <c r="C69" s="74" t="n">
        <v>46006.8769444445</v>
      </c>
      <c r="D69" s="30" t="n">
        <v>0.0622222222222222</v>
      </c>
      <c r="E69" s="30" t="n">
        <v>1.366</v>
      </c>
      <c r="F69" s="30" t="n">
        <v>0</v>
      </c>
      <c r="G69" s="13" t="s">
        <v>63</v>
      </c>
      <c r="H69" s="75" t="b">
        <f aca="false">FALSE()</f>
        <v>0</v>
      </c>
      <c r="I69" s="75" t="b">
        <f aca="false">FALSE()</f>
        <v>0</v>
      </c>
      <c r="J69" s="48"/>
      <c r="K69" s="13" t="s">
        <v>166</v>
      </c>
      <c r="L69" s="13" t="s">
        <v>228</v>
      </c>
      <c r="M69" s="13"/>
      <c r="N69" s="13"/>
      <c r="O69" s="13"/>
      <c r="P69" s="35" t="n">
        <v>0.83</v>
      </c>
      <c r="Q69" s="35" t="n">
        <v>0.72</v>
      </c>
      <c r="R69" s="46" t="n">
        <f aca="false">INT(B69)</f>
        <v>46006</v>
      </c>
      <c r="S69" s="13" t="n">
        <f aca="false">IF(AND(I69=TRUE(),COUNTIFS($R$5:R69,R69,$I$5:I69,TRUE())=1),1,0)</f>
        <v>0</v>
      </c>
      <c r="T69" s="70" t="n">
        <v>0.4</v>
      </c>
      <c r="U69" s="35" t="n">
        <v>0.8</v>
      </c>
      <c r="V69" s="35" t="n">
        <v>0.5464</v>
      </c>
      <c r="W69" s="35" t="n">
        <v>0.11</v>
      </c>
      <c r="X69" s="13" t="s">
        <v>100</v>
      </c>
      <c r="Y69" s="46" t="n">
        <v>46006</v>
      </c>
    </row>
    <row r="70" customFormat="false" ht="15" hidden="false" customHeight="false" outlineLevel="0" collapsed="false">
      <c r="A70" s="15" t="n">
        <v>4696438731</v>
      </c>
      <c r="B70" s="76" t="n">
        <v>46008.0651041667</v>
      </c>
      <c r="C70" s="76" t="n">
        <v>46008.1000925926</v>
      </c>
      <c r="D70" s="31" t="n">
        <v>0.839722222222222</v>
      </c>
      <c r="E70" s="31" t="n">
        <v>39.279499</v>
      </c>
      <c r="F70" s="31" t="n">
        <v>53.4</v>
      </c>
      <c r="G70" s="15" t="s">
        <v>64</v>
      </c>
      <c r="H70" s="77" t="b">
        <f aca="false">TRUE()</f>
        <v>1</v>
      </c>
      <c r="I70" s="77" t="b">
        <f aca="false">TRUE()</f>
        <v>1</v>
      </c>
      <c r="J70" s="78" t="n">
        <v>1</v>
      </c>
      <c r="K70" s="15" t="s">
        <v>166</v>
      </c>
      <c r="L70" s="15" t="s">
        <v>247</v>
      </c>
      <c r="M70" s="15"/>
      <c r="N70" s="15"/>
      <c r="O70" s="15"/>
      <c r="P70" s="37" t="n">
        <v>20.01</v>
      </c>
      <c r="Q70" s="37" t="n">
        <v>17.16</v>
      </c>
      <c r="R70" s="47" t="n">
        <f aca="false">INT(B70)</f>
        <v>46008</v>
      </c>
      <c r="S70" s="15" t="n">
        <f aca="false">IF(AND(I70=TRUE(),COUNTIFS($R$5:R70,R70,$I$5:I70,TRUE())=1),1,0)</f>
        <v>1</v>
      </c>
      <c r="T70" s="69" t="n">
        <v>0.4</v>
      </c>
      <c r="U70" s="37" t="n">
        <v>19.07</v>
      </c>
      <c r="V70" s="37" t="n">
        <v>15.7117996</v>
      </c>
      <c r="W70" s="37" t="n">
        <v>2.85</v>
      </c>
      <c r="X70" s="15" t="s">
        <v>102</v>
      </c>
      <c r="Y70" s="47" t="n">
        <v>46006</v>
      </c>
    </row>
    <row r="71" customFormat="false" ht="15" hidden="false" customHeight="false" outlineLevel="0" collapsed="false">
      <c r="A71" s="13" t="n">
        <v>4702449141</v>
      </c>
      <c r="B71" s="74" t="n">
        <v>46009.9263888889</v>
      </c>
      <c r="C71" s="74" t="n">
        <v>46009.9430439815</v>
      </c>
      <c r="D71" s="30" t="n">
        <v>0.399722222222222</v>
      </c>
      <c r="E71" s="30" t="n">
        <v>18.4666</v>
      </c>
      <c r="F71" s="30" t="n">
        <v>47.895</v>
      </c>
      <c r="G71" s="13" t="s">
        <v>64</v>
      </c>
      <c r="H71" s="75" t="b">
        <f aca="false">TRUE()</f>
        <v>1</v>
      </c>
      <c r="I71" s="75" t="b">
        <f aca="false">TRUE()</f>
        <v>1</v>
      </c>
      <c r="J71" s="48" t="n">
        <v>1</v>
      </c>
      <c r="K71" s="13" t="s">
        <v>166</v>
      </c>
      <c r="L71" s="13" t="s">
        <v>222</v>
      </c>
      <c r="M71" s="13" t="s">
        <v>265</v>
      </c>
      <c r="N71" s="13"/>
      <c r="O71" s="13" t="s">
        <v>224</v>
      </c>
      <c r="P71" s="35" t="n">
        <v>9.43</v>
      </c>
      <c r="Q71" s="35" t="n">
        <v>8.09</v>
      </c>
      <c r="R71" s="46" t="n">
        <f aca="false">INT(B71)</f>
        <v>46009</v>
      </c>
      <c r="S71" s="13" t="n">
        <f aca="false">IF(AND(I71=TRUE(),COUNTIFS($R$5:R71,R71,$I$5:I71,TRUE())=1),1,0)</f>
        <v>1</v>
      </c>
      <c r="T71" s="70" t="n">
        <v>0.4</v>
      </c>
      <c r="U71" s="35" t="n">
        <v>8.99</v>
      </c>
      <c r="V71" s="35" t="n">
        <v>7.38664</v>
      </c>
      <c r="W71" s="35" t="n">
        <v>1.34</v>
      </c>
      <c r="X71" s="13" t="s">
        <v>103</v>
      </c>
      <c r="Y71" s="46" t="n">
        <v>46006</v>
      </c>
    </row>
    <row r="72" customFormat="false" ht="15" hidden="false" customHeight="false" outlineLevel="0" collapsed="false">
      <c r="A72" s="15" t="n">
        <v>4707150431</v>
      </c>
      <c r="B72" s="76" t="n">
        <v>46011.5506828704</v>
      </c>
      <c r="C72" s="76" t="n">
        <v>46011.5772222222</v>
      </c>
      <c r="D72" s="31" t="n">
        <v>0.636944444444444</v>
      </c>
      <c r="E72" s="31" t="n">
        <v>34.400398</v>
      </c>
      <c r="F72" s="31" t="n">
        <v>56.939</v>
      </c>
      <c r="G72" s="15" t="s">
        <v>62</v>
      </c>
      <c r="H72" s="77" t="b">
        <f aca="false">TRUE()</f>
        <v>1</v>
      </c>
      <c r="I72" s="77" t="b">
        <f aca="false">FALSE()</f>
        <v>0</v>
      </c>
      <c r="J72" s="78" t="n">
        <v>1</v>
      </c>
      <c r="K72" s="15" t="s">
        <v>166</v>
      </c>
      <c r="L72" s="15" t="s">
        <v>261</v>
      </c>
      <c r="M72" s="15"/>
      <c r="N72" s="15"/>
      <c r="O72" s="15"/>
      <c r="P72" s="37" t="n">
        <v>18.28</v>
      </c>
      <c r="Q72" s="37" t="n">
        <v>14.68</v>
      </c>
      <c r="R72" s="47" t="n">
        <f aca="false">INT(B72)</f>
        <v>46011</v>
      </c>
      <c r="S72" s="15" t="n">
        <f aca="false">IF(AND(I72=TRUE(),COUNTIFS($R$5:R72,R72,$I$5:I72,TRUE())=1),1,0)</f>
        <v>0</v>
      </c>
      <c r="T72" s="69" t="n">
        <v>0.4</v>
      </c>
      <c r="U72" s="37" t="n">
        <v>16.31</v>
      </c>
      <c r="V72" s="37" t="n">
        <v>13.7601592</v>
      </c>
      <c r="W72" s="37" t="n">
        <v>2.61</v>
      </c>
      <c r="X72" s="15" t="s">
        <v>105</v>
      </c>
      <c r="Y72" s="47" t="n">
        <v>46006</v>
      </c>
    </row>
    <row r="73" customFormat="false" ht="15" hidden="false" customHeight="false" outlineLevel="0" collapsed="false">
      <c r="A73" s="13" t="n">
        <v>4708308331</v>
      </c>
      <c r="B73" s="74" t="n">
        <v>46011.9446643519</v>
      </c>
      <c r="C73" s="74" t="n">
        <v>46011.9461805556</v>
      </c>
      <c r="D73" s="30" t="n">
        <v>0.0363888888888888</v>
      </c>
      <c r="E73" s="30" t="n">
        <v>0</v>
      </c>
      <c r="F73" s="30"/>
      <c r="G73" s="13" t="s">
        <v>64</v>
      </c>
      <c r="H73" s="75" t="b">
        <f aca="false">FALSE()</f>
        <v>0</v>
      </c>
      <c r="I73" s="75" t="b">
        <f aca="false">TRUE()</f>
        <v>1</v>
      </c>
      <c r="J73" s="48"/>
      <c r="K73" s="13" t="s">
        <v>166</v>
      </c>
      <c r="L73" s="13" t="s">
        <v>228</v>
      </c>
      <c r="M73" s="13"/>
      <c r="N73" s="13"/>
      <c r="O73" s="13"/>
      <c r="P73" s="35"/>
      <c r="Q73" s="35"/>
      <c r="R73" s="46" t="n">
        <f aca="false">INT(B73)</f>
        <v>46011</v>
      </c>
      <c r="S73" s="13" t="n">
        <f aca="false">IF(AND(I73=TRUE(),COUNTIFS($R$5:R73,R73,$I$5:I73,TRUE())=1),1,0)</f>
        <v>1</v>
      </c>
      <c r="T73" s="70"/>
      <c r="U73" s="35"/>
      <c r="V73" s="35"/>
      <c r="W73" s="35"/>
      <c r="X73" s="13" t="s">
        <v>105</v>
      </c>
      <c r="Y73" s="46" t="n">
        <v>46006</v>
      </c>
    </row>
    <row r="74" customFormat="false" ht="15" hidden="false" customHeight="false" outlineLevel="0" collapsed="false">
      <c r="A74" s="15" t="n">
        <v>4708324491</v>
      </c>
      <c r="B74" s="76" t="n">
        <v>46011.9505092593</v>
      </c>
      <c r="C74" s="76" t="n">
        <v>46012.0034490741</v>
      </c>
      <c r="D74" s="31" t="n">
        <v>1.27055555555556</v>
      </c>
      <c r="E74" s="31" t="n">
        <v>9.172431</v>
      </c>
      <c r="F74" s="31" t="n">
        <v>7.3299</v>
      </c>
      <c r="G74" s="15" t="s">
        <v>64</v>
      </c>
      <c r="H74" s="77" t="b">
        <f aca="false">FALSE()</f>
        <v>0</v>
      </c>
      <c r="I74" s="77" t="b">
        <f aca="false">TRUE()</f>
        <v>1</v>
      </c>
      <c r="J74" s="78" t="n">
        <v>0</v>
      </c>
      <c r="K74" s="15" t="s">
        <v>168</v>
      </c>
      <c r="L74" s="15" t="s">
        <v>228</v>
      </c>
      <c r="M74" s="15"/>
      <c r="N74" s="15"/>
      <c r="O74" s="15"/>
      <c r="P74" s="37" t="n">
        <v>8.97</v>
      </c>
      <c r="Q74" s="37" t="n">
        <v>7.88</v>
      </c>
      <c r="R74" s="47" t="n">
        <f aca="false">INT(B74)</f>
        <v>46011</v>
      </c>
      <c r="S74" s="15" t="n">
        <f aca="false">IF(AND(I74=TRUE(),COUNTIFS($R$5:R74,R74,$I$5:I74,TRUE())=1),1,0)</f>
        <v>0</v>
      </c>
      <c r="T74" s="69" t="n">
        <v>0.4</v>
      </c>
      <c r="U74" s="37" t="n">
        <v>8.75</v>
      </c>
      <c r="V74" s="37" t="n">
        <v>3.6689724</v>
      </c>
      <c r="W74" s="37" t="n">
        <v>1.09</v>
      </c>
      <c r="X74" s="15" t="s">
        <v>105</v>
      </c>
      <c r="Y74" s="47" t="n">
        <v>46006</v>
      </c>
    </row>
    <row r="75" customFormat="false" ht="15" hidden="false" customHeight="false" outlineLevel="0" collapsed="false">
      <c r="A75" s="13" t="n">
        <v>4709720391</v>
      </c>
      <c r="B75" s="74" t="n">
        <v>46012.6887615741</v>
      </c>
      <c r="C75" s="74" t="n">
        <v>46012.6899074074</v>
      </c>
      <c r="D75" s="30" t="n">
        <v>0.0275</v>
      </c>
      <c r="E75" s="30" t="n">
        <v>0.0054</v>
      </c>
      <c r="F75" s="30" t="n">
        <v>0</v>
      </c>
      <c r="G75" s="13" t="s">
        <v>62</v>
      </c>
      <c r="H75" s="75" t="b">
        <f aca="false">FALSE()</f>
        <v>0</v>
      </c>
      <c r="I75" s="75" t="b">
        <f aca="false">FALSE()</f>
        <v>0</v>
      </c>
      <c r="J75" s="48"/>
      <c r="K75" s="13" t="s">
        <v>166</v>
      </c>
      <c r="L75" s="13" t="s">
        <v>222</v>
      </c>
      <c r="M75" s="13"/>
      <c r="N75" s="13"/>
      <c r="O75" s="13"/>
      <c r="P75" s="35"/>
      <c r="Q75" s="35"/>
      <c r="R75" s="46" t="n">
        <f aca="false">INT(B75)</f>
        <v>46012</v>
      </c>
      <c r="S75" s="13" t="n">
        <f aca="false">IF(AND(I75=TRUE(),COUNTIFS($R$5:R75,R75,$I$5:I75,TRUE())=1),1,0)</f>
        <v>0</v>
      </c>
      <c r="T75" s="70"/>
      <c r="U75" s="35"/>
      <c r="V75" s="35"/>
      <c r="W75" s="35"/>
      <c r="X75" s="13" t="s">
        <v>106</v>
      </c>
      <c r="Y75" s="46" t="n">
        <v>46006</v>
      </c>
    </row>
    <row r="76" customFormat="false" ht="15" hidden="false" customHeight="false" outlineLevel="0" collapsed="false">
      <c r="A76" s="15" t="n">
        <v>4709723941</v>
      </c>
      <c r="B76" s="76" t="n">
        <v>46012.6902777778</v>
      </c>
      <c r="C76" s="76" t="n">
        <v>46012.7204050926</v>
      </c>
      <c r="D76" s="31" t="n">
        <v>0.723055555555556</v>
      </c>
      <c r="E76" s="31" t="n">
        <v>43.850101</v>
      </c>
      <c r="F76" s="31" t="n">
        <v>62.576</v>
      </c>
      <c r="G76" s="15" t="s">
        <v>62</v>
      </c>
      <c r="H76" s="77" t="b">
        <f aca="false">TRUE()</f>
        <v>1</v>
      </c>
      <c r="I76" s="77" t="b">
        <f aca="false">FALSE()</f>
        <v>0</v>
      </c>
      <c r="J76" s="78" t="n">
        <v>1</v>
      </c>
      <c r="K76" s="15" t="s">
        <v>166</v>
      </c>
      <c r="L76" s="15" t="s">
        <v>222</v>
      </c>
      <c r="M76" s="15" t="s">
        <v>266</v>
      </c>
      <c r="N76" s="15" t="s">
        <v>267</v>
      </c>
      <c r="O76" s="15" t="s">
        <v>242</v>
      </c>
      <c r="P76" s="37" t="n">
        <v>21.48</v>
      </c>
      <c r="Q76" s="37" t="n">
        <v>18.39</v>
      </c>
      <c r="R76" s="47" t="n">
        <f aca="false">INT(B76)</f>
        <v>46012</v>
      </c>
      <c r="S76" s="15" t="n">
        <f aca="false">IF(AND(I76=TRUE(),COUNTIFS($R$5:R76,R76,$I$5:I76,TRUE())=1),1,0)</f>
        <v>0</v>
      </c>
      <c r="T76" s="69" t="n">
        <v>0.4</v>
      </c>
      <c r="U76" s="37" t="n">
        <v>20.43</v>
      </c>
      <c r="V76" s="37" t="n">
        <v>17.5400404</v>
      </c>
      <c r="W76" s="37" t="n">
        <v>3.09</v>
      </c>
      <c r="X76" s="15" t="s">
        <v>106</v>
      </c>
      <c r="Y76" s="47" t="n">
        <v>46006</v>
      </c>
    </row>
    <row r="77" customFormat="false" ht="15" hidden="false" customHeight="false" outlineLevel="0" collapsed="false">
      <c r="A77" s="13" t="n">
        <v>4710063501</v>
      </c>
      <c r="B77" s="74" t="n">
        <v>46012.8100347222</v>
      </c>
      <c r="C77" s="74" t="n">
        <v>46012.8379976852</v>
      </c>
      <c r="D77" s="30" t="n">
        <v>0.671111111111111</v>
      </c>
      <c r="E77" s="30" t="n">
        <v>4.446568</v>
      </c>
      <c r="F77" s="30" t="n">
        <v>7.0803</v>
      </c>
      <c r="G77" s="13" t="s">
        <v>63</v>
      </c>
      <c r="H77" s="75" t="b">
        <f aca="false">FALSE()</f>
        <v>0</v>
      </c>
      <c r="I77" s="75" t="b">
        <f aca="false">FALSE()</f>
        <v>0</v>
      </c>
      <c r="J77" s="48" t="n">
        <v>0</v>
      </c>
      <c r="K77" s="13" t="s">
        <v>168</v>
      </c>
      <c r="L77" s="13" t="s">
        <v>228</v>
      </c>
      <c r="M77" s="13"/>
      <c r="N77" s="13"/>
      <c r="O77" s="13"/>
      <c r="P77" s="35" t="n">
        <v>4.57</v>
      </c>
      <c r="Q77" s="35" t="n">
        <v>4.01</v>
      </c>
      <c r="R77" s="46" t="n">
        <f aca="false">INT(B77)</f>
        <v>46012</v>
      </c>
      <c r="S77" s="13" t="n">
        <f aca="false">IF(AND(I77=TRUE(),COUNTIFS($R$5:R77,R77,$I$5:I77,TRUE())=1),1,0)</f>
        <v>0</v>
      </c>
      <c r="T77" s="70" t="n">
        <v>0.4</v>
      </c>
      <c r="U77" s="35" t="n">
        <v>4.46</v>
      </c>
      <c r="V77" s="35" t="n">
        <v>1.7786272</v>
      </c>
      <c r="W77" s="35" t="n">
        <v>0.56</v>
      </c>
      <c r="X77" s="13" t="s">
        <v>106</v>
      </c>
      <c r="Y77" s="46" t="n">
        <v>46006</v>
      </c>
    </row>
    <row r="78" customFormat="false" ht="15" hidden="false" customHeight="false" outlineLevel="0" collapsed="false">
      <c r="A78" s="15" t="n">
        <v>4710216931</v>
      </c>
      <c r="B78" s="76" t="n">
        <v>46012.8593287037</v>
      </c>
      <c r="C78" s="76" t="n">
        <v>46013.116712963</v>
      </c>
      <c r="D78" s="31" t="n">
        <v>6.17722222222222</v>
      </c>
      <c r="E78" s="31" t="n">
        <v>43.365398</v>
      </c>
      <c r="F78" s="31" t="n">
        <v>7.0903</v>
      </c>
      <c r="G78" s="15" t="s">
        <v>63</v>
      </c>
      <c r="H78" s="77" t="b">
        <f aca="false">FALSE()</f>
        <v>0</v>
      </c>
      <c r="I78" s="77" t="b">
        <f aca="false">FALSE()</f>
        <v>0</v>
      </c>
      <c r="J78" s="78" t="n">
        <v>0</v>
      </c>
      <c r="K78" s="15" t="s">
        <v>168</v>
      </c>
      <c r="L78" s="15" t="s">
        <v>228</v>
      </c>
      <c r="M78" s="15"/>
      <c r="N78" s="15"/>
      <c r="O78" s="15"/>
      <c r="P78" s="37" t="n">
        <v>43.1</v>
      </c>
      <c r="Q78" s="37" t="n">
        <v>37.85</v>
      </c>
      <c r="R78" s="47" t="n">
        <f aca="false">INT(B78)</f>
        <v>46012</v>
      </c>
      <c r="S78" s="15" t="n">
        <f aca="false">IF(AND(I78=TRUE(),COUNTIFS($R$5:R78,R78,$I$5:I78,TRUE())=1),1,0)</f>
        <v>0</v>
      </c>
      <c r="T78" s="69" t="n">
        <v>0.4</v>
      </c>
      <c r="U78" s="37" t="n">
        <v>42.06</v>
      </c>
      <c r="V78" s="37" t="n">
        <v>17.3461592</v>
      </c>
      <c r="W78" s="37" t="n">
        <v>5.25</v>
      </c>
      <c r="X78" s="15" t="s">
        <v>106</v>
      </c>
      <c r="Y78" s="47" t="n">
        <v>46006</v>
      </c>
    </row>
    <row r="79" customFormat="false" ht="15" hidden="false" customHeight="false" outlineLevel="0" collapsed="false">
      <c r="A79" s="13" t="n">
        <v>4710729371</v>
      </c>
      <c r="B79" s="74" t="n">
        <v>46013.013900463</v>
      </c>
      <c r="C79" s="74" t="n">
        <v>46013.0375810185</v>
      </c>
      <c r="D79" s="30" t="n">
        <v>0.568333333333333</v>
      </c>
      <c r="E79" s="30" t="n">
        <v>31.301399</v>
      </c>
      <c r="F79" s="30" t="n">
        <v>56.549</v>
      </c>
      <c r="G79" s="13" t="s">
        <v>64</v>
      </c>
      <c r="H79" s="75" t="b">
        <f aca="false">TRUE()</f>
        <v>1</v>
      </c>
      <c r="I79" s="75" t="b">
        <f aca="false">TRUE()</f>
        <v>1</v>
      </c>
      <c r="J79" s="48" t="n">
        <v>1</v>
      </c>
      <c r="K79" s="13" t="s">
        <v>166</v>
      </c>
      <c r="L79" s="13" t="s">
        <v>222</v>
      </c>
      <c r="M79" s="13" t="s">
        <v>268</v>
      </c>
      <c r="N79" s="13"/>
      <c r="O79" s="13" t="s">
        <v>227</v>
      </c>
      <c r="P79" s="35" t="n">
        <v>15.54</v>
      </c>
      <c r="Q79" s="35" t="n">
        <v>13.31</v>
      </c>
      <c r="R79" s="46" t="n">
        <f aca="false">INT(B79)</f>
        <v>46013</v>
      </c>
      <c r="S79" s="13" t="n">
        <f aca="false">IF(AND(I79=TRUE(),COUNTIFS($R$5:R79,R79,$I$5:I79,TRUE())=1),1,0)</f>
        <v>1</v>
      </c>
      <c r="T79" s="70" t="n">
        <v>0.4</v>
      </c>
      <c r="U79" s="35" t="n">
        <v>14.79</v>
      </c>
      <c r="V79" s="35" t="n">
        <v>12.5205596</v>
      </c>
      <c r="W79" s="35" t="n">
        <v>2.23</v>
      </c>
      <c r="X79" s="13" t="s">
        <v>100</v>
      </c>
      <c r="Y79" s="46" t="n">
        <v>46013</v>
      </c>
    </row>
    <row r="80" customFormat="false" ht="15" hidden="false" customHeight="false" outlineLevel="0" collapsed="false">
      <c r="A80" s="15" t="n">
        <v>4711406781</v>
      </c>
      <c r="B80" s="76" t="n">
        <v>46013.2659722222</v>
      </c>
      <c r="C80" s="76" t="n">
        <v>46013.267662037</v>
      </c>
      <c r="D80" s="31" t="n">
        <v>0.0405555555555555</v>
      </c>
      <c r="E80" s="31" t="n">
        <v>0</v>
      </c>
      <c r="F80" s="31" t="n">
        <v>0</v>
      </c>
      <c r="G80" s="15" t="s">
        <v>61</v>
      </c>
      <c r="H80" s="77" t="b">
        <f aca="false">FALSE()</f>
        <v>0</v>
      </c>
      <c r="I80" s="77" t="b">
        <f aca="false">FALSE()</f>
        <v>0</v>
      </c>
      <c r="J80" s="78"/>
      <c r="K80" s="15" t="s">
        <v>166</v>
      </c>
      <c r="L80" s="15" t="s">
        <v>228</v>
      </c>
      <c r="M80" s="15"/>
      <c r="N80" s="15"/>
      <c r="O80" s="15"/>
      <c r="P80" s="37"/>
      <c r="Q80" s="37"/>
      <c r="R80" s="47" t="n">
        <f aca="false">INT(B80)</f>
        <v>46013</v>
      </c>
      <c r="S80" s="15" t="n">
        <f aca="false">IF(AND(I80=TRUE(),COUNTIFS($R$5:R80,R80,$I$5:I80,TRUE())=1),1,0)</f>
        <v>0</v>
      </c>
      <c r="T80" s="69"/>
      <c r="U80" s="37"/>
      <c r="V80" s="37"/>
      <c r="W80" s="37"/>
      <c r="X80" s="15" t="s">
        <v>100</v>
      </c>
      <c r="Y80" s="47" t="n">
        <v>46013</v>
      </c>
    </row>
    <row r="81" customFormat="false" ht="15" hidden="false" customHeight="false" outlineLevel="0" collapsed="false">
      <c r="A81" s="13" t="n">
        <v>4711421421</v>
      </c>
      <c r="B81" s="74" t="n">
        <v>46013.2823726852</v>
      </c>
      <c r="C81" s="74" t="n">
        <v>46013.3593287037</v>
      </c>
      <c r="D81" s="30" t="n">
        <v>1.84694444444444</v>
      </c>
      <c r="E81" s="30" t="n">
        <v>45.4538</v>
      </c>
      <c r="F81" s="30" t="n">
        <v>38.976</v>
      </c>
      <c r="G81" s="13" t="s">
        <v>61</v>
      </c>
      <c r="H81" s="75" t="b">
        <f aca="false">TRUE()</f>
        <v>1</v>
      </c>
      <c r="I81" s="75" t="b">
        <f aca="false">FALSE()</f>
        <v>0</v>
      </c>
      <c r="J81" s="48" t="n">
        <v>0.854908915041109</v>
      </c>
      <c r="K81" s="13" t="s">
        <v>166</v>
      </c>
      <c r="L81" s="13" t="s">
        <v>228</v>
      </c>
      <c r="M81" s="13"/>
      <c r="N81" s="13"/>
      <c r="O81" s="13"/>
      <c r="P81" s="35" t="n">
        <v>26.66</v>
      </c>
      <c r="Q81" s="35" t="n">
        <v>23.01</v>
      </c>
      <c r="R81" s="46" t="n">
        <f aca="false">INT(B81)</f>
        <v>46013</v>
      </c>
      <c r="S81" s="13" t="n">
        <f aca="false">IF(AND(I81=TRUE(),COUNTIFS($R$5:R81,R81,$I$5:I81,TRUE())=1),1,0)</f>
        <v>0</v>
      </c>
      <c r="T81" s="70" t="n">
        <v>0.4</v>
      </c>
      <c r="U81" s="35" t="n">
        <v>25.57</v>
      </c>
      <c r="V81" s="35" t="n">
        <v>18.18152</v>
      </c>
      <c r="W81" s="35" t="n">
        <v>3.65</v>
      </c>
      <c r="X81" s="13" t="s">
        <v>100</v>
      </c>
      <c r="Y81" s="46" t="n">
        <v>46013</v>
      </c>
    </row>
    <row r="82" customFormat="false" ht="15" hidden="false" customHeight="false" outlineLevel="0" collapsed="false">
      <c r="A82" s="15" t="n">
        <v>4712182861</v>
      </c>
      <c r="B82" s="76" t="n">
        <v>46013.6917013889</v>
      </c>
      <c r="C82" s="76" t="n">
        <v>46013.6930208333</v>
      </c>
      <c r="D82" s="31" t="n">
        <v>0.0316666666666666</v>
      </c>
      <c r="E82" s="31" t="n">
        <v>0</v>
      </c>
      <c r="F82" s="31" t="n">
        <v>0</v>
      </c>
      <c r="G82" s="15" t="s">
        <v>62</v>
      </c>
      <c r="H82" s="77" t="b">
        <f aca="false">FALSE()</f>
        <v>0</v>
      </c>
      <c r="I82" s="77" t="b">
        <f aca="false">FALSE()</f>
        <v>0</v>
      </c>
      <c r="J82" s="78"/>
      <c r="K82" s="15" t="s">
        <v>168</v>
      </c>
      <c r="L82" s="15" t="s">
        <v>261</v>
      </c>
      <c r="M82" s="15"/>
      <c r="N82" s="15"/>
      <c r="O82" s="15"/>
      <c r="P82" s="37"/>
      <c r="Q82" s="37"/>
      <c r="R82" s="47" t="n">
        <f aca="false">INT(B82)</f>
        <v>46013</v>
      </c>
      <c r="S82" s="15" t="n">
        <f aca="false">IF(AND(I82=TRUE(),COUNTIFS($R$5:R82,R82,$I$5:I82,TRUE())=1),1,0)</f>
        <v>0</v>
      </c>
      <c r="T82" s="69"/>
      <c r="U82" s="37"/>
      <c r="V82" s="37"/>
      <c r="W82" s="37"/>
      <c r="X82" s="15" t="s">
        <v>100</v>
      </c>
      <c r="Y82" s="47" t="n">
        <v>46013</v>
      </c>
    </row>
    <row r="83" customFormat="false" ht="15" hidden="false" customHeight="false" outlineLevel="0" collapsed="false">
      <c r="A83" s="13" t="n">
        <v>4712260231</v>
      </c>
      <c r="B83" s="74" t="n">
        <v>46013.7106365741</v>
      </c>
      <c r="C83" s="74" t="n">
        <v>46013.7491782407</v>
      </c>
      <c r="D83" s="30" t="n">
        <v>0.925</v>
      </c>
      <c r="E83" s="30" t="n">
        <v>48.287498</v>
      </c>
      <c r="F83" s="30" t="n">
        <v>56.055</v>
      </c>
      <c r="G83" s="13" t="s">
        <v>62</v>
      </c>
      <c r="H83" s="75" t="b">
        <f aca="false">TRUE()</f>
        <v>1</v>
      </c>
      <c r="I83" s="75" t="b">
        <f aca="false">FALSE()</f>
        <v>0</v>
      </c>
      <c r="J83" s="48" t="n">
        <v>1</v>
      </c>
      <c r="K83" s="13" t="s">
        <v>166</v>
      </c>
      <c r="L83" s="13" t="s">
        <v>222</v>
      </c>
      <c r="M83" s="13" t="s">
        <v>269</v>
      </c>
      <c r="N83" s="13"/>
      <c r="O83" s="13" t="s">
        <v>224</v>
      </c>
      <c r="P83" s="35" t="n">
        <v>24.18</v>
      </c>
      <c r="Q83" s="35" t="n">
        <v>20.72</v>
      </c>
      <c r="R83" s="46" t="n">
        <f aca="false">INT(B83)</f>
        <v>46013</v>
      </c>
      <c r="S83" s="13" t="n">
        <f aca="false">IF(AND(I83=TRUE(),COUNTIFS($R$5:R83,R83,$I$5:I83,TRUE())=1),1,0)</f>
        <v>0</v>
      </c>
      <c r="T83" s="70" t="n">
        <v>0.4</v>
      </c>
      <c r="U83" s="35" t="n">
        <v>23.02</v>
      </c>
      <c r="V83" s="35" t="n">
        <v>19.3149992</v>
      </c>
      <c r="W83" s="35" t="n">
        <v>3.46</v>
      </c>
      <c r="X83" s="13" t="s">
        <v>100</v>
      </c>
      <c r="Y83" s="46" t="n">
        <v>46013</v>
      </c>
    </row>
    <row r="84" customFormat="false" ht="15" hidden="false" customHeight="false" outlineLevel="0" collapsed="false">
      <c r="A84" s="15" t="n">
        <v>4712308231</v>
      </c>
      <c r="B84" s="76" t="n">
        <v>46013.7215856482</v>
      </c>
      <c r="C84" s="76" t="n">
        <v>46013.9079166667</v>
      </c>
      <c r="D84" s="31" t="n">
        <v>4.47194444444444</v>
      </c>
      <c r="E84" s="31" t="n">
        <v>31.527758</v>
      </c>
      <c r="F84" s="31" t="n">
        <v>7.1514</v>
      </c>
      <c r="G84" s="15" t="s">
        <v>62</v>
      </c>
      <c r="H84" s="77" t="b">
        <f aca="false">FALSE()</f>
        <v>0</v>
      </c>
      <c r="I84" s="77" t="b">
        <f aca="false">FALSE()</f>
        <v>0</v>
      </c>
      <c r="J84" s="78" t="n">
        <v>0</v>
      </c>
      <c r="K84" s="15" t="s">
        <v>168</v>
      </c>
      <c r="L84" s="15" t="s">
        <v>261</v>
      </c>
      <c r="M84" s="15"/>
      <c r="N84" s="15"/>
      <c r="O84" s="15"/>
      <c r="P84" s="37" t="n">
        <v>32.25</v>
      </c>
      <c r="Q84" s="37" t="n">
        <v>28.34</v>
      </c>
      <c r="R84" s="47" t="n">
        <f aca="false">INT(B84)</f>
        <v>46013</v>
      </c>
      <c r="S84" s="15" t="n">
        <f aca="false">IF(AND(I84=TRUE(),COUNTIFS($R$5:R84,R84,$I$5:I84,TRUE())=1),1,0)</f>
        <v>0</v>
      </c>
      <c r="T84" s="69" t="n">
        <v>0.4</v>
      </c>
      <c r="U84" s="37" t="n">
        <v>30.5</v>
      </c>
      <c r="V84" s="37" t="n">
        <v>12.6111032</v>
      </c>
      <c r="W84" s="37" t="n">
        <v>3.91</v>
      </c>
      <c r="X84" s="15" t="s">
        <v>100</v>
      </c>
      <c r="Y84" s="47" t="n">
        <v>46013</v>
      </c>
    </row>
    <row r="85" customFormat="false" ht="15" hidden="false" customHeight="false" outlineLevel="0" collapsed="false">
      <c r="A85" s="13" t="n">
        <v>4715306981</v>
      </c>
      <c r="B85" s="74" t="n">
        <v>46014.7542013889</v>
      </c>
      <c r="C85" s="74" t="n">
        <v>46014.9446180556</v>
      </c>
      <c r="D85" s="30" t="n">
        <v>4.57</v>
      </c>
      <c r="E85" s="30" t="n">
        <v>50.118999</v>
      </c>
      <c r="F85" s="30" t="n">
        <v>61.619</v>
      </c>
      <c r="G85" s="13" t="s">
        <v>63</v>
      </c>
      <c r="H85" s="75" t="b">
        <f aca="false">TRUE()</f>
        <v>1</v>
      </c>
      <c r="I85" s="75" t="b">
        <f aca="false">FALSE()</f>
        <v>0</v>
      </c>
      <c r="J85" s="48" t="n">
        <v>0.261223716612995</v>
      </c>
      <c r="K85" s="13" t="s">
        <v>166</v>
      </c>
      <c r="L85" s="13" t="s">
        <v>228</v>
      </c>
      <c r="M85" s="13"/>
      <c r="N85" s="13"/>
      <c r="O85" s="13"/>
      <c r="P85" s="35" t="n">
        <v>39.53</v>
      </c>
      <c r="Q85" s="35" t="n">
        <v>34.5</v>
      </c>
      <c r="R85" s="46" t="n">
        <f aca="false">INT(B85)</f>
        <v>46014</v>
      </c>
      <c r="S85" s="13" t="n">
        <f aca="false">IF(AND(I85=TRUE(),COUNTIFS($R$5:R85,R85,$I$5:I85,TRUE())=1),1,0)</f>
        <v>0</v>
      </c>
      <c r="T85" s="70" t="n">
        <v>0.4</v>
      </c>
      <c r="U85" s="35" t="n">
        <v>38.33</v>
      </c>
      <c r="V85" s="35" t="n">
        <v>20.0475996</v>
      </c>
      <c r="W85" s="35" t="n">
        <v>5.03</v>
      </c>
      <c r="X85" s="13" t="s">
        <v>101</v>
      </c>
      <c r="Y85" s="46" t="n">
        <v>46013</v>
      </c>
    </row>
    <row r="86" customFormat="false" ht="15" hidden="false" customHeight="false" outlineLevel="0" collapsed="false">
      <c r="A86" s="15" t="n">
        <v>4721588251</v>
      </c>
      <c r="B86" s="76" t="n">
        <v>46017.9050694444</v>
      </c>
      <c r="C86" s="76" t="n">
        <v>46017.9057291667</v>
      </c>
      <c r="D86" s="31" t="n">
        <v>0.0158333333333333</v>
      </c>
      <c r="E86" s="31" t="n">
        <v>0</v>
      </c>
      <c r="F86" s="31" t="n">
        <v>0</v>
      </c>
      <c r="G86" s="15" t="s">
        <v>63</v>
      </c>
      <c r="H86" s="77" t="b">
        <f aca="false">FALSE()</f>
        <v>0</v>
      </c>
      <c r="I86" s="77" t="b">
        <f aca="false">FALSE()</f>
        <v>0</v>
      </c>
      <c r="J86" s="78"/>
      <c r="K86" s="15" t="s">
        <v>166</v>
      </c>
      <c r="L86" s="15" t="s">
        <v>222</v>
      </c>
      <c r="M86" s="15"/>
      <c r="N86" s="15"/>
      <c r="O86" s="15"/>
      <c r="P86" s="37"/>
      <c r="Q86" s="37"/>
      <c r="R86" s="47" t="n">
        <f aca="false">INT(B86)</f>
        <v>46017</v>
      </c>
      <c r="S86" s="15" t="n">
        <f aca="false">IF(AND(I86=TRUE(),COUNTIFS($R$5:R86,R86,$I$5:I86,TRUE())=1),1,0)</f>
        <v>0</v>
      </c>
      <c r="T86" s="69"/>
      <c r="U86" s="37"/>
      <c r="V86" s="37"/>
      <c r="W86" s="37"/>
      <c r="X86" s="15" t="s">
        <v>104</v>
      </c>
      <c r="Y86" s="47" t="n">
        <v>46013</v>
      </c>
    </row>
    <row r="87" customFormat="false" ht="15" hidden="false" customHeight="false" outlineLevel="0" collapsed="false">
      <c r="A87" s="13" t="n">
        <v>4721591431</v>
      </c>
      <c r="B87" s="74" t="n">
        <v>46017.9061342593</v>
      </c>
      <c r="C87" s="74" t="n">
        <v>46017.907662037</v>
      </c>
      <c r="D87" s="30" t="n">
        <v>0.0366666666666666</v>
      </c>
      <c r="E87" s="30" t="n">
        <v>0</v>
      </c>
      <c r="F87" s="30" t="n">
        <v>0</v>
      </c>
      <c r="G87" s="13" t="s">
        <v>63</v>
      </c>
      <c r="H87" s="75" t="b">
        <f aca="false">FALSE()</f>
        <v>0</v>
      </c>
      <c r="I87" s="75" t="b">
        <f aca="false">FALSE()</f>
        <v>0</v>
      </c>
      <c r="J87" s="48"/>
      <c r="K87" s="13" t="s">
        <v>166</v>
      </c>
      <c r="L87" s="13" t="s">
        <v>222</v>
      </c>
      <c r="M87" s="13"/>
      <c r="N87" s="13"/>
      <c r="O87" s="13"/>
      <c r="P87" s="35"/>
      <c r="Q87" s="35"/>
      <c r="R87" s="46" t="n">
        <f aca="false">INT(B87)</f>
        <v>46017</v>
      </c>
      <c r="S87" s="13" t="n">
        <f aca="false">IF(AND(I87=TRUE(),COUNTIFS($R$5:R87,R87,$I$5:I87,TRUE())=1),1,0)</f>
        <v>0</v>
      </c>
      <c r="T87" s="70"/>
      <c r="U87" s="35"/>
      <c r="V87" s="35"/>
      <c r="W87" s="35"/>
      <c r="X87" s="13" t="s">
        <v>104</v>
      </c>
      <c r="Y87" s="46" t="n">
        <v>46013</v>
      </c>
    </row>
    <row r="88" customFormat="false" ht="15" hidden="false" customHeight="false" outlineLevel="0" collapsed="false">
      <c r="A88" s="15" t="n">
        <v>4721599241</v>
      </c>
      <c r="B88" s="76" t="n">
        <v>46017.9074189815</v>
      </c>
      <c r="C88" s="76" t="n">
        <v>46017.90875</v>
      </c>
      <c r="D88" s="31" t="n">
        <v>0.0319444444444444</v>
      </c>
      <c r="E88" s="31" t="n">
        <v>0</v>
      </c>
      <c r="F88" s="31" t="n">
        <v>0</v>
      </c>
      <c r="G88" s="15" t="s">
        <v>63</v>
      </c>
      <c r="H88" s="77" t="b">
        <f aca="false">FALSE()</f>
        <v>0</v>
      </c>
      <c r="I88" s="77" t="b">
        <f aca="false">FALSE()</f>
        <v>0</v>
      </c>
      <c r="J88" s="78"/>
      <c r="K88" s="15" t="s">
        <v>168</v>
      </c>
      <c r="L88" s="15" t="s">
        <v>222</v>
      </c>
      <c r="M88" s="15"/>
      <c r="N88" s="15"/>
      <c r="O88" s="15"/>
      <c r="P88" s="37"/>
      <c r="Q88" s="37"/>
      <c r="R88" s="47" t="n">
        <f aca="false">INT(B88)</f>
        <v>46017</v>
      </c>
      <c r="S88" s="15" t="n">
        <f aca="false">IF(AND(I88=TRUE(),COUNTIFS($R$5:R88,R88,$I$5:I88,TRUE())=1),1,0)</f>
        <v>0</v>
      </c>
      <c r="T88" s="69"/>
      <c r="U88" s="37"/>
      <c r="V88" s="37"/>
      <c r="W88" s="37"/>
      <c r="X88" s="15" t="s">
        <v>104</v>
      </c>
      <c r="Y88" s="47" t="n">
        <v>46013</v>
      </c>
    </row>
    <row r="89" customFormat="false" ht="15" hidden="false" customHeight="false" outlineLevel="0" collapsed="false">
      <c r="A89" s="13" t="n">
        <v>4721839241</v>
      </c>
      <c r="B89" s="74" t="n">
        <v>46017.9878125</v>
      </c>
      <c r="C89" s="74" t="n">
        <v>46018.0021527778</v>
      </c>
      <c r="D89" s="30" t="n">
        <v>0.344166666666667</v>
      </c>
      <c r="E89" s="30" t="n">
        <v>19.7619</v>
      </c>
      <c r="F89" s="30" t="n">
        <v>61.931</v>
      </c>
      <c r="G89" s="13" t="s">
        <v>64</v>
      </c>
      <c r="H89" s="75" t="b">
        <f aca="false">TRUE()</f>
        <v>1</v>
      </c>
      <c r="I89" s="75" t="b">
        <f aca="false">TRUE()</f>
        <v>1</v>
      </c>
      <c r="J89" s="48" t="n">
        <v>1</v>
      </c>
      <c r="K89" s="13" t="s">
        <v>166</v>
      </c>
      <c r="L89" s="13" t="s">
        <v>228</v>
      </c>
      <c r="M89" s="13"/>
      <c r="N89" s="13"/>
      <c r="O89" s="13"/>
      <c r="P89" s="35" t="n">
        <v>9.75</v>
      </c>
      <c r="Q89" s="35" t="n">
        <v>8.35</v>
      </c>
      <c r="R89" s="46" t="n">
        <f aca="false">INT(B89)</f>
        <v>46017</v>
      </c>
      <c r="S89" s="13" t="n">
        <f aca="false">IF(AND(I89=TRUE(),COUNTIFS($R$5:R89,R89,$I$5:I89,TRUE())=1),1,0)</f>
        <v>1</v>
      </c>
      <c r="T89" s="70" t="n">
        <v>0.4</v>
      </c>
      <c r="U89" s="35" t="n">
        <v>9.28</v>
      </c>
      <c r="V89" s="35" t="n">
        <v>7.90476</v>
      </c>
      <c r="W89" s="35" t="n">
        <v>1.4</v>
      </c>
      <c r="X89" s="13" t="s">
        <v>104</v>
      </c>
      <c r="Y89" s="46" t="n">
        <v>46013</v>
      </c>
    </row>
    <row r="90" customFormat="false" ht="15" hidden="false" customHeight="false" outlineLevel="0" collapsed="false">
      <c r="A90" s="15" t="n">
        <v>4722921421</v>
      </c>
      <c r="B90" s="76" t="n">
        <v>46018.6693634259</v>
      </c>
      <c r="C90" s="76" t="n">
        <v>46018.7036342593</v>
      </c>
      <c r="D90" s="31" t="n">
        <v>0.8225</v>
      </c>
      <c r="E90" s="31" t="n">
        <v>38.716202</v>
      </c>
      <c r="F90" s="31" t="n">
        <v>53.549</v>
      </c>
      <c r="G90" s="15" t="s">
        <v>62</v>
      </c>
      <c r="H90" s="77" t="b">
        <f aca="false">TRUE()</f>
        <v>1</v>
      </c>
      <c r="I90" s="77" t="b">
        <f aca="false">FALSE()</f>
        <v>0</v>
      </c>
      <c r="J90" s="78" t="n">
        <v>1</v>
      </c>
      <c r="K90" s="15" t="s">
        <v>166</v>
      </c>
      <c r="L90" s="15" t="s">
        <v>222</v>
      </c>
      <c r="M90" s="15" t="s">
        <v>270</v>
      </c>
      <c r="N90" s="15"/>
      <c r="O90" s="15" t="s">
        <v>257</v>
      </c>
      <c r="P90" s="37" t="n">
        <v>19.71</v>
      </c>
      <c r="Q90" s="37" t="n">
        <v>16.9</v>
      </c>
      <c r="R90" s="47" t="n">
        <f aca="false">INT(B90)</f>
        <v>46018</v>
      </c>
      <c r="S90" s="15" t="n">
        <f aca="false">IF(AND(I90=TRUE(),COUNTIFS($R$5:R90,R90,$I$5:I90,TRUE())=1),1,0)</f>
        <v>0</v>
      </c>
      <c r="T90" s="69" t="n">
        <v>0.4</v>
      </c>
      <c r="U90" s="37" t="n">
        <v>18.78</v>
      </c>
      <c r="V90" s="37" t="n">
        <v>15.4864808</v>
      </c>
      <c r="W90" s="37" t="n">
        <v>2.81</v>
      </c>
      <c r="X90" s="15" t="s">
        <v>105</v>
      </c>
      <c r="Y90" s="47" t="n">
        <v>46013</v>
      </c>
    </row>
    <row r="91" customFormat="false" ht="15" hidden="false" customHeight="false" outlineLevel="0" collapsed="false">
      <c r="A91" s="13" t="n">
        <v>4723077581</v>
      </c>
      <c r="B91" s="74" t="n">
        <v>46018.7348263889</v>
      </c>
      <c r="C91" s="74" t="n">
        <v>46018.7896990741</v>
      </c>
      <c r="D91" s="30" t="n">
        <v>1.31694444444444</v>
      </c>
      <c r="E91" s="30" t="n">
        <v>42.318802</v>
      </c>
      <c r="F91" s="30" t="n">
        <v>53.639</v>
      </c>
      <c r="G91" s="13" t="s">
        <v>62</v>
      </c>
      <c r="H91" s="75" t="b">
        <f aca="false">TRUE()</f>
        <v>1</v>
      </c>
      <c r="I91" s="75" t="b">
        <f aca="false">FALSE()</f>
        <v>0</v>
      </c>
      <c r="J91" s="48" t="n">
        <v>1</v>
      </c>
      <c r="K91" s="13" t="s">
        <v>166</v>
      </c>
      <c r="L91" s="13" t="s">
        <v>228</v>
      </c>
      <c r="M91" s="13"/>
      <c r="N91" s="13"/>
      <c r="O91" s="13"/>
      <c r="P91" s="35" t="n">
        <v>23.22</v>
      </c>
      <c r="Q91" s="35" t="n">
        <v>19.98</v>
      </c>
      <c r="R91" s="46" t="n">
        <f aca="false">INT(B91)</f>
        <v>46018</v>
      </c>
      <c r="S91" s="13" t="n">
        <f aca="false">IF(AND(I91=TRUE(),COUNTIFS($R$5:R91,R91,$I$5:I91,TRUE())=1),1,0)</f>
        <v>0</v>
      </c>
      <c r="T91" s="70" t="n">
        <v>0.4</v>
      </c>
      <c r="U91" s="35" t="n">
        <v>22.2</v>
      </c>
      <c r="V91" s="35" t="n">
        <v>16.9275208</v>
      </c>
      <c r="W91" s="35" t="n">
        <v>3.24</v>
      </c>
      <c r="X91" s="13" t="s">
        <v>105</v>
      </c>
      <c r="Y91" s="46" t="n">
        <v>46013</v>
      </c>
    </row>
    <row r="92" customFormat="false" ht="15" hidden="false" customHeight="false" outlineLevel="0" collapsed="false">
      <c r="A92" s="15" t="n">
        <v>4724893031</v>
      </c>
      <c r="B92" s="76" t="n">
        <v>46019.6862037037</v>
      </c>
      <c r="C92" s="76" t="n">
        <v>46019.7177083333</v>
      </c>
      <c r="D92" s="31" t="n">
        <v>0.756111111111111</v>
      </c>
      <c r="E92" s="31" t="n">
        <v>18.436001</v>
      </c>
      <c r="F92" s="31" t="n">
        <v>41.327</v>
      </c>
      <c r="G92" s="15" t="s">
        <v>62</v>
      </c>
      <c r="H92" s="77" t="b">
        <f aca="false">TRUE()</f>
        <v>1</v>
      </c>
      <c r="I92" s="77" t="b">
        <f aca="false">FALSE()</f>
        <v>0</v>
      </c>
      <c r="J92" s="78" t="n">
        <v>1</v>
      </c>
      <c r="K92" s="15" t="s">
        <v>166</v>
      </c>
      <c r="L92" s="15" t="s">
        <v>228</v>
      </c>
      <c r="M92" s="15"/>
      <c r="N92" s="15"/>
      <c r="O92" s="15"/>
      <c r="P92" s="37" t="n">
        <v>10.83</v>
      </c>
      <c r="Q92" s="37" t="n">
        <v>9.35</v>
      </c>
      <c r="R92" s="47" t="n">
        <f aca="false">INT(B92)</f>
        <v>46019</v>
      </c>
      <c r="S92" s="15" t="n">
        <f aca="false">IF(AND(I92=TRUE(),COUNTIFS($R$5:R92,R92,$I$5:I92,TRUE())=1),1,0)</f>
        <v>0</v>
      </c>
      <c r="T92" s="69" t="n">
        <v>0.4</v>
      </c>
      <c r="U92" s="37" t="n">
        <v>10.39</v>
      </c>
      <c r="V92" s="37" t="n">
        <v>7.3744004</v>
      </c>
      <c r="W92" s="37" t="n">
        <v>1.48</v>
      </c>
      <c r="X92" s="15" t="s">
        <v>106</v>
      </c>
      <c r="Y92" s="47" t="n">
        <v>46013</v>
      </c>
    </row>
    <row r="93" customFormat="false" ht="15" hidden="false" customHeight="false" outlineLevel="0" collapsed="false">
      <c r="A93" s="13" t="n">
        <v>4727829791</v>
      </c>
      <c r="B93" s="74" t="n">
        <v>46020.9270717593</v>
      </c>
      <c r="C93" s="74" t="n">
        <v>46020.964849537</v>
      </c>
      <c r="D93" s="30" t="n">
        <v>0.906666666666667</v>
      </c>
      <c r="E93" s="30" t="n">
        <v>30.217699</v>
      </c>
      <c r="F93" s="30" t="n">
        <v>39.055</v>
      </c>
      <c r="G93" s="13" t="s">
        <v>64</v>
      </c>
      <c r="H93" s="75" t="b">
        <f aca="false">TRUE()</f>
        <v>1</v>
      </c>
      <c r="I93" s="75" t="b">
        <f aca="false">TRUE()</f>
        <v>1</v>
      </c>
      <c r="J93" s="48" t="n">
        <v>0.666666666666667</v>
      </c>
      <c r="K93" s="13" t="s">
        <v>166</v>
      </c>
      <c r="L93" s="13" t="s">
        <v>222</v>
      </c>
      <c r="M93" s="13" t="s">
        <v>271</v>
      </c>
      <c r="N93" s="13"/>
      <c r="O93" s="13" t="s">
        <v>254</v>
      </c>
      <c r="P93" s="35" t="n">
        <v>11.89</v>
      </c>
      <c r="Q93" s="35" t="n">
        <v>10.28</v>
      </c>
      <c r="R93" s="46" t="n">
        <f aca="false">INT(B93)</f>
        <v>46020</v>
      </c>
      <c r="S93" s="13" t="n">
        <f aca="false">IF(AND(I93=TRUE(),COUNTIFS($R$5:R93,R93,$I$5:I93,TRUE())=1),1,0)</f>
        <v>1</v>
      </c>
      <c r="T93" s="70" t="n">
        <v>0.4</v>
      </c>
      <c r="U93" s="35" t="n">
        <v>11.42</v>
      </c>
      <c r="V93" s="35" t="n">
        <v>12.0870796</v>
      </c>
      <c r="W93" s="35" t="n">
        <v>1.61</v>
      </c>
      <c r="X93" s="13" t="s">
        <v>100</v>
      </c>
      <c r="Y93" s="46" t="n">
        <v>46020</v>
      </c>
    </row>
    <row r="94" customFormat="false" ht="15" hidden="false" customHeight="false" outlineLevel="0" collapsed="false">
      <c r="A94" s="15" t="n">
        <v>4733856691</v>
      </c>
      <c r="B94" s="76" t="n">
        <v>46023.3826273148</v>
      </c>
      <c r="C94" s="76" t="n">
        <v>46023.3832986111</v>
      </c>
      <c r="D94" s="31" t="n">
        <v>0.0161111111111111</v>
      </c>
      <c r="E94" s="31" t="n">
        <v>0</v>
      </c>
      <c r="F94" s="31" t="n">
        <v>0</v>
      </c>
      <c r="G94" s="15" t="s">
        <v>61</v>
      </c>
      <c r="H94" s="77" t="b">
        <f aca="false">FALSE()</f>
        <v>0</v>
      </c>
      <c r="I94" s="77" t="b">
        <f aca="false">FALSE()</f>
        <v>0</v>
      </c>
      <c r="J94" s="78"/>
      <c r="K94" s="15" t="s">
        <v>166</v>
      </c>
      <c r="L94" s="15" t="s">
        <v>222</v>
      </c>
      <c r="M94" s="15"/>
      <c r="N94" s="15"/>
      <c r="O94" s="15"/>
      <c r="P94" s="37"/>
      <c r="Q94" s="37"/>
      <c r="R94" s="47" t="n">
        <f aca="false">INT(B94)</f>
        <v>46023</v>
      </c>
      <c r="S94" s="15" t="n">
        <f aca="false">IF(AND(I94=TRUE(),COUNTIFS($R$5:R94,R94,$I$5:I94,TRUE())=1),1,0)</f>
        <v>0</v>
      </c>
      <c r="T94" s="69"/>
      <c r="U94" s="37"/>
      <c r="V94" s="37"/>
      <c r="W94" s="37"/>
      <c r="X94" s="15" t="s">
        <v>103</v>
      </c>
      <c r="Y94" s="47" t="n">
        <v>46020</v>
      </c>
    </row>
    <row r="95" customFormat="false" ht="15" hidden="false" customHeight="false" outlineLevel="0" collapsed="false">
      <c r="A95" s="13" t="n">
        <v>4733857311</v>
      </c>
      <c r="B95" s="74" t="n">
        <v>46023.3835763889</v>
      </c>
      <c r="C95" s="74" t="n">
        <v>46023.3945601852</v>
      </c>
      <c r="D95" s="30" t="n">
        <v>0.263611111111111</v>
      </c>
      <c r="E95" s="30" t="n">
        <v>12.3724</v>
      </c>
      <c r="F95" s="30" t="n">
        <v>48.125</v>
      </c>
      <c r="G95" s="13" t="s">
        <v>61</v>
      </c>
      <c r="H95" s="75" t="b">
        <f aca="false">TRUE()</f>
        <v>1</v>
      </c>
      <c r="I95" s="75" t="b">
        <f aca="false">FALSE()</f>
        <v>0</v>
      </c>
      <c r="J95" s="48" t="n">
        <v>1</v>
      </c>
      <c r="K95" s="13" t="s">
        <v>166</v>
      </c>
      <c r="L95" s="13" t="s">
        <v>222</v>
      </c>
      <c r="M95" s="13" t="s">
        <v>272</v>
      </c>
      <c r="N95" s="13" t="s">
        <v>273</v>
      </c>
      <c r="O95" s="13" t="s">
        <v>274</v>
      </c>
      <c r="P95" s="35" t="n">
        <v>6.36</v>
      </c>
      <c r="Q95" s="35" t="n">
        <v>5.4</v>
      </c>
      <c r="R95" s="46" t="n">
        <f aca="false">INT(B95)</f>
        <v>46023</v>
      </c>
      <c r="S95" s="13" t="n">
        <f aca="false">IF(AND(I95=TRUE(),COUNTIFS($R$5:R95,R95,$I$5:I95,TRUE())=1),1,0)</f>
        <v>0</v>
      </c>
      <c r="T95" s="70" t="n">
        <v>0.4</v>
      </c>
      <c r="U95" s="35" t="n">
        <v>6</v>
      </c>
      <c r="V95" s="35" t="n">
        <v>4.94896</v>
      </c>
      <c r="W95" s="35" t="n">
        <v>0.96</v>
      </c>
      <c r="X95" s="13" t="s">
        <v>103</v>
      </c>
      <c r="Y95" s="46" t="n">
        <v>46020</v>
      </c>
    </row>
    <row r="96" customFormat="false" ht="15" hidden="false" customHeight="false" outlineLevel="0" collapsed="false">
      <c r="A96" s="15" t="n">
        <v>4741403081</v>
      </c>
      <c r="B96" s="76" t="n">
        <v>46027.0339351852</v>
      </c>
      <c r="C96" s="76" t="n">
        <v>46027.0437731482</v>
      </c>
      <c r="D96" s="31" t="n">
        <v>0.236111111111111</v>
      </c>
      <c r="E96" s="31" t="n">
        <v>13.1661</v>
      </c>
      <c r="F96" s="31" t="n">
        <v>59.436</v>
      </c>
      <c r="G96" s="15" t="s">
        <v>64</v>
      </c>
      <c r="H96" s="77" t="b">
        <f aca="false">TRUE()</f>
        <v>1</v>
      </c>
      <c r="I96" s="77" t="b">
        <f aca="false">TRUE()</f>
        <v>1</v>
      </c>
      <c r="J96" s="78" t="n">
        <v>1</v>
      </c>
      <c r="K96" s="15" t="s">
        <v>166</v>
      </c>
      <c r="L96" s="15" t="s">
        <v>228</v>
      </c>
      <c r="M96" s="15"/>
      <c r="N96" s="15"/>
      <c r="O96" s="15"/>
      <c r="P96" s="37" t="n">
        <v>6.59</v>
      </c>
      <c r="Q96" s="37" t="n">
        <v>5.59</v>
      </c>
      <c r="R96" s="47" t="n">
        <f aca="false">INT(B96)</f>
        <v>46027</v>
      </c>
      <c r="S96" s="15" t="n">
        <f aca="false">IF(AND(I96=TRUE(),COUNTIFS($R$5:R96,R96,$I$5:I96,TRUE())=1),1,0)</f>
        <v>1</v>
      </c>
      <c r="T96" s="69" t="n">
        <v>0.4</v>
      </c>
      <c r="U96" s="37" t="n">
        <v>6.21</v>
      </c>
      <c r="V96" s="37" t="n">
        <v>5.26644</v>
      </c>
      <c r="W96" s="37" t="n">
        <v>1</v>
      </c>
      <c r="X96" s="15" t="s">
        <v>100</v>
      </c>
      <c r="Y96" s="47" t="n">
        <v>46027</v>
      </c>
    </row>
    <row r="97" customFormat="false" ht="15" hidden="false" customHeight="false" outlineLevel="0" collapsed="false">
      <c r="A97" s="13" t="n">
        <v>4761006811</v>
      </c>
      <c r="B97" s="74" t="n">
        <v>46033.8160648148</v>
      </c>
      <c r="C97" s="74" t="n">
        <v>46033.81625</v>
      </c>
      <c r="D97" s="30" t="n">
        <v>0.0044444444444444</v>
      </c>
      <c r="E97" s="30" t="n">
        <v>0</v>
      </c>
      <c r="F97" s="30" t="n">
        <v>0</v>
      </c>
      <c r="G97" s="13" t="s">
        <v>63</v>
      </c>
      <c r="H97" s="75" t="b">
        <f aca="false">FALSE()</f>
        <v>0</v>
      </c>
      <c r="I97" s="75" t="b">
        <f aca="false">FALSE()</f>
        <v>0</v>
      </c>
      <c r="J97" s="48"/>
      <c r="K97" s="13" t="s">
        <v>166</v>
      </c>
      <c r="L97" s="13" t="s">
        <v>222</v>
      </c>
      <c r="M97" s="13"/>
      <c r="N97" s="13"/>
      <c r="O97" s="13"/>
      <c r="P97" s="35"/>
      <c r="Q97" s="35"/>
      <c r="R97" s="46" t="n">
        <f aca="false">INT(B97)</f>
        <v>46033</v>
      </c>
      <c r="S97" s="13" t="n">
        <f aca="false">IF(AND(I97=TRUE(),COUNTIFS($R$5:R97,R97,$I$5:I97,TRUE())=1),1,0)</f>
        <v>0</v>
      </c>
      <c r="T97" s="70"/>
      <c r="U97" s="35"/>
      <c r="V97" s="35"/>
      <c r="W97" s="35"/>
      <c r="X97" s="13" t="s">
        <v>106</v>
      </c>
      <c r="Y97" s="46" t="n">
        <v>46027</v>
      </c>
    </row>
    <row r="98" customFormat="false" ht="15" hidden="false" customHeight="false" outlineLevel="0" collapsed="false">
      <c r="A98" s="15" t="n">
        <v>4761007781</v>
      </c>
      <c r="B98" s="76" t="n">
        <v>46033.816400463</v>
      </c>
      <c r="C98" s="76" t="n">
        <v>46033.8496990741</v>
      </c>
      <c r="D98" s="31" t="n">
        <v>0.799166666666667</v>
      </c>
      <c r="E98" s="31" t="n">
        <v>40.663502</v>
      </c>
      <c r="F98" s="31" t="n">
        <v>56.472</v>
      </c>
      <c r="G98" s="15" t="s">
        <v>63</v>
      </c>
      <c r="H98" s="77" t="b">
        <f aca="false">TRUE()</f>
        <v>1</v>
      </c>
      <c r="I98" s="77" t="b">
        <f aca="false">FALSE()</f>
        <v>0</v>
      </c>
      <c r="J98" s="78" t="n">
        <v>1</v>
      </c>
      <c r="K98" s="15" t="s">
        <v>166</v>
      </c>
      <c r="L98" s="15" t="s">
        <v>222</v>
      </c>
      <c r="M98" s="15" t="s">
        <v>225</v>
      </c>
      <c r="N98" s="15"/>
      <c r="O98" s="15" t="s">
        <v>224</v>
      </c>
      <c r="P98" s="37" t="n">
        <v>20.64</v>
      </c>
      <c r="Q98" s="37" t="n">
        <v>17.52</v>
      </c>
      <c r="R98" s="47" t="n">
        <f aca="false">INT(B98)</f>
        <v>46033</v>
      </c>
      <c r="S98" s="15" t="n">
        <f aca="false">IF(AND(I98=TRUE(),COUNTIFS($R$5:R98,R98,$I$5:I98,TRUE())=1),1,0)</f>
        <v>0</v>
      </c>
      <c r="T98" s="69" t="n">
        <v>0.4</v>
      </c>
      <c r="U98" s="37" t="n">
        <v>19.47</v>
      </c>
      <c r="V98" s="37" t="n">
        <v>16.2654008</v>
      </c>
      <c r="W98" s="37" t="n">
        <v>3.12</v>
      </c>
      <c r="X98" s="15" t="s">
        <v>106</v>
      </c>
      <c r="Y98" s="47" t="n">
        <v>46027</v>
      </c>
    </row>
    <row r="99" customFormat="false" ht="15" hidden="false" customHeight="false" outlineLevel="0" collapsed="false">
      <c r="A99" s="13" t="n">
        <v>4777307511</v>
      </c>
      <c r="B99" s="74" t="n">
        <v>46038.8567013889</v>
      </c>
      <c r="C99" s="74" t="n">
        <v>46038.8587615741</v>
      </c>
      <c r="D99" s="30" t="n">
        <v>0.0494444444444444</v>
      </c>
      <c r="E99" s="30" t="n">
        <v>2.0061</v>
      </c>
      <c r="F99" s="30" t="n">
        <v>0</v>
      </c>
      <c r="G99" s="13" t="s">
        <v>63</v>
      </c>
      <c r="H99" s="75" t="b">
        <f aca="false">FALSE()</f>
        <v>0</v>
      </c>
      <c r="I99" s="75" t="b">
        <f aca="false">FALSE()</f>
        <v>0</v>
      </c>
      <c r="J99" s="48"/>
      <c r="K99" s="13" t="s">
        <v>166</v>
      </c>
      <c r="L99" s="13" t="s">
        <v>222</v>
      </c>
      <c r="M99" s="13" t="s">
        <v>225</v>
      </c>
      <c r="N99" s="13"/>
      <c r="O99" s="13" t="s">
        <v>224</v>
      </c>
      <c r="P99" s="35" t="n">
        <v>1.06</v>
      </c>
      <c r="Q99" s="35" t="n">
        <v>0.9</v>
      </c>
      <c r="R99" s="46" t="n">
        <f aca="false">INT(B99)</f>
        <v>46038</v>
      </c>
      <c r="S99" s="13" t="n">
        <f aca="false">IF(AND(I99=TRUE(),COUNTIFS($R$5:R99,R99,$I$5:I99,TRUE())=1),1,0)</f>
        <v>0</v>
      </c>
      <c r="T99" s="70" t="n">
        <v>0.4</v>
      </c>
      <c r="U99" s="35" t="n">
        <v>1</v>
      </c>
      <c r="V99" s="35" t="n">
        <v>0.80244</v>
      </c>
      <c r="W99" s="35" t="n">
        <v>0.16</v>
      </c>
      <c r="X99" s="13" t="s">
        <v>104</v>
      </c>
      <c r="Y99" s="46" t="n">
        <v>46034</v>
      </c>
    </row>
    <row r="100" customFormat="false" ht="15" hidden="false" customHeight="false" outlineLevel="0" collapsed="false">
      <c r="A100" s="15" t="n">
        <v>4777318221</v>
      </c>
      <c r="B100" s="76" t="n">
        <v>46038.8590046296</v>
      </c>
      <c r="C100" s="76" t="n">
        <v>46038.8657638889</v>
      </c>
      <c r="D100" s="31" t="n">
        <v>0.162222222222222</v>
      </c>
      <c r="E100" s="31" t="n">
        <v>8.3979</v>
      </c>
      <c r="F100" s="31" t="n">
        <v>54.444</v>
      </c>
      <c r="G100" s="15" t="s">
        <v>63</v>
      </c>
      <c r="H100" s="77" t="b">
        <f aca="false">TRUE()</f>
        <v>1</v>
      </c>
      <c r="I100" s="77" t="b">
        <f aca="false">FALSE()</f>
        <v>0</v>
      </c>
      <c r="J100" s="78" t="n">
        <v>1</v>
      </c>
      <c r="K100" s="15" t="s">
        <v>166</v>
      </c>
      <c r="L100" s="15" t="s">
        <v>222</v>
      </c>
      <c r="M100" s="15" t="s">
        <v>225</v>
      </c>
      <c r="N100" s="15"/>
      <c r="O100" s="15" t="s">
        <v>224</v>
      </c>
      <c r="P100" s="37" t="n">
        <v>4.25</v>
      </c>
      <c r="Q100" s="37" t="n">
        <v>3.61</v>
      </c>
      <c r="R100" s="47" t="n">
        <f aca="false">INT(B100)</f>
        <v>46038</v>
      </c>
      <c r="S100" s="15" t="n">
        <f aca="false">IF(AND(I100=TRUE(),COUNTIFS($R$5:R100,R100,$I$5:I100,TRUE())=1),1,0)</f>
        <v>0</v>
      </c>
      <c r="T100" s="69" t="n">
        <v>0.4</v>
      </c>
      <c r="U100" s="37" t="n">
        <v>4.01</v>
      </c>
      <c r="V100" s="37" t="n">
        <v>3.35916</v>
      </c>
      <c r="W100" s="37" t="n">
        <v>0.64</v>
      </c>
      <c r="X100" s="15" t="s">
        <v>104</v>
      </c>
      <c r="Y100" s="47" t="n">
        <v>46034</v>
      </c>
    </row>
    <row r="101" customFormat="false" ht="15" hidden="false" customHeight="false" outlineLevel="0" collapsed="false">
      <c r="A101" s="13" t="n">
        <v>4779338971</v>
      </c>
      <c r="B101" s="74" t="n">
        <v>46039.6522222222</v>
      </c>
      <c r="C101" s="74" t="n">
        <v>46039.6544097222</v>
      </c>
      <c r="D101" s="30" t="n">
        <v>0.0525</v>
      </c>
      <c r="E101" s="30" t="n">
        <v>0</v>
      </c>
      <c r="F101" s="30" t="n">
        <v>0</v>
      </c>
      <c r="G101" s="13" t="s">
        <v>62</v>
      </c>
      <c r="H101" s="75" t="b">
        <f aca="false">FALSE()</f>
        <v>0</v>
      </c>
      <c r="I101" s="75" t="b">
        <f aca="false">FALSE()</f>
        <v>0</v>
      </c>
      <c r="J101" s="48"/>
      <c r="K101" s="13" t="s">
        <v>166</v>
      </c>
      <c r="L101" s="13" t="s">
        <v>222</v>
      </c>
      <c r="M101" s="13" t="s">
        <v>275</v>
      </c>
      <c r="N101" s="13"/>
      <c r="O101" s="13" t="s">
        <v>224</v>
      </c>
      <c r="P101" s="35" t="n">
        <v>0.22</v>
      </c>
      <c r="Q101" s="35" t="n">
        <v>0.19</v>
      </c>
      <c r="R101" s="46" t="n">
        <f aca="false">INT(B101)</f>
        <v>46039</v>
      </c>
      <c r="S101" s="13" t="n">
        <f aca="false">IF(AND(I101=TRUE(),COUNTIFS($R$5:R101,R101,$I$5:I101,TRUE())=1),1,0)</f>
        <v>0</v>
      </c>
      <c r="T101" s="70" t="n">
        <v>0.4</v>
      </c>
      <c r="U101" s="35" t="n">
        <v>0.21</v>
      </c>
      <c r="V101" s="35" t="n">
        <v>0</v>
      </c>
      <c r="W101" s="35" t="n">
        <v>0.03</v>
      </c>
      <c r="X101" s="13" t="s">
        <v>105</v>
      </c>
      <c r="Y101" s="46" t="n">
        <v>46034</v>
      </c>
    </row>
    <row r="102" customFormat="false" ht="15" hidden="false" customHeight="false" outlineLevel="0" collapsed="false">
      <c r="A102" s="15" t="n">
        <v>4779342671</v>
      </c>
      <c r="B102" s="76" t="n">
        <v>46039.6546064815</v>
      </c>
      <c r="C102" s="76" t="n">
        <v>46039.6575462963</v>
      </c>
      <c r="D102" s="31" t="n">
        <v>0.0705555555555555</v>
      </c>
      <c r="E102" s="31" t="n">
        <v>0</v>
      </c>
      <c r="F102" s="31" t="n">
        <v>0</v>
      </c>
      <c r="G102" s="15" t="s">
        <v>62</v>
      </c>
      <c r="H102" s="77" t="b">
        <f aca="false">FALSE()</f>
        <v>0</v>
      </c>
      <c r="I102" s="77" t="b">
        <f aca="false">FALSE()</f>
        <v>0</v>
      </c>
      <c r="J102" s="78" t="n">
        <v>0</v>
      </c>
      <c r="K102" s="15" t="s">
        <v>166</v>
      </c>
      <c r="L102" s="15" t="s">
        <v>222</v>
      </c>
      <c r="M102" s="15" t="s">
        <v>275</v>
      </c>
      <c r="N102" s="15"/>
      <c r="O102" s="15" t="s">
        <v>224</v>
      </c>
      <c r="P102" s="37" t="n">
        <v>0.3</v>
      </c>
      <c r="Q102" s="37" t="n">
        <v>0.25</v>
      </c>
      <c r="R102" s="47" t="n">
        <f aca="false">INT(B102)</f>
        <v>46039</v>
      </c>
      <c r="S102" s="15" t="n">
        <f aca="false">IF(AND(I102=TRUE(),COUNTIFS($R$5:R102,R102,$I$5:I102,TRUE())=1),1,0)</f>
        <v>0</v>
      </c>
      <c r="T102" s="69" t="n">
        <v>0.4</v>
      </c>
      <c r="U102" s="37" t="n">
        <v>0.28</v>
      </c>
      <c r="V102" s="37" t="n">
        <v>0</v>
      </c>
      <c r="W102" s="37" t="n">
        <v>0.05</v>
      </c>
      <c r="X102" s="15" t="s">
        <v>105</v>
      </c>
      <c r="Y102" s="47" t="n">
        <v>46034</v>
      </c>
    </row>
    <row r="103" customFormat="false" ht="15" hidden="false" customHeight="false" outlineLevel="0" collapsed="false">
      <c r="A103" s="13" t="n">
        <v>4779350151</v>
      </c>
      <c r="B103" s="74" t="n">
        <v>46039.6577662037</v>
      </c>
      <c r="C103" s="74" t="n">
        <v>46039.6587962963</v>
      </c>
      <c r="D103" s="30" t="n">
        <v>0.0247222222222222</v>
      </c>
      <c r="E103" s="30" t="n">
        <v>0</v>
      </c>
      <c r="F103" s="30" t="n">
        <v>0</v>
      </c>
      <c r="G103" s="13" t="s">
        <v>62</v>
      </c>
      <c r="H103" s="75" t="b">
        <f aca="false">FALSE()</f>
        <v>0</v>
      </c>
      <c r="I103" s="75" t="b">
        <f aca="false">FALSE()</f>
        <v>0</v>
      </c>
      <c r="J103" s="48"/>
      <c r="K103" s="13" t="s">
        <v>166</v>
      </c>
      <c r="L103" s="13" t="s">
        <v>222</v>
      </c>
      <c r="M103" s="13"/>
      <c r="N103" s="13"/>
      <c r="O103" s="13"/>
      <c r="P103" s="35"/>
      <c r="Q103" s="35"/>
      <c r="R103" s="46" t="n">
        <f aca="false">INT(B103)</f>
        <v>46039</v>
      </c>
      <c r="S103" s="13" t="n">
        <f aca="false">IF(AND(I103=TRUE(),COUNTIFS($R$5:R103,R103,$I$5:I103,TRUE())=1),1,0)</f>
        <v>0</v>
      </c>
      <c r="T103" s="70"/>
      <c r="U103" s="35"/>
      <c r="V103" s="35"/>
      <c r="W103" s="35"/>
      <c r="X103" s="13" t="s">
        <v>105</v>
      </c>
      <c r="Y103" s="46" t="n">
        <v>46034</v>
      </c>
    </row>
    <row r="104" customFormat="false" ht="15" hidden="false" customHeight="false" outlineLevel="0" collapsed="false">
      <c r="A104" s="15" t="n">
        <v>4779353161</v>
      </c>
      <c r="B104" s="76" t="n">
        <v>46039.6591087963</v>
      </c>
      <c r="C104" s="76" t="n">
        <v>46039.6773263889</v>
      </c>
      <c r="D104" s="31" t="n">
        <v>0.437222222222222</v>
      </c>
      <c r="E104" s="31" t="n">
        <v>21.7241</v>
      </c>
      <c r="F104" s="31" t="n">
        <v>53.549</v>
      </c>
      <c r="G104" s="15" t="s">
        <v>62</v>
      </c>
      <c r="H104" s="77" t="b">
        <f aca="false">TRUE()</f>
        <v>1</v>
      </c>
      <c r="I104" s="77" t="b">
        <f aca="false">FALSE()</f>
        <v>0</v>
      </c>
      <c r="J104" s="78" t="n">
        <v>1</v>
      </c>
      <c r="K104" s="15" t="s">
        <v>166</v>
      </c>
      <c r="L104" s="15" t="s">
        <v>222</v>
      </c>
      <c r="M104" s="15" t="s">
        <v>275</v>
      </c>
      <c r="N104" s="15"/>
      <c r="O104" s="15" t="s">
        <v>224</v>
      </c>
      <c r="P104" s="37" t="n">
        <v>11.07</v>
      </c>
      <c r="Q104" s="37" t="n">
        <v>9.4</v>
      </c>
      <c r="R104" s="47" t="n">
        <f aca="false">INT(B104)</f>
        <v>46039</v>
      </c>
      <c r="S104" s="15" t="n">
        <f aca="false">IF(AND(I104=TRUE(),COUNTIFS($R$5:R104,R104,$I$5:I104,TRUE())=1),1,0)</f>
        <v>0</v>
      </c>
      <c r="T104" s="69" t="n">
        <v>0.4</v>
      </c>
      <c r="U104" s="37" t="n">
        <v>10.44</v>
      </c>
      <c r="V104" s="37" t="n">
        <v>8.68964</v>
      </c>
      <c r="W104" s="37" t="n">
        <v>1.67</v>
      </c>
      <c r="X104" s="15" t="s">
        <v>105</v>
      </c>
      <c r="Y104" s="47" t="n">
        <v>46034</v>
      </c>
    </row>
    <row r="105" customFormat="false" ht="15" hidden="false" customHeight="false" outlineLevel="0" collapsed="false">
      <c r="A105" s="13" t="n">
        <v>4822668641</v>
      </c>
      <c r="B105" s="74" t="n">
        <v>46054.6811574074</v>
      </c>
      <c r="C105" s="74" t="n">
        <v>46054.6818518519</v>
      </c>
      <c r="D105" s="30" t="n">
        <v>0.0166666666666666</v>
      </c>
      <c r="E105" s="30" t="n">
        <v>0</v>
      </c>
      <c r="F105" s="30" t="n">
        <v>0</v>
      </c>
      <c r="G105" s="13" t="s">
        <v>62</v>
      </c>
      <c r="H105" s="75" t="b">
        <f aca="false">FALSE()</f>
        <v>0</v>
      </c>
      <c r="I105" s="75" t="b">
        <f aca="false">FALSE()</f>
        <v>0</v>
      </c>
      <c r="J105" s="48"/>
      <c r="K105" s="13" t="s">
        <v>166</v>
      </c>
      <c r="L105" s="13" t="s">
        <v>222</v>
      </c>
      <c r="M105" s="13"/>
      <c r="N105" s="13"/>
      <c r="O105" s="13"/>
      <c r="P105" s="35"/>
      <c r="Q105" s="35"/>
      <c r="R105" s="46" t="n">
        <f aca="false">INT(B105)</f>
        <v>46054</v>
      </c>
      <c r="S105" s="13" t="n">
        <f aca="false">IF(AND(I105=TRUE(),COUNTIFS($R$5:R105,R105,$I$5:I105,TRUE())=1),1,0)</f>
        <v>0</v>
      </c>
      <c r="T105" s="70"/>
      <c r="U105" s="35"/>
      <c r="V105" s="35"/>
      <c r="W105" s="35"/>
      <c r="X105" s="13" t="s">
        <v>106</v>
      </c>
      <c r="Y105" s="46" t="n">
        <v>46048</v>
      </c>
    </row>
    <row r="106" customFormat="false" ht="15" hidden="false" customHeight="false" outlineLevel="0" collapsed="false">
      <c r="A106" s="15" t="n">
        <v>4822670541</v>
      </c>
      <c r="B106" s="76" t="n">
        <v>46054.6819212963</v>
      </c>
      <c r="C106" s="76" t="n">
        <v>46054.7399421296</v>
      </c>
      <c r="D106" s="31" t="n">
        <v>1.3925</v>
      </c>
      <c r="E106" s="31" t="n">
        <v>73.232498</v>
      </c>
      <c r="F106" s="31" t="n">
        <v>56.939</v>
      </c>
      <c r="G106" s="15" t="s">
        <v>62</v>
      </c>
      <c r="H106" s="77" t="b">
        <f aca="false">TRUE()</f>
        <v>1</v>
      </c>
      <c r="I106" s="77" t="b">
        <f aca="false">FALSE()</f>
        <v>0</v>
      </c>
      <c r="J106" s="78" t="n">
        <v>1</v>
      </c>
      <c r="K106" s="15" t="s">
        <v>166</v>
      </c>
      <c r="L106" s="15" t="s">
        <v>222</v>
      </c>
      <c r="M106" s="15" t="s">
        <v>276</v>
      </c>
      <c r="N106" s="15" t="s">
        <v>277</v>
      </c>
      <c r="O106" s="15" t="s">
        <v>242</v>
      </c>
      <c r="P106" s="37" t="n">
        <v>36.95</v>
      </c>
      <c r="Q106" s="37" t="n">
        <v>31.37</v>
      </c>
      <c r="R106" s="47" t="n">
        <f aca="false">INT(B106)</f>
        <v>46054</v>
      </c>
      <c r="S106" s="15" t="n">
        <f aca="false">IF(AND(I106=TRUE(),COUNTIFS($R$5:R106,R106,$I$5:I106,TRUE())=1),1,0)</f>
        <v>0</v>
      </c>
      <c r="T106" s="69" t="n">
        <v>0.4</v>
      </c>
      <c r="U106" s="37" t="n">
        <v>34.86</v>
      </c>
      <c r="V106" s="37" t="n">
        <v>29.2929992</v>
      </c>
      <c r="W106" s="37" t="n">
        <v>5.58</v>
      </c>
      <c r="X106" s="15" t="s">
        <v>106</v>
      </c>
      <c r="Y106" s="47" t="n">
        <v>46048</v>
      </c>
    </row>
    <row r="107" customFormat="false" ht="15" hidden="false" customHeight="false" outlineLevel="0" collapsed="false">
      <c r="A107" s="13" t="n">
        <v>4825237521</v>
      </c>
      <c r="B107" s="74" t="n">
        <v>46055.6612268519</v>
      </c>
      <c r="C107" s="74" t="n">
        <v>46055.7098263889</v>
      </c>
      <c r="D107" s="30" t="n">
        <v>1.16638888888889</v>
      </c>
      <c r="E107" s="30" t="n">
        <v>50.064899</v>
      </c>
      <c r="F107" s="30" t="n">
        <v>49.444</v>
      </c>
      <c r="G107" s="13" t="s">
        <v>62</v>
      </c>
      <c r="H107" s="75" t="b">
        <f aca="false">TRUE()</f>
        <v>1</v>
      </c>
      <c r="I107" s="75" t="b">
        <f aca="false">FALSE()</f>
        <v>0</v>
      </c>
      <c r="J107" s="48" t="n">
        <v>1</v>
      </c>
      <c r="K107" s="13" t="s">
        <v>166</v>
      </c>
      <c r="L107" s="13" t="s">
        <v>222</v>
      </c>
      <c r="M107" s="13" t="s">
        <v>278</v>
      </c>
      <c r="N107" s="13"/>
      <c r="O107" s="13" t="s">
        <v>279</v>
      </c>
      <c r="P107" s="35" t="n">
        <v>26.18</v>
      </c>
      <c r="Q107" s="35" t="n">
        <v>22.23</v>
      </c>
      <c r="R107" s="46" t="n">
        <f aca="false">INT(B107)</f>
        <v>46055</v>
      </c>
      <c r="S107" s="13" t="n">
        <f aca="false">IF(AND(I107=TRUE(),COUNTIFS($R$5:R107,R107,$I$5:I107,TRUE())=1),1,0)</f>
        <v>0</v>
      </c>
      <c r="T107" s="70" t="n">
        <v>0.4</v>
      </c>
      <c r="U107" s="35" t="n">
        <v>24.7</v>
      </c>
      <c r="V107" s="35" t="n">
        <v>20.0259596</v>
      </c>
      <c r="W107" s="35" t="n">
        <v>3.95</v>
      </c>
      <c r="X107" s="13" t="s">
        <v>100</v>
      </c>
      <c r="Y107" s="46" t="n">
        <v>46055</v>
      </c>
    </row>
    <row r="108" customFormat="false" ht="15" hidden="false" customHeight="false" outlineLevel="0" collapsed="false">
      <c r="A108" s="15" t="n">
        <v>4832197411</v>
      </c>
      <c r="B108" s="76" t="n">
        <v>46057.7197337963</v>
      </c>
      <c r="C108" s="76" t="n">
        <v>46057.7647106482</v>
      </c>
      <c r="D108" s="31" t="n">
        <v>1.07944444444444</v>
      </c>
      <c r="E108" s="31" t="n">
        <v>55.120602</v>
      </c>
      <c r="F108" s="31" t="n">
        <v>60.372</v>
      </c>
      <c r="G108" s="15" t="s">
        <v>62</v>
      </c>
      <c r="H108" s="77" t="b">
        <f aca="false">TRUE()</f>
        <v>1</v>
      </c>
      <c r="I108" s="77" t="b">
        <f aca="false">FALSE()</f>
        <v>0</v>
      </c>
      <c r="J108" s="78" t="n">
        <v>1</v>
      </c>
      <c r="K108" s="15" t="s">
        <v>166</v>
      </c>
      <c r="L108" s="15" t="s">
        <v>222</v>
      </c>
      <c r="M108" s="15" t="s">
        <v>280</v>
      </c>
      <c r="N108" s="15"/>
      <c r="O108" s="15" t="s">
        <v>257</v>
      </c>
      <c r="P108" s="37" t="n">
        <v>27.95</v>
      </c>
      <c r="Q108" s="37" t="n">
        <v>23.73</v>
      </c>
      <c r="R108" s="47" t="n">
        <f aca="false">INT(B108)</f>
        <v>46057</v>
      </c>
      <c r="S108" s="15" t="n">
        <f aca="false">IF(AND(I108=TRUE(),COUNTIFS($R$5:R108,R108,$I$5:I108,TRUE())=1),1,0)</f>
        <v>0</v>
      </c>
      <c r="T108" s="69" t="n">
        <v>0.4</v>
      </c>
      <c r="U108" s="37" t="n">
        <v>26.37</v>
      </c>
      <c r="V108" s="37" t="n">
        <v>22.0482408</v>
      </c>
      <c r="W108" s="37" t="n">
        <v>4.22</v>
      </c>
      <c r="X108" s="15" t="s">
        <v>102</v>
      </c>
      <c r="Y108" s="47" t="n">
        <v>46055</v>
      </c>
    </row>
    <row r="109" customFormat="false" ht="15" hidden="false" customHeight="false" outlineLevel="0" collapsed="false">
      <c r="A109" s="13" t="n">
        <v>4832810371</v>
      </c>
      <c r="B109" s="74" t="n">
        <v>46057.8694791667</v>
      </c>
      <c r="C109" s="74" t="n">
        <v>46057.8938194444</v>
      </c>
      <c r="D109" s="30" t="n">
        <v>0.584166666666667</v>
      </c>
      <c r="E109" s="30" t="n">
        <v>32.118401</v>
      </c>
      <c r="F109" s="30" t="n">
        <v>56.627</v>
      </c>
      <c r="G109" s="13" t="s">
        <v>63</v>
      </c>
      <c r="H109" s="75" t="b">
        <f aca="false">TRUE()</f>
        <v>1</v>
      </c>
      <c r="I109" s="75" t="b">
        <f aca="false">FALSE()</f>
        <v>0</v>
      </c>
      <c r="J109" s="48" t="n">
        <v>1</v>
      </c>
      <c r="K109" s="13" t="s">
        <v>166</v>
      </c>
      <c r="L109" s="13" t="s">
        <v>222</v>
      </c>
      <c r="M109" s="13" t="s">
        <v>268</v>
      </c>
      <c r="N109" s="13"/>
      <c r="O109" s="13" t="s">
        <v>227</v>
      </c>
      <c r="P109" s="35" t="n">
        <v>16.1</v>
      </c>
      <c r="Q109" s="35" t="n">
        <v>13.67</v>
      </c>
      <c r="R109" s="46" t="n">
        <f aca="false">INT(B109)</f>
        <v>46057</v>
      </c>
      <c r="S109" s="13" t="n">
        <f aca="false">IF(AND(I109=TRUE(),COUNTIFS($R$5:R109,R109,$I$5:I109,TRUE())=1),1,0)</f>
        <v>0</v>
      </c>
      <c r="T109" s="70" t="n">
        <v>0.4</v>
      </c>
      <c r="U109" s="35" t="n">
        <v>15.19</v>
      </c>
      <c r="V109" s="35" t="n">
        <v>12.8473604</v>
      </c>
      <c r="W109" s="35" t="n">
        <v>2.43</v>
      </c>
      <c r="X109" s="13" t="s">
        <v>102</v>
      </c>
      <c r="Y109" s="46" t="n">
        <v>46055</v>
      </c>
    </row>
    <row r="110" customFormat="false" ht="15" hidden="false" customHeight="false" outlineLevel="0" collapsed="false">
      <c r="A110" s="15" t="n">
        <v>4833046641</v>
      </c>
      <c r="B110" s="76" t="n">
        <v>46057.9205555556</v>
      </c>
      <c r="C110" s="76" t="n">
        <v>46057.962349537</v>
      </c>
      <c r="D110" s="31" t="n">
        <v>1.00305555555556</v>
      </c>
      <c r="E110" s="31" t="n">
        <v>45.535</v>
      </c>
      <c r="F110" s="31" t="n">
        <v>62.088</v>
      </c>
      <c r="G110" s="15" t="s">
        <v>64</v>
      </c>
      <c r="H110" s="77" t="b">
        <f aca="false">TRUE()</f>
        <v>1</v>
      </c>
      <c r="I110" s="77" t="b">
        <f aca="false">TRUE()</f>
        <v>1</v>
      </c>
      <c r="J110" s="78" t="n">
        <v>1</v>
      </c>
      <c r="K110" s="15" t="s">
        <v>166</v>
      </c>
      <c r="L110" s="15" t="s">
        <v>228</v>
      </c>
      <c r="M110" s="15"/>
      <c r="N110" s="15"/>
      <c r="O110" s="15"/>
      <c r="P110" s="37" t="n">
        <v>23.55</v>
      </c>
      <c r="Q110" s="37" t="n">
        <v>20</v>
      </c>
      <c r="R110" s="47" t="n">
        <f aca="false">INT(B110)</f>
        <v>46057</v>
      </c>
      <c r="S110" s="15" t="n">
        <f aca="false">IF(AND(I110=TRUE(),COUNTIFS($R$5:R110,R110,$I$5:I110,TRUE())=1),1,0)</f>
        <v>1</v>
      </c>
      <c r="T110" s="69" t="n">
        <v>0.4</v>
      </c>
      <c r="U110" s="37" t="n">
        <v>22.22</v>
      </c>
      <c r="V110" s="37" t="n">
        <v>18.214</v>
      </c>
      <c r="W110" s="37" t="n">
        <v>3.55</v>
      </c>
      <c r="X110" s="15" t="s">
        <v>102</v>
      </c>
      <c r="Y110" s="47" t="n">
        <v>46055</v>
      </c>
    </row>
    <row r="111" customFormat="false" ht="15" hidden="false" customHeight="false" outlineLevel="0" collapsed="false">
      <c r="A111" s="13" t="n">
        <v>4842032651</v>
      </c>
      <c r="B111" s="74" t="n">
        <v>46060.8156018519</v>
      </c>
      <c r="C111" s="74" t="n">
        <v>46060.8438541667</v>
      </c>
      <c r="D111" s="30" t="n">
        <v>0.678055555555556</v>
      </c>
      <c r="E111" s="30" t="n">
        <v>37.706402</v>
      </c>
      <c r="F111" s="30" t="n">
        <v>61.152</v>
      </c>
      <c r="G111" s="13" t="s">
        <v>63</v>
      </c>
      <c r="H111" s="75" t="b">
        <f aca="false">TRUE()</f>
        <v>1</v>
      </c>
      <c r="I111" s="75" t="b">
        <f aca="false">FALSE()</f>
        <v>0</v>
      </c>
      <c r="J111" s="48" t="n">
        <v>1</v>
      </c>
      <c r="K111" s="13" t="s">
        <v>166</v>
      </c>
      <c r="L111" s="13" t="s">
        <v>228</v>
      </c>
      <c r="M111" s="13"/>
      <c r="N111" s="13"/>
      <c r="O111" s="13"/>
      <c r="P111" s="35" t="n">
        <v>23.57</v>
      </c>
      <c r="Q111" s="35" t="n">
        <v>20.02</v>
      </c>
      <c r="R111" s="46" t="n">
        <f aca="false">INT(B111)</f>
        <v>46060</v>
      </c>
      <c r="S111" s="13" t="n">
        <f aca="false">IF(AND(I111=TRUE(),COUNTIFS($R$5:R111,R111,$I$5:I111,TRUE())=1),1,0)</f>
        <v>0</v>
      </c>
      <c r="T111" s="70" t="n">
        <v>0.4</v>
      </c>
      <c r="U111" s="35" t="n">
        <v>22.24</v>
      </c>
      <c r="V111" s="35" t="n">
        <v>15.0825608</v>
      </c>
      <c r="W111" s="35" t="n">
        <v>3.55</v>
      </c>
      <c r="X111" s="13" t="s">
        <v>105</v>
      </c>
      <c r="Y111" s="46" t="n">
        <v>46055</v>
      </c>
    </row>
    <row r="112" customFormat="false" ht="15" hidden="false" customHeight="false" outlineLevel="0" collapsed="false">
      <c r="A112" s="15" t="n">
        <v>4843380231</v>
      </c>
      <c r="B112" s="76" t="n">
        <v>46061.2371064815</v>
      </c>
      <c r="C112" s="76" t="n">
        <v>46061.271400463</v>
      </c>
      <c r="D112" s="31" t="n">
        <v>0.823055555555556</v>
      </c>
      <c r="E112" s="31" t="n">
        <v>44.549</v>
      </c>
      <c r="F112" s="31" t="n">
        <v>57.251</v>
      </c>
      <c r="G112" s="15" t="s">
        <v>64</v>
      </c>
      <c r="H112" s="77" t="b">
        <f aca="false">TRUE()</f>
        <v>1</v>
      </c>
      <c r="I112" s="77" t="b">
        <f aca="false">TRUE()</f>
        <v>1</v>
      </c>
      <c r="J112" s="78" t="n">
        <v>1</v>
      </c>
      <c r="K112" s="15" t="s">
        <v>166</v>
      </c>
      <c r="L112" s="15" t="s">
        <v>222</v>
      </c>
      <c r="M112" s="15" t="s">
        <v>281</v>
      </c>
      <c r="N112" s="15" t="s">
        <v>282</v>
      </c>
      <c r="O112" s="15" t="s">
        <v>224</v>
      </c>
      <c r="P112" s="37" t="n">
        <v>27.98</v>
      </c>
      <c r="Q112" s="37" t="n">
        <v>23.75</v>
      </c>
      <c r="R112" s="47" t="n">
        <f aca="false">INT(B112)</f>
        <v>46061</v>
      </c>
      <c r="S112" s="15" t="n">
        <f aca="false">IF(AND(I112=TRUE(),COUNTIFS($R$5:R112,R112,$I$5:I112,TRUE())=1),1,0)</f>
        <v>1</v>
      </c>
      <c r="T112" s="69" t="n">
        <v>0.4</v>
      </c>
      <c r="U112" s="37" t="n">
        <v>26.39</v>
      </c>
      <c r="V112" s="37" t="n">
        <v>17.8196</v>
      </c>
      <c r="W112" s="37" t="n">
        <v>4.23</v>
      </c>
      <c r="X112" s="15" t="s">
        <v>106</v>
      </c>
      <c r="Y112" s="47" t="n">
        <v>46055</v>
      </c>
    </row>
    <row r="113" customFormat="false" ht="15" hidden="false" customHeight="false" outlineLevel="0" collapsed="false">
      <c r="A113" s="13" t="n">
        <v>4844065361</v>
      </c>
      <c r="B113" s="74" t="n">
        <v>46061.7411226852</v>
      </c>
      <c r="C113" s="74" t="n">
        <v>46061.767025463</v>
      </c>
      <c r="D113" s="30" t="n">
        <v>0.621666666666667</v>
      </c>
      <c r="E113" s="30" t="n">
        <v>27.820801</v>
      </c>
      <c r="F113" s="30" t="n">
        <v>48.36</v>
      </c>
      <c r="G113" s="13" t="s">
        <v>62</v>
      </c>
      <c r="H113" s="75" t="b">
        <f aca="false">TRUE()</f>
        <v>1</v>
      </c>
      <c r="I113" s="75" t="b">
        <f aca="false">FALSE()</f>
        <v>0</v>
      </c>
      <c r="J113" s="48" t="n">
        <v>1</v>
      </c>
      <c r="K113" s="13" t="s">
        <v>166</v>
      </c>
      <c r="L113" s="13" t="s">
        <v>261</v>
      </c>
      <c r="M113" s="13"/>
      <c r="N113" s="13"/>
      <c r="O113" s="13"/>
      <c r="P113" s="35" t="n">
        <v>18.04</v>
      </c>
      <c r="Q113" s="35" t="n">
        <v>15.32</v>
      </c>
      <c r="R113" s="46" t="n">
        <f aca="false">INT(B113)</f>
        <v>46061</v>
      </c>
      <c r="S113" s="13" t="n">
        <f aca="false">IF(AND(I113=TRUE(),COUNTIFS($R$5:R113,R113,$I$5:I113,TRUE())=1),1,0)</f>
        <v>0</v>
      </c>
      <c r="T113" s="70" t="n">
        <v>0.4</v>
      </c>
      <c r="U113" s="35" t="n">
        <v>17.02</v>
      </c>
      <c r="V113" s="35" t="n">
        <v>11.1283204</v>
      </c>
      <c r="W113" s="35" t="n">
        <v>2.72</v>
      </c>
      <c r="X113" s="13" t="s">
        <v>106</v>
      </c>
      <c r="Y113" s="46" t="n">
        <v>46055</v>
      </c>
    </row>
    <row r="114" customFormat="false" ht="15" hidden="false" customHeight="false" outlineLevel="0" collapsed="false">
      <c r="A114" s="15" t="n">
        <v>4847266781</v>
      </c>
      <c r="B114" s="76" t="n">
        <v>46062.8550115741</v>
      </c>
      <c r="C114" s="76" t="n">
        <v>46062.9076967593</v>
      </c>
      <c r="D114" s="31" t="n">
        <v>1.26444444444444</v>
      </c>
      <c r="E114" s="31" t="n">
        <v>55.450699</v>
      </c>
      <c r="F114" s="31" t="n">
        <v>62.513</v>
      </c>
      <c r="G114" s="15" t="s">
        <v>63</v>
      </c>
      <c r="H114" s="77" t="b">
        <f aca="false">TRUE()</f>
        <v>1</v>
      </c>
      <c r="I114" s="77" t="b">
        <f aca="false">FALSE()</f>
        <v>0</v>
      </c>
      <c r="J114" s="78" t="n">
        <v>0.796702055568105</v>
      </c>
      <c r="K114" s="15" t="s">
        <v>166</v>
      </c>
      <c r="L114" s="15" t="s">
        <v>222</v>
      </c>
      <c r="M114" s="15" t="s">
        <v>225</v>
      </c>
      <c r="N114" s="15"/>
      <c r="O114" s="15" t="s">
        <v>224</v>
      </c>
      <c r="P114" s="37" t="n">
        <v>36.09</v>
      </c>
      <c r="Q114" s="37" t="n">
        <v>30.65</v>
      </c>
      <c r="R114" s="47" t="n">
        <f aca="false">INT(B114)</f>
        <v>46062</v>
      </c>
      <c r="S114" s="15" t="n">
        <f aca="false">IF(AND(I114=TRUE(),COUNTIFS($R$5:R114,R114,$I$5:I114,TRUE())=1),1,0)</f>
        <v>0</v>
      </c>
      <c r="T114" s="69" t="n">
        <v>0.4</v>
      </c>
      <c r="U114" s="37" t="n">
        <v>34.05</v>
      </c>
      <c r="V114" s="37" t="n">
        <v>22.1802796</v>
      </c>
      <c r="W114" s="37" t="n">
        <v>5.44</v>
      </c>
      <c r="X114" s="15" t="s">
        <v>100</v>
      </c>
      <c r="Y114" s="47" t="n">
        <v>46062</v>
      </c>
    </row>
    <row r="115" customFormat="false" ht="15" hidden="false" customHeight="false" outlineLevel="0" collapsed="false">
      <c r="A115" s="13" t="n">
        <v>4850779931</v>
      </c>
      <c r="B115" s="74" t="n">
        <v>46063.912037037</v>
      </c>
      <c r="C115" s="74" t="n">
        <v>46063.9299537037</v>
      </c>
      <c r="D115" s="30" t="n">
        <v>0.43</v>
      </c>
      <c r="E115" s="30" t="n">
        <v>22.3647</v>
      </c>
      <c r="F115" s="30" t="n">
        <v>54.131</v>
      </c>
      <c r="G115" s="13" t="s">
        <v>63</v>
      </c>
      <c r="H115" s="75" t="b">
        <f aca="false">TRUE()</f>
        <v>1</v>
      </c>
      <c r="I115" s="75" t="b">
        <f aca="false">FALSE()</f>
        <v>0</v>
      </c>
      <c r="J115" s="48" t="n">
        <v>1</v>
      </c>
      <c r="K115" s="13" t="s">
        <v>166</v>
      </c>
      <c r="L115" s="13" t="s">
        <v>222</v>
      </c>
      <c r="M115" s="13" t="s">
        <v>283</v>
      </c>
      <c r="N115" s="13" t="s">
        <v>284</v>
      </c>
      <c r="O115" s="13" t="s">
        <v>227</v>
      </c>
      <c r="P115" s="35" t="n">
        <v>14.13</v>
      </c>
      <c r="Q115" s="35" t="n">
        <v>12</v>
      </c>
      <c r="R115" s="46" t="n">
        <f aca="false">INT(B115)</f>
        <v>46063</v>
      </c>
      <c r="S115" s="13" t="n">
        <f aca="false">IF(AND(I115=TRUE(),COUNTIFS($R$5:R115,R115,$I$5:I115,TRUE())=1),1,0)</f>
        <v>0</v>
      </c>
      <c r="T115" s="70" t="n">
        <v>0.4</v>
      </c>
      <c r="U115" s="35" t="n">
        <v>13.33</v>
      </c>
      <c r="V115" s="35" t="n">
        <v>8.94588</v>
      </c>
      <c r="W115" s="35" t="n">
        <v>2.13</v>
      </c>
      <c r="X115" s="13" t="s">
        <v>101</v>
      </c>
      <c r="Y115" s="46" t="n">
        <v>46062</v>
      </c>
    </row>
    <row r="116" customFormat="false" ht="15" hidden="false" customHeight="false" outlineLevel="0" collapsed="false">
      <c r="A116" s="15" t="n">
        <v>4867334471</v>
      </c>
      <c r="B116" s="76" t="n">
        <v>46069.8103356482</v>
      </c>
      <c r="C116" s="76" t="n">
        <v>46069.907650463</v>
      </c>
      <c r="D116" s="31" t="n">
        <v>2.33555555555556</v>
      </c>
      <c r="E116" s="31" t="n">
        <v>89.408302</v>
      </c>
      <c r="F116" s="31" t="n">
        <v>62.513</v>
      </c>
      <c r="G116" s="15" t="s">
        <v>63</v>
      </c>
      <c r="H116" s="77" t="b">
        <f aca="false">TRUE()</f>
        <v>1</v>
      </c>
      <c r="I116" s="77" t="b">
        <f aca="false">FALSE()</f>
        <v>0</v>
      </c>
      <c r="J116" s="78" t="n">
        <v>0.891396162664414</v>
      </c>
      <c r="K116" s="15" t="s">
        <v>166</v>
      </c>
      <c r="L116" s="15" t="s">
        <v>222</v>
      </c>
      <c r="M116" s="15" t="s">
        <v>225</v>
      </c>
      <c r="N116" s="15"/>
      <c r="O116" s="15" t="s">
        <v>224</v>
      </c>
      <c r="P116" s="37" t="n">
        <v>59.76</v>
      </c>
      <c r="Q116" s="37" t="n">
        <v>50.74</v>
      </c>
      <c r="R116" s="47" t="n">
        <f aca="false">INT(B116)</f>
        <v>46069</v>
      </c>
      <c r="S116" s="15" t="n">
        <f aca="false">IF(AND(I116=TRUE(),COUNTIFS($R$5:R116,R116,$I$5:I116,TRUE())=1),1,0)</f>
        <v>0</v>
      </c>
      <c r="T116" s="69" t="n">
        <v>0.4</v>
      </c>
      <c r="U116" s="37" t="n">
        <v>56.38</v>
      </c>
      <c r="V116" s="37" t="n">
        <v>35.7633208</v>
      </c>
      <c r="W116" s="37" t="n">
        <v>9.02</v>
      </c>
      <c r="X116" s="15" t="s">
        <v>100</v>
      </c>
      <c r="Y116" s="47" t="n">
        <v>46069</v>
      </c>
    </row>
    <row r="117" customFormat="false" ht="15" hidden="false" customHeight="false" outlineLevel="0" collapsed="false">
      <c r="A117" s="13" t="n">
        <v>4875087351</v>
      </c>
      <c r="B117" s="74" t="n">
        <v>46072.2248611111</v>
      </c>
      <c r="C117" s="74" t="n">
        <v>46072.3605787037</v>
      </c>
      <c r="D117" s="30" t="n">
        <v>3.25722222222222</v>
      </c>
      <c r="E117" s="30" t="n">
        <v>14.536746</v>
      </c>
      <c r="F117" s="30" t="n">
        <v>5.592</v>
      </c>
      <c r="G117" s="13" t="s">
        <v>64</v>
      </c>
      <c r="H117" s="75" t="b">
        <f aca="false">FALSE()</f>
        <v>0</v>
      </c>
      <c r="I117" s="75" t="b">
        <f aca="false">TRUE()</f>
        <v>1</v>
      </c>
      <c r="J117" s="48" t="n">
        <v>0</v>
      </c>
      <c r="K117" s="13" t="s">
        <v>168</v>
      </c>
      <c r="L117" s="13" t="s">
        <v>247</v>
      </c>
      <c r="M117" s="13"/>
      <c r="N117" s="13"/>
      <c r="O117" s="13"/>
      <c r="P117" s="35" t="n">
        <v>24.98</v>
      </c>
      <c r="Q117" s="35" t="n">
        <v>21.2</v>
      </c>
      <c r="R117" s="46" t="n">
        <f aca="false">INT(B117)</f>
        <v>46072</v>
      </c>
      <c r="S117" s="13" t="n">
        <f aca="false">IF(AND(I117=TRUE(),COUNTIFS($R$5:R117,R117,$I$5:I117,TRUE())=1),1,0)</f>
        <v>1</v>
      </c>
      <c r="T117" s="70" t="n">
        <v>0.4</v>
      </c>
      <c r="U117" s="35" t="n">
        <v>23.56</v>
      </c>
      <c r="V117" s="35" t="n">
        <v>5.8146984</v>
      </c>
      <c r="W117" s="35" t="n">
        <v>3.78</v>
      </c>
      <c r="X117" s="13" t="s">
        <v>103</v>
      </c>
      <c r="Y117" s="46" t="n">
        <v>46069</v>
      </c>
    </row>
    <row r="118" customFormat="false" ht="15" hidden="false" customHeight="false" outlineLevel="0" collapsed="false">
      <c r="A118" s="15" t="n">
        <v>4876786981</v>
      </c>
      <c r="B118" s="76" t="n">
        <v>46072.8464930556</v>
      </c>
      <c r="C118" s="76" t="n">
        <v>46072.8706134259</v>
      </c>
      <c r="D118" s="31" t="n">
        <v>0.578888888888889</v>
      </c>
      <c r="E118" s="31" t="n">
        <v>31.8365</v>
      </c>
      <c r="F118" s="31" t="n">
        <v>57.096</v>
      </c>
      <c r="G118" s="15" t="s">
        <v>63</v>
      </c>
      <c r="H118" s="77" t="b">
        <f aca="false">TRUE()</f>
        <v>1</v>
      </c>
      <c r="I118" s="77" t="b">
        <f aca="false">FALSE()</f>
        <v>0</v>
      </c>
      <c r="J118" s="78" t="n">
        <v>1</v>
      </c>
      <c r="K118" s="15" t="s">
        <v>166</v>
      </c>
      <c r="L118" s="15" t="s">
        <v>222</v>
      </c>
      <c r="M118" s="15" t="s">
        <v>285</v>
      </c>
      <c r="N118" s="15"/>
      <c r="O118" s="15" t="s">
        <v>224</v>
      </c>
      <c r="P118" s="37" t="n">
        <v>19.94</v>
      </c>
      <c r="Q118" s="37" t="n">
        <v>16.93</v>
      </c>
      <c r="R118" s="47" t="n">
        <f aca="false">INT(B118)</f>
        <v>46072</v>
      </c>
      <c r="S118" s="15" t="n">
        <f aca="false">IF(AND(I118=TRUE(),COUNTIFS($R$5:R118,R118,$I$5:I118,TRUE())=1),1,0)</f>
        <v>0</v>
      </c>
      <c r="T118" s="69" t="n">
        <v>0.4</v>
      </c>
      <c r="U118" s="37" t="n">
        <v>18.81</v>
      </c>
      <c r="V118" s="37" t="n">
        <v>12.7346</v>
      </c>
      <c r="W118" s="37" t="n">
        <v>3.01</v>
      </c>
      <c r="X118" s="15" t="s">
        <v>103</v>
      </c>
      <c r="Y118" s="47" t="n">
        <v>46069</v>
      </c>
    </row>
    <row r="119" customFormat="false" ht="15" hidden="false" customHeight="false" outlineLevel="0" collapsed="false">
      <c r="A119" s="13" t="n">
        <v>4883142921</v>
      </c>
      <c r="B119" s="74" t="n">
        <v>46075.0016666667</v>
      </c>
      <c r="C119" s="74" t="n">
        <v>46075.0022106482</v>
      </c>
      <c r="D119" s="30" t="n">
        <v>0.0130555555555555</v>
      </c>
      <c r="E119" s="30" t="n">
        <v>0</v>
      </c>
      <c r="F119" s="30" t="n">
        <v>0</v>
      </c>
      <c r="G119" s="13" t="s">
        <v>64</v>
      </c>
      <c r="H119" s="75" t="b">
        <f aca="false">FALSE()</f>
        <v>0</v>
      </c>
      <c r="I119" s="75" t="b">
        <f aca="false">TRUE()</f>
        <v>1</v>
      </c>
      <c r="J119" s="48"/>
      <c r="K119" s="13" t="s">
        <v>166</v>
      </c>
      <c r="L119" s="13" t="s">
        <v>222</v>
      </c>
      <c r="M119" s="13"/>
      <c r="N119" s="13"/>
      <c r="O119" s="13"/>
      <c r="P119" s="35"/>
      <c r="Q119" s="35"/>
      <c r="R119" s="46" t="n">
        <f aca="false">INT(B119)</f>
        <v>46075</v>
      </c>
      <c r="S119" s="13" t="n">
        <f aca="false">IF(AND(I119=TRUE(),COUNTIFS($R$5:R119,R119,$I$5:I119,TRUE())=1),1,0)</f>
        <v>1</v>
      </c>
      <c r="T119" s="70"/>
      <c r="U119" s="35"/>
      <c r="V119" s="35"/>
      <c r="W119" s="35"/>
      <c r="X119" s="13" t="s">
        <v>106</v>
      </c>
      <c r="Y119" s="46" t="n">
        <v>46069</v>
      </c>
    </row>
    <row r="120" customFormat="false" ht="15" hidden="false" customHeight="false" outlineLevel="0" collapsed="false">
      <c r="A120" s="15" t="n">
        <v>4883146261</v>
      </c>
      <c r="B120" s="76" t="n">
        <v>46075.0025115741</v>
      </c>
      <c r="C120" s="76" t="n">
        <v>46075.0152430556</v>
      </c>
      <c r="D120" s="31" t="n">
        <v>0.305555555555556</v>
      </c>
      <c r="E120" s="31" t="n">
        <v>17.5867</v>
      </c>
      <c r="F120" s="31" t="n">
        <v>60.84</v>
      </c>
      <c r="G120" s="15" t="s">
        <v>64</v>
      </c>
      <c r="H120" s="77" t="b">
        <f aca="false">TRUE()</f>
        <v>1</v>
      </c>
      <c r="I120" s="77" t="b">
        <f aca="false">TRUE()</f>
        <v>1</v>
      </c>
      <c r="J120" s="78" t="n">
        <v>1</v>
      </c>
      <c r="K120" s="15" t="s">
        <v>166</v>
      </c>
      <c r="L120" s="15" t="s">
        <v>222</v>
      </c>
      <c r="M120" s="15" t="s">
        <v>225</v>
      </c>
      <c r="N120" s="15"/>
      <c r="O120" s="15" t="s">
        <v>224</v>
      </c>
      <c r="P120" s="37" t="n">
        <v>10.94</v>
      </c>
      <c r="Q120" s="37" t="n">
        <v>9.29</v>
      </c>
      <c r="R120" s="47" t="n">
        <f aca="false">INT(B120)</f>
        <v>46075</v>
      </c>
      <c r="S120" s="15" t="n">
        <f aca="false">IF(AND(I120=TRUE(),COUNTIFS($R$5:R120,R120,$I$5:I120,TRUE())=1),1,0)</f>
        <v>0</v>
      </c>
      <c r="T120" s="69" t="n">
        <v>0.4</v>
      </c>
      <c r="U120" s="37" t="n">
        <v>10.32</v>
      </c>
      <c r="V120" s="37" t="n">
        <v>7.03468</v>
      </c>
      <c r="W120" s="37" t="n">
        <v>1.65</v>
      </c>
      <c r="X120" s="15" t="s">
        <v>106</v>
      </c>
      <c r="Y120" s="47" t="n">
        <v>46069</v>
      </c>
    </row>
    <row r="121" customFormat="false" ht="15" hidden="false" customHeight="false" outlineLevel="0" collapsed="false">
      <c r="A121" s="13" t="n">
        <v>4884695201</v>
      </c>
      <c r="B121" s="74" t="n">
        <v>46075.7905902778</v>
      </c>
      <c r="C121" s="74" t="n">
        <v>46075.7919328704</v>
      </c>
      <c r="D121" s="30" t="n">
        <v>0.0322222222222222</v>
      </c>
      <c r="E121" s="30" t="n">
        <v>0</v>
      </c>
      <c r="F121" s="30" t="n">
        <v>0</v>
      </c>
      <c r="G121" s="13" t="s">
        <v>63</v>
      </c>
      <c r="H121" s="75" t="b">
        <f aca="false">FALSE()</f>
        <v>0</v>
      </c>
      <c r="I121" s="75" t="b">
        <f aca="false">FALSE()</f>
        <v>0</v>
      </c>
      <c r="J121" s="48" t="n">
        <v>0</v>
      </c>
      <c r="K121" s="13" t="s">
        <v>166</v>
      </c>
      <c r="L121" s="13" t="s">
        <v>228</v>
      </c>
      <c r="M121" s="13"/>
      <c r="N121" s="13"/>
      <c r="O121" s="13"/>
      <c r="P121" s="35"/>
      <c r="Q121" s="35"/>
      <c r="R121" s="46" t="n">
        <f aca="false">INT(B121)</f>
        <v>46075</v>
      </c>
      <c r="S121" s="13" t="n">
        <f aca="false">IF(AND(I121=TRUE(),COUNTIFS($R$5:R121,R121,$I$5:I121,TRUE())=1),1,0)</f>
        <v>0</v>
      </c>
      <c r="T121" s="70"/>
      <c r="U121" s="35"/>
      <c r="V121" s="35"/>
      <c r="W121" s="35"/>
      <c r="X121" s="13" t="s">
        <v>106</v>
      </c>
      <c r="Y121" s="46" t="n">
        <v>46069</v>
      </c>
    </row>
    <row r="122" customFormat="false" ht="15" hidden="false" customHeight="false" outlineLevel="0" collapsed="false">
      <c r="A122" s="15" t="n">
        <v>4884702511</v>
      </c>
      <c r="B122" s="76" t="n">
        <v>46075.7925347222</v>
      </c>
      <c r="C122" s="76" t="n">
        <v>46075.8020138889</v>
      </c>
      <c r="D122" s="31" t="n">
        <v>0.2275</v>
      </c>
      <c r="E122" s="31" t="n">
        <v>11.6388</v>
      </c>
      <c r="F122" s="31" t="n">
        <v>0</v>
      </c>
      <c r="G122" s="15" t="s">
        <v>63</v>
      </c>
      <c r="H122" s="77" t="b">
        <f aca="false">FALSE()</f>
        <v>0</v>
      </c>
      <c r="I122" s="77" t="b">
        <f aca="false">FALSE()</f>
        <v>0</v>
      </c>
      <c r="J122" s="78"/>
      <c r="K122" s="15" t="s">
        <v>166</v>
      </c>
      <c r="L122" s="15" t="s">
        <v>228</v>
      </c>
      <c r="M122" s="15"/>
      <c r="N122" s="15"/>
      <c r="O122" s="15"/>
      <c r="P122" s="37" t="n">
        <v>7.38</v>
      </c>
      <c r="Q122" s="37" t="n">
        <v>6.26</v>
      </c>
      <c r="R122" s="47" t="n">
        <f aca="false">INT(B122)</f>
        <v>46075</v>
      </c>
      <c r="S122" s="15" t="n">
        <f aca="false">IF(AND(I122=TRUE(),COUNTIFS($R$5:R122,R122,$I$5:I122,TRUE())=1),1,0)</f>
        <v>0</v>
      </c>
      <c r="T122" s="69" t="n">
        <v>0.4</v>
      </c>
      <c r="U122" s="37" t="n">
        <v>6.96</v>
      </c>
      <c r="V122" s="37" t="n">
        <v>4.65552</v>
      </c>
      <c r="W122" s="37" t="n">
        <v>1.12</v>
      </c>
      <c r="X122" s="15" t="s">
        <v>106</v>
      </c>
      <c r="Y122" s="47" t="n">
        <v>46069</v>
      </c>
    </row>
    <row r="123" customFormat="false" ht="15" hidden="false" customHeight="false" outlineLevel="0" collapsed="false">
      <c r="A123" s="13" t="n">
        <v>4886409211</v>
      </c>
      <c r="B123" s="74" t="n">
        <v>46076.5662615741</v>
      </c>
      <c r="C123" s="74" t="n">
        <v>46076.6148958333</v>
      </c>
      <c r="D123" s="30" t="n">
        <v>1.16722222222222</v>
      </c>
      <c r="E123" s="30" t="n">
        <v>8.101705</v>
      </c>
      <c r="F123" s="30" t="n">
        <v>7.2196</v>
      </c>
      <c r="G123" s="13" t="s">
        <v>62</v>
      </c>
      <c r="H123" s="75" t="b">
        <f aca="false">FALSE()</f>
        <v>0</v>
      </c>
      <c r="I123" s="75" t="b">
        <f aca="false">FALSE()</f>
        <v>0</v>
      </c>
      <c r="J123" s="48" t="n">
        <v>0</v>
      </c>
      <c r="K123" s="13" t="s">
        <v>168</v>
      </c>
      <c r="L123" s="13" t="s">
        <v>222</v>
      </c>
      <c r="M123" s="13" t="s">
        <v>286</v>
      </c>
      <c r="N123" s="13"/>
      <c r="O123" s="13" t="s">
        <v>227</v>
      </c>
      <c r="P123" s="35" t="n">
        <v>10.48</v>
      </c>
      <c r="Q123" s="35" t="n">
        <v>8.9</v>
      </c>
      <c r="R123" s="46" t="n">
        <f aca="false">INT(B123)</f>
        <v>46076</v>
      </c>
      <c r="S123" s="13" t="n">
        <f aca="false">IF(AND(I123=TRUE(),COUNTIFS($R$5:R123,R123,$I$5:I123,TRUE())=1),1,0)</f>
        <v>0</v>
      </c>
      <c r="T123" s="70" t="n">
        <v>0.4</v>
      </c>
      <c r="U123" s="35" t="n">
        <v>9.89</v>
      </c>
      <c r="V123" s="35" t="n">
        <v>3.240682</v>
      </c>
      <c r="W123" s="35" t="n">
        <v>1.58</v>
      </c>
      <c r="X123" s="13" t="s">
        <v>100</v>
      </c>
      <c r="Y123" s="46" t="n">
        <v>46076</v>
      </c>
    </row>
    <row r="124" customFormat="false" ht="15" hidden="false" customHeight="false" outlineLevel="0" collapsed="false">
      <c r="A124" s="15" t="n">
        <v>4888019241</v>
      </c>
      <c r="B124" s="76" t="n">
        <v>46076.9835069445</v>
      </c>
      <c r="C124" s="76" t="n">
        <v>46076.9933449074</v>
      </c>
      <c r="D124" s="31" t="n">
        <v>0.236111111111111</v>
      </c>
      <c r="E124" s="31" t="n">
        <v>11.6894</v>
      </c>
      <c r="F124" s="31" t="n">
        <v>55.38</v>
      </c>
      <c r="G124" s="15" t="s">
        <v>64</v>
      </c>
      <c r="H124" s="77" t="b">
        <f aca="false">TRUE()</f>
        <v>1</v>
      </c>
      <c r="I124" s="77" t="b">
        <f aca="false">TRUE()</f>
        <v>1</v>
      </c>
      <c r="J124" s="78" t="n">
        <v>1</v>
      </c>
      <c r="K124" s="15" t="s">
        <v>166</v>
      </c>
      <c r="L124" s="15" t="s">
        <v>222</v>
      </c>
      <c r="M124" s="15" t="s">
        <v>287</v>
      </c>
      <c r="N124" s="15" t="s">
        <v>282</v>
      </c>
      <c r="O124" s="15" t="s">
        <v>224</v>
      </c>
      <c r="P124" s="37" t="n">
        <v>7.44</v>
      </c>
      <c r="Q124" s="37" t="n">
        <v>6.32</v>
      </c>
      <c r="R124" s="47" t="n">
        <f aca="false">INT(B124)</f>
        <v>46076</v>
      </c>
      <c r="S124" s="15" t="n">
        <f aca="false">IF(AND(I124=TRUE(),COUNTIFS($R$5:R124,R124,$I$5:I124,TRUE())=1),1,0)</f>
        <v>1</v>
      </c>
      <c r="T124" s="69" t="n">
        <v>0.4</v>
      </c>
      <c r="U124" s="37" t="n">
        <v>7.02</v>
      </c>
      <c r="V124" s="37" t="n">
        <v>4.67576</v>
      </c>
      <c r="W124" s="37" t="n">
        <v>1.12</v>
      </c>
      <c r="X124" s="15" t="s">
        <v>100</v>
      </c>
      <c r="Y124" s="47" t="n">
        <v>46076</v>
      </c>
    </row>
    <row r="125" customFormat="false" ht="15" hidden="false" customHeight="false" outlineLevel="0" collapsed="false">
      <c r="A125" s="13" t="n">
        <v>4889971981</v>
      </c>
      <c r="B125" s="74" t="n">
        <v>46077.7149537037</v>
      </c>
      <c r="C125" s="74" t="n">
        <v>46077.7279050926</v>
      </c>
      <c r="D125" s="30" t="n">
        <v>0.310833333333333</v>
      </c>
      <c r="E125" s="30" t="n">
        <v>16.996799</v>
      </c>
      <c r="F125" s="30" t="n">
        <v>56.884</v>
      </c>
      <c r="G125" s="13" t="s">
        <v>62</v>
      </c>
      <c r="H125" s="75" t="b">
        <f aca="false">TRUE()</f>
        <v>1</v>
      </c>
      <c r="I125" s="75" t="b">
        <f aca="false">FALSE()</f>
        <v>0</v>
      </c>
      <c r="J125" s="48" t="n">
        <v>1</v>
      </c>
      <c r="K125" s="13" t="s">
        <v>166</v>
      </c>
      <c r="L125" s="13" t="s">
        <v>222</v>
      </c>
      <c r="M125" s="13" t="s">
        <v>288</v>
      </c>
      <c r="N125" s="13" t="s">
        <v>289</v>
      </c>
      <c r="O125" s="13" t="s">
        <v>224</v>
      </c>
      <c r="P125" s="35" t="n">
        <v>10.65</v>
      </c>
      <c r="Q125" s="35" t="n">
        <v>9.05</v>
      </c>
      <c r="R125" s="46" t="n">
        <f aca="false">INT(B125)</f>
        <v>46077</v>
      </c>
      <c r="S125" s="13" t="n">
        <f aca="false">IF(AND(I125=TRUE(),COUNTIFS($R$5:R125,R125,$I$5:I125,TRUE())=1),1,0)</f>
        <v>0</v>
      </c>
      <c r="T125" s="70" t="n">
        <v>0.4</v>
      </c>
      <c r="U125" s="35" t="n">
        <v>10.05</v>
      </c>
      <c r="V125" s="35" t="n">
        <v>6.7987196</v>
      </c>
      <c r="W125" s="35" t="n">
        <v>1.6</v>
      </c>
      <c r="X125" s="13" t="s">
        <v>101</v>
      </c>
      <c r="Y125" s="46" t="n">
        <v>46076</v>
      </c>
    </row>
    <row r="126" customFormat="false" ht="15" hidden="false" customHeight="false" outlineLevel="0" collapsed="false">
      <c r="A126" s="15" t="n">
        <v>4890382581</v>
      </c>
      <c r="B126" s="76" t="n">
        <v>46077.8233912037</v>
      </c>
      <c r="C126" s="76" t="n">
        <v>46077.8582175926</v>
      </c>
      <c r="D126" s="31" t="n">
        <v>0.835833333333333</v>
      </c>
      <c r="E126" s="31" t="n">
        <v>45.560398</v>
      </c>
      <c r="F126" s="31" t="n">
        <v>62.513</v>
      </c>
      <c r="G126" s="15" t="s">
        <v>63</v>
      </c>
      <c r="H126" s="77" t="b">
        <f aca="false">TRUE()</f>
        <v>1</v>
      </c>
      <c r="I126" s="77" t="b">
        <f aca="false">FALSE()</f>
        <v>0</v>
      </c>
      <c r="J126" s="78" t="n">
        <v>1</v>
      </c>
      <c r="K126" s="15" t="s">
        <v>166</v>
      </c>
      <c r="L126" s="15" t="s">
        <v>222</v>
      </c>
      <c r="M126" s="15" t="s">
        <v>225</v>
      </c>
      <c r="N126" s="15"/>
      <c r="O126" s="15" t="s">
        <v>224</v>
      </c>
      <c r="P126" s="37" t="n">
        <v>28.58</v>
      </c>
      <c r="Q126" s="37" t="n">
        <v>24.26</v>
      </c>
      <c r="R126" s="47" t="n">
        <f aca="false">INT(B126)</f>
        <v>46077</v>
      </c>
      <c r="S126" s="15" t="n">
        <f aca="false">IF(AND(I126=TRUE(),COUNTIFS($R$5:R126,R126,$I$5:I126,TRUE())=1),1,0)</f>
        <v>0</v>
      </c>
      <c r="T126" s="69" t="n">
        <v>0.4</v>
      </c>
      <c r="U126" s="37" t="n">
        <v>26.96</v>
      </c>
      <c r="V126" s="37" t="n">
        <v>18.2241592</v>
      </c>
      <c r="W126" s="37" t="n">
        <v>4.32</v>
      </c>
      <c r="X126" s="15" t="s">
        <v>101</v>
      </c>
      <c r="Y126" s="47" t="n">
        <v>46076</v>
      </c>
    </row>
    <row r="127" customFormat="false" ht="15" hidden="false" customHeight="false" outlineLevel="0" collapsed="false">
      <c r="A127" s="13" t="n">
        <v>4900441001</v>
      </c>
      <c r="B127" s="74" t="n">
        <v>46080.9108912037</v>
      </c>
      <c r="C127" s="74" t="n">
        <v>46080.9122337963</v>
      </c>
      <c r="D127" s="30" t="n">
        <v>0.0322222222222222</v>
      </c>
      <c r="E127" s="30" t="n">
        <v>0</v>
      </c>
      <c r="F127" s="30" t="n">
        <v>0</v>
      </c>
      <c r="G127" s="13" t="s">
        <v>63</v>
      </c>
      <c r="H127" s="75" t="b">
        <f aca="false">FALSE()</f>
        <v>0</v>
      </c>
      <c r="I127" s="75" t="b">
        <f aca="false">FALSE()</f>
        <v>0</v>
      </c>
      <c r="J127" s="48"/>
      <c r="K127" s="13" t="s">
        <v>168</v>
      </c>
      <c r="L127" s="13" t="s">
        <v>222</v>
      </c>
      <c r="M127" s="13"/>
      <c r="N127" s="13"/>
      <c r="O127" s="13"/>
      <c r="P127" s="35"/>
      <c r="Q127" s="35"/>
      <c r="R127" s="46" t="n">
        <f aca="false">INT(B127)</f>
        <v>46080</v>
      </c>
      <c r="S127" s="13" t="n">
        <f aca="false">IF(AND(I127=TRUE(),COUNTIFS($R$5:R127,R127,$I$5:I127,TRUE())=1),1,0)</f>
        <v>0</v>
      </c>
      <c r="T127" s="70"/>
      <c r="U127" s="35"/>
      <c r="V127" s="35"/>
      <c r="W127" s="35"/>
      <c r="X127" s="13" t="s">
        <v>104</v>
      </c>
      <c r="Y127" s="46" t="n">
        <v>46076</v>
      </c>
    </row>
    <row r="128" customFormat="false" ht="15" hidden="false" customHeight="false" outlineLevel="0" collapsed="false">
      <c r="A128" s="15" t="n">
        <v>4900439591</v>
      </c>
      <c r="B128" s="76" t="n">
        <v>46080.9119444444</v>
      </c>
      <c r="C128" s="76" t="n">
        <v>46080.9237268519</v>
      </c>
      <c r="D128" s="31" t="n">
        <v>0.282777777777778</v>
      </c>
      <c r="E128" s="31" t="n">
        <v>14.9908</v>
      </c>
      <c r="F128" s="31" t="n">
        <v>55.223</v>
      </c>
      <c r="G128" s="15" t="s">
        <v>63</v>
      </c>
      <c r="H128" s="77" t="b">
        <f aca="false">TRUE()</f>
        <v>1</v>
      </c>
      <c r="I128" s="77" t="b">
        <f aca="false">FALSE()</f>
        <v>0</v>
      </c>
      <c r="J128" s="78" t="n">
        <v>1</v>
      </c>
      <c r="K128" s="15" t="s">
        <v>166</v>
      </c>
      <c r="L128" s="15" t="s">
        <v>222</v>
      </c>
      <c r="M128" s="15" t="s">
        <v>268</v>
      </c>
      <c r="N128" s="15"/>
      <c r="O128" s="15" t="s">
        <v>227</v>
      </c>
      <c r="P128" s="37" t="n">
        <v>9.44</v>
      </c>
      <c r="Q128" s="37" t="n">
        <v>8.02</v>
      </c>
      <c r="R128" s="47" t="n">
        <f aca="false">INT(B128)</f>
        <v>46080</v>
      </c>
      <c r="S128" s="15" t="n">
        <f aca="false">IF(AND(I128=TRUE(),COUNTIFS($R$5:R128,R128,$I$5:I128,TRUE())=1),1,0)</f>
        <v>0</v>
      </c>
      <c r="T128" s="69" t="n">
        <v>0.4</v>
      </c>
      <c r="U128" s="37" t="n">
        <v>8.91</v>
      </c>
      <c r="V128" s="37" t="n">
        <v>5.99632</v>
      </c>
      <c r="W128" s="37" t="n">
        <v>1.42</v>
      </c>
      <c r="X128" s="15" t="s">
        <v>104</v>
      </c>
      <c r="Y128" s="47" t="n">
        <v>46076</v>
      </c>
    </row>
    <row r="129" customFormat="false" ht="15" hidden="false" customHeight="false" outlineLevel="0" collapsed="false">
      <c r="A129" s="13" t="n">
        <v>4900744161</v>
      </c>
      <c r="B129" s="74" t="n">
        <v>46080.9819560185</v>
      </c>
      <c r="C129" s="74" t="n">
        <v>46081.0315740741</v>
      </c>
      <c r="D129" s="30" t="n">
        <v>1.19083333333333</v>
      </c>
      <c r="E129" s="30" t="n">
        <v>62.445</v>
      </c>
      <c r="F129" s="30" t="n">
        <v>62.576</v>
      </c>
      <c r="G129" s="13" t="s">
        <v>64</v>
      </c>
      <c r="H129" s="75" t="b">
        <f aca="false">TRUE()</f>
        <v>1</v>
      </c>
      <c r="I129" s="75" t="b">
        <f aca="false">TRUE()</f>
        <v>1</v>
      </c>
      <c r="J129" s="48" t="n">
        <v>1</v>
      </c>
      <c r="K129" s="13" t="s">
        <v>166</v>
      </c>
      <c r="L129" s="13" t="s">
        <v>222</v>
      </c>
      <c r="M129" s="13" t="s">
        <v>281</v>
      </c>
      <c r="N129" s="13" t="s">
        <v>282</v>
      </c>
      <c r="O129" s="13" t="s">
        <v>224</v>
      </c>
      <c r="P129" s="35" t="n">
        <v>39.4</v>
      </c>
      <c r="Q129" s="35" t="n">
        <v>33.45</v>
      </c>
      <c r="R129" s="46" t="n">
        <f aca="false">INT(B129)</f>
        <v>46080</v>
      </c>
      <c r="S129" s="13" t="n">
        <f aca="false">IF(AND(I129=TRUE(),COUNTIFS($R$5:R129,R129,$I$5:I129,TRUE())=1),1,0)</f>
        <v>1</v>
      </c>
      <c r="T129" s="70" t="n">
        <v>0.4</v>
      </c>
      <c r="U129" s="35" t="n">
        <v>37.17</v>
      </c>
      <c r="V129" s="35" t="n">
        <v>24.978</v>
      </c>
      <c r="W129" s="35" t="n">
        <v>5.95</v>
      </c>
      <c r="X129" s="13" t="s">
        <v>104</v>
      </c>
      <c r="Y129" s="46" t="n">
        <v>46076</v>
      </c>
    </row>
    <row r="130" customFormat="false" ht="15" hidden="false" customHeight="false" outlineLevel="0" collapsed="false">
      <c r="A130" s="15" t="n">
        <v>4902145451</v>
      </c>
      <c r="B130" s="76" t="n">
        <v>46081.6263541667</v>
      </c>
      <c r="C130" s="76" t="n">
        <v>46081.6533796296</v>
      </c>
      <c r="D130" s="31" t="n">
        <v>0.648611111111111</v>
      </c>
      <c r="E130" s="31" t="n">
        <v>37.776299</v>
      </c>
      <c r="F130" s="31" t="n">
        <v>61.619</v>
      </c>
      <c r="G130" s="15" t="s">
        <v>62</v>
      </c>
      <c r="H130" s="77" t="b">
        <f aca="false">TRUE()</f>
        <v>1</v>
      </c>
      <c r="I130" s="77" t="b">
        <f aca="false">FALSE()</f>
        <v>0</v>
      </c>
      <c r="J130" s="78" t="n">
        <v>1</v>
      </c>
      <c r="K130" s="15" t="s">
        <v>166</v>
      </c>
      <c r="L130" s="15" t="s">
        <v>222</v>
      </c>
      <c r="M130" s="15" t="s">
        <v>225</v>
      </c>
      <c r="N130" s="15"/>
      <c r="O130" s="15" t="s">
        <v>224</v>
      </c>
      <c r="P130" s="37" t="n">
        <v>23.45</v>
      </c>
      <c r="Q130" s="37" t="n">
        <v>19.92</v>
      </c>
      <c r="R130" s="47" t="n">
        <f aca="false">INT(B130)</f>
        <v>46081</v>
      </c>
      <c r="S130" s="15" t="n">
        <f aca="false">IF(AND(I130=TRUE(),COUNTIFS($R$5:R130,R130,$I$5:I130,TRUE())=1),1,0)</f>
        <v>0</v>
      </c>
      <c r="T130" s="69" t="n">
        <v>0.4</v>
      </c>
      <c r="U130" s="37" t="n">
        <v>22.13</v>
      </c>
      <c r="V130" s="37" t="n">
        <v>15.1105196</v>
      </c>
      <c r="W130" s="37" t="n">
        <v>3.53</v>
      </c>
      <c r="X130" s="15" t="s">
        <v>105</v>
      </c>
      <c r="Y130" s="47" t="n">
        <v>46076</v>
      </c>
    </row>
    <row r="131" customFormat="false" ht="15" hidden="false" customHeight="false" outlineLevel="0" collapsed="false">
      <c r="A131" s="13" t="n">
        <v>4902368671</v>
      </c>
      <c r="B131" s="74" t="n">
        <v>46081.7119907407</v>
      </c>
      <c r="C131" s="74" t="n">
        <v>46081.7137152778</v>
      </c>
      <c r="D131" s="30" t="n">
        <v>0.0413888888888888</v>
      </c>
      <c r="E131" s="30" t="n">
        <v>0.7749</v>
      </c>
      <c r="F131" s="30" t="n">
        <v>0</v>
      </c>
      <c r="G131" s="13" t="s">
        <v>62</v>
      </c>
      <c r="H131" s="75" t="b">
        <f aca="false">FALSE()</f>
        <v>0</v>
      </c>
      <c r="I131" s="75" t="b">
        <f aca="false">FALSE()</f>
        <v>0</v>
      </c>
      <c r="J131" s="48"/>
      <c r="K131" s="13" t="s">
        <v>166</v>
      </c>
      <c r="L131" s="13" t="s">
        <v>222</v>
      </c>
      <c r="M131" s="13" t="s">
        <v>290</v>
      </c>
      <c r="N131" s="13"/>
      <c r="O131" s="13" t="s">
        <v>224</v>
      </c>
      <c r="P131" s="35" t="n">
        <v>0.41</v>
      </c>
      <c r="Q131" s="35" t="n">
        <v>0.35</v>
      </c>
      <c r="R131" s="46" t="n">
        <f aca="false">INT(B131)</f>
        <v>46081</v>
      </c>
      <c r="S131" s="13" t="n">
        <f aca="false">IF(AND(I131=TRUE(),COUNTIFS($R$5:R131,R131,$I$5:I131,TRUE())=1),1,0)</f>
        <v>0</v>
      </c>
      <c r="T131" s="70" t="n">
        <v>0.4</v>
      </c>
      <c r="U131" s="35" t="n">
        <v>0.39</v>
      </c>
      <c r="V131" s="35" t="n">
        <v>0.30996</v>
      </c>
      <c r="W131" s="35" t="n">
        <v>0.06</v>
      </c>
      <c r="X131" s="13" t="s">
        <v>105</v>
      </c>
      <c r="Y131" s="46" t="n">
        <v>46076</v>
      </c>
    </row>
    <row r="132" customFormat="false" ht="15" hidden="false" customHeight="false" outlineLevel="0" collapsed="false">
      <c r="A132" s="15" t="n">
        <v>4908614761</v>
      </c>
      <c r="B132" s="76" t="n">
        <v>46084.0200925926</v>
      </c>
      <c r="C132" s="76" t="n">
        <v>46084.0815740741</v>
      </c>
      <c r="D132" s="31" t="n">
        <v>1.47555555555556</v>
      </c>
      <c r="E132" s="31" t="n">
        <v>67.7453</v>
      </c>
      <c r="F132" s="31" t="n">
        <v>51.459</v>
      </c>
      <c r="G132" s="15" t="s">
        <v>64</v>
      </c>
      <c r="H132" s="77" t="b">
        <f aca="false">TRUE()</f>
        <v>1</v>
      </c>
      <c r="I132" s="77" t="b">
        <f aca="false">TRUE()</f>
        <v>1</v>
      </c>
      <c r="J132" s="78" t="n">
        <v>1</v>
      </c>
      <c r="K132" s="15" t="s">
        <v>166</v>
      </c>
      <c r="L132" s="15" t="s">
        <v>222</v>
      </c>
      <c r="M132" s="15" t="s">
        <v>291</v>
      </c>
      <c r="N132" s="15"/>
      <c r="O132" s="15" t="s">
        <v>292</v>
      </c>
      <c r="P132" s="37" t="n">
        <v>43.72</v>
      </c>
      <c r="Q132" s="37" t="n">
        <v>37.13</v>
      </c>
      <c r="R132" s="47" t="n">
        <f aca="false">INT(B132)</f>
        <v>46084</v>
      </c>
      <c r="S132" s="15" t="n">
        <f aca="false">IF(AND(I132=TRUE(),COUNTIFS($R$5:R132,R132,$I$5:I132,TRUE())=1),1,0)</f>
        <v>1</v>
      </c>
      <c r="T132" s="69" t="n">
        <v>0.4</v>
      </c>
      <c r="U132" s="37" t="n">
        <v>41.25</v>
      </c>
      <c r="V132" s="37" t="n">
        <v>27.09812</v>
      </c>
      <c r="W132" s="37" t="n">
        <v>6.59</v>
      </c>
      <c r="X132" s="15" t="s">
        <v>101</v>
      </c>
      <c r="Y132" s="47" t="n">
        <v>46083</v>
      </c>
    </row>
    <row r="133" customFormat="false" ht="15" hidden="false" customHeight="false" outlineLevel="0" collapsed="false">
      <c r="A133" s="13" t="n">
        <v>4925318501</v>
      </c>
      <c r="B133" s="74" t="n">
        <v>46089.7206597222</v>
      </c>
      <c r="C133" s="74" t="n">
        <v>46089.7320717593</v>
      </c>
      <c r="D133" s="30" t="n">
        <v>0.273888888888889</v>
      </c>
      <c r="E133" s="30" t="n">
        <v>1.655707</v>
      </c>
      <c r="F133" s="30" t="n">
        <v>6.8019</v>
      </c>
      <c r="G133" s="13" t="s">
        <v>62</v>
      </c>
      <c r="H133" s="75" t="b">
        <f aca="false">FALSE()</f>
        <v>0</v>
      </c>
      <c r="I133" s="75" t="b">
        <f aca="false">FALSE()</f>
        <v>0</v>
      </c>
      <c r="J133" s="48" t="n">
        <v>0</v>
      </c>
      <c r="K133" s="13" t="s">
        <v>168</v>
      </c>
      <c r="L133" s="13" t="s">
        <v>228</v>
      </c>
      <c r="M133" s="13"/>
      <c r="N133" s="13"/>
      <c r="O133" s="13"/>
      <c r="P133" s="35" t="n">
        <v>2.33</v>
      </c>
      <c r="Q133" s="35" t="n">
        <v>1.98</v>
      </c>
      <c r="R133" s="46" t="n">
        <f aca="false">INT(B133)</f>
        <v>46089</v>
      </c>
      <c r="S133" s="13" t="n">
        <f aca="false">IF(AND(I133=TRUE(),COUNTIFS($R$5:R133,R133,$I$5:I133,TRUE())=1),1,0)</f>
        <v>0</v>
      </c>
      <c r="T133" s="70" t="n">
        <v>0.4</v>
      </c>
      <c r="U133" s="35" t="n">
        <v>2.2</v>
      </c>
      <c r="V133" s="35" t="n">
        <v>0.6622828</v>
      </c>
      <c r="W133" s="35" t="n">
        <v>0.35</v>
      </c>
      <c r="X133" s="13" t="s">
        <v>106</v>
      </c>
      <c r="Y133" s="46" t="n">
        <v>46083</v>
      </c>
    </row>
    <row r="134" customFormat="false" ht="15" hidden="false" customHeight="false" outlineLevel="0" collapsed="false">
      <c r="A134" s="15" t="n">
        <v>4925500661</v>
      </c>
      <c r="B134" s="76" t="n">
        <v>46089.7826041667</v>
      </c>
      <c r="C134" s="76" t="n">
        <v>46089.7918634259</v>
      </c>
      <c r="D134" s="31" t="n">
        <v>0.222222222222222</v>
      </c>
      <c r="E134" s="31" t="n">
        <v>11.6677</v>
      </c>
      <c r="F134" s="31" t="n">
        <v>58.187</v>
      </c>
      <c r="G134" s="15" t="s">
        <v>63</v>
      </c>
      <c r="H134" s="77" t="b">
        <f aca="false">TRUE()</f>
        <v>1</v>
      </c>
      <c r="I134" s="77" t="b">
        <f aca="false">FALSE()</f>
        <v>0</v>
      </c>
      <c r="J134" s="78" t="n">
        <v>1</v>
      </c>
      <c r="K134" s="15" t="s">
        <v>166</v>
      </c>
      <c r="L134" s="15" t="s">
        <v>222</v>
      </c>
      <c r="M134" s="15" t="s">
        <v>268</v>
      </c>
      <c r="N134" s="15"/>
      <c r="O134" s="15" t="s">
        <v>227</v>
      </c>
      <c r="P134" s="37" t="n">
        <v>7.36</v>
      </c>
      <c r="Q134" s="37" t="n">
        <v>6.25</v>
      </c>
      <c r="R134" s="47" t="n">
        <f aca="false">INT(B134)</f>
        <v>46089</v>
      </c>
      <c r="S134" s="15" t="n">
        <f aca="false">IF(AND(I134=TRUE(),COUNTIFS($R$5:R134,R134,$I$5:I134,TRUE())=1),1,0)</f>
        <v>0</v>
      </c>
      <c r="T134" s="69" t="n">
        <v>0.4</v>
      </c>
      <c r="U134" s="37" t="n">
        <v>6.94</v>
      </c>
      <c r="V134" s="37" t="n">
        <v>4.66708</v>
      </c>
      <c r="W134" s="37" t="n">
        <v>1.11</v>
      </c>
      <c r="X134" s="15" t="s">
        <v>106</v>
      </c>
      <c r="Y134" s="47" t="n">
        <v>46083</v>
      </c>
    </row>
    <row r="135" customFormat="false" ht="15" hidden="false" customHeight="false" outlineLevel="0" collapsed="false">
      <c r="A135" s="13" t="n">
        <v>4926065441</v>
      </c>
      <c r="B135" s="74" t="n">
        <v>46089.9487152778</v>
      </c>
      <c r="C135" s="74" t="n">
        <v>46089.9779513889</v>
      </c>
      <c r="D135" s="30" t="n">
        <v>0.701666666666667</v>
      </c>
      <c r="E135" s="30" t="n">
        <v>26.359501</v>
      </c>
      <c r="F135" s="30" t="n">
        <v>53.7</v>
      </c>
      <c r="G135" s="13" t="s">
        <v>64</v>
      </c>
      <c r="H135" s="75" t="b">
        <f aca="false">TRUE()</f>
        <v>1</v>
      </c>
      <c r="I135" s="75" t="b">
        <f aca="false">TRUE()</f>
        <v>1</v>
      </c>
      <c r="J135" s="48" t="n">
        <v>1</v>
      </c>
      <c r="K135" s="13" t="s">
        <v>166</v>
      </c>
      <c r="L135" s="13" t="s">
        <v>222</v>
      </c>
      <c r="M135" s="13" t="s">
        <v>293</v>
      </c>
      <c r="N135" s="13" t="s">
        <v>294</v>
      </c>
      <c r="O135" s="13" t="s">
        <v>227</v>
      </c>
      <c r="P135" s="35" t="n">
        <v>17.69</v>
      </c>
      <c r="Q135" s="35" t="n">
        <v>15.02</v>
      </c>
      <c r="R135" s="46" t="n">
        <f aca="false">INT(B135)</f>
        <v>46089</v>
      </c>
      <c r="S135" s="13" t="n">
        <f aca="false">IF(AND(I135=TRUE(),COUNTIFS($R$5:R135,R135,$I$5:I135,TRUE())=1),1,0)</f>
        <v>1</v>
      </c>
      <c r="T135" s="70" t="n">
        <v>0.4</v>
      </c>
      <c r="U135" s="35" t="n">
        <v>16.69</v>
      </c>
      <c r="V135" s="35" t="n">
        <v>10.5438004</v>
      </c>
      <c r="W135" s="35" t="n">
        <v>2.67</v>
      </c>
      <c r="X135" s="13" t="s">
        <v>106</v>
      </c>
      <c r="Y135" s="46" t="n">
        <v>46083</v>
      </c>
    </row>
    <row r="136" customFormat="false" ht="15" hidden="false" customHeight="false" outlineLevel="0" collapsed="false">
      <c r="A136" s="15" t="n">
        <v>4926279751</v>
      </c>
      <c r="B136" s="76" t="n">
        <v>46090.004849537</v>
      </c>
      <c r="C136" s="76" t="n">
        <v>46090.0140509259</v>
      </c>
      <c r="D136" s="31" t="n">
        <v>0.220833333333333</v>
      </c>
      <c r="E136" s="31" t="n">
        <v>12.4824</v>
      </c>
      <c r="F136" s="31" t="n">
        <v>59.436</v>
      </c>
      <c r="G136" s="15" t="s">
        <v>64</v>
      </c>
      <c r="H136" s="77" t="b">
        <f aca="false">TRUE()</f>
        <v>1</v>
      </c>
      <c r="I136" s="77" t="b">
        <f aca="false">TRUE()</f>
        <v>1</v>
      </c>
      <c r="J136" s="78" t="n">
        <v>1</v>
      </c>
      <c r="K136" s="15" t="s">
        <v>166</v>
      </c>
      <c r="L136" s="15" t="s">
        <v>222</v>
      </c>
      <c r="M136" s="15" t="s">
        <v>223</v>
      </c>
      <c r="N136" s="15"/>
      <c r="O136" s="15" t="s">
        <v>224</v>
      </c>
      <c r="P136" s="37" t="n">
        <v>7.78</v>
      </c>
      <c r="Q136" s="37" t="n">
        <v>6.61</v>
      </c>
      <c r="R136" s="47" t="n">
        <f aca="false">INT(B136)</f>
        <v>46090</v>
      </c>
      <c r="S136" s="15" t="n">
        <f aca="false">IF(AND(I136=TRUE(),COUNTIFS($R$5:R136,R136,$I$5:I136,TRUE())=1),1,0)</f>
        <v>1</v>
      </c>
      <c r="T136" s="69" t="n">
        <v>0.4</v>
      </c>
      <c r="U136" s="37" t="n">
        <v>7.34</v>
      </c>
      <c r="V136" s="37" t="n">
        <v>4.99296</v>
      </c>
      <c r="W136" s="37" t="n">
        <v>1.17</v>
      </c>
      <c r="X136" s="15" t="s">
        <v>100</v>
      </c>
      <c r="Y136" s="47" t="n">
        <v>46090</v>
      </c>
    </row>
    <row r="137" customFormat="false" ht="15" hidden="false" customHeight="false" outlineLevel="0" collapsed="false">
      <c r="A137" s="13" t="n">
        <v>4935015601</v>
      </c>
      <c r="B137" s="74" t="n">
        <v>46092.8227893519</v>
      </c>
      <c r="C137" s="74" t="n">
        <v>46092.8989583333</v>
      </c>
      <c r="D137" s="30" t="n">
        <v>1.82805555555556</v>
      </c>
      <c r="E137" s="30" t="n">
        <v>60.586899</v>
      </c>
      <c r="F137" s="30" t="n">
        <v>62.523</v>
      </c>
      <c r="G137" s="13" t="s">
        <v>63</v>
      </c>
      <c r="H137" s="75" t="b">
        <f aca="false">TRUE()</f>
        <v>1</v>
      </c>
      <c r="I137" s="75" t="b">
        <f aca="false">FALSE()</f>
        <v>0</v>
      </c>
      <c r="J137" s="48" t="n">
        <v>0.572175566471241</v>
      </c>
      <c r="K137" s="13" t="s">
        <v>166</v>
      </c>
      <c r="L137" s="13" t="s">
        <v>222</v>
      </c>
      <c r="M137" s="13" t="s">
        <v>225</v>
      </c>
      <c r="N137" s="13"/>
      <c r="O137" s="13" t="s">
        <v>224</v>
      </c>
      <c r="P137" s="35" t="n">
        <v>41.8</v>
      </c>
      <c r="Q137" s="35" t="n">
        <v>35.49</v>
      </c>
      <c r="R137" s="46" t="n">
        <f aca="false">INT(B137)</f>
        <v>46092</v>
      </c>
      <c r="S137" s="13" t="n">
        <f aca="false">IF(AND(I137=TRUE(),COUNTIFS($R$5:R137,R137,$I$5:I137,TRUE())=1),1,0)</f>
        <v>0</v>
      </c>
      <c r="T137" s="70" t="n">
        <v>0.5</v>
      </c>
      <c r="U137" s="35" t="n">
        <v>39.43</v>
      </c>
      <c r="V137" s="35" t="n">
        <v>30.2934495</v>
      </c>
      <c r="W137" s="35" t="n">
        <v>6.31</v>
      </c>
      <c r="X137" s="13" t="s">
        <v>102</v>
      </c>
      <c r="Y137" s="46" t="n">
        <v>46090</v>
      </c>
    </row>
    <row r="138" customFormat="false" ht="15" hidden="false" customHeight="false" outlineLevel="0" collapsed="false">
      <c r="A138" s="15" t="n">
        <v>4944129701</v>
      </c>
      <c r="B138" s="76" t="n">
        <v>46095.7106365741</v>
      </c>
      <c r="C138" s="76" t="n">
        <v>46095.7483796296</v>
      </c>
      <c r="D138" s="31" t="n">
        <v>0.905833333333333</v>
      </c>
      <c r="E138" s="31" t="n">
        <v>53.8335</v>
      </c>
      <c r="F138" s="31" t="n">
        <v>62.523</v>
      </c>
      <c r="G138" s="15" t="s">
        <v>62</v>
      </c>
      <c r="H138" s="77" t="b">
        <f aca="false">TRUE()</f>
        <v>1</v>
      </c>
      <c r="I138" s="77" t="b">
        <f aca="false">FALSE()</f>
        <v>0</v>
      </c>
      <c r="J138" s="78" t="n">
        <v>1</v>
      </c>
      <c r="K138" s="15" t="s">
        <v>166</v>
      </c>
      <c r="L138" s="15" t="s">
        <v>222</v>
      </c>
      <c r="M138" s="15" t="s">
        <v>225</v>
      </c>
      <c r="N138" s="15"/>
      <c r="O138" s="15" t="s">
        <v>224</v>
      </c>
      <c r="P138" s="37" t="n">
        <v>33.34</v>
      </c>
      <c r="Q138" s="37" t="n">
        <v>28.31</v>
      </c>
      <c r="R138" s="47" t="n">
        <f aca="false">INT(B138)</f>
        <v>46095</v>
      </c>
      <c r="S138" s="15" t="n">
        <f aca="false">IF(AND(I138=TRUE(),COUNTIFS($R$5:R138,R138,$I$5:I138,TRUE())=1),1,0)</f>
        <v>0</v>
      </c>
      <c r="T138" s="69" t="n">
        <v>0.5</v>
      </c>
      <c r="U138" s="37" t="n">
        <v>31.45</v>
      </c>
      <c r="V138" s="37" t="n">
        <v>26.91675</v>
      </c>
      <c r="W138" s="37" t="n">
        <v>5.03</v>
      </c>
      <c r="X138" s="15" t="s">
        <v>105</v>
      </c>
      <c r="Y138" s="47" t="n">
        <v>46090</v>
      </c>
    </row>
    <row r="139" customFormat="false" ht="15" hidden="false" customHeight="false" outlineLevel="0" collapsed="false">
      <c r="A139" s="13" t="n">
        <v>4949686711</v>
      </c>
      <c r="B139" s="74" t="n">
        <v>46097.7749074074</v>
      </c>
      <c r="C139" s="74" t="n">
        <v>46097.7874652778</v>
      </c>
      <c r="D139" s="30" t="n">
        <v>0.301388888888889</v>
      </c>
      <c r="E139" s="30" t="n">
        <v>13.1724</v>
      </c>
      <c r="F139" s="30" t="n">
        <v>46.654</v>
      </c>
      <c r="G139" s="13" t="s">
        <v>63</v>
      </c>
      <c r="H139" s="75" t="b">
        <f aca="false">TRUE()</f>
        <v>1</v>
      </c>
      <c r="I139" s="75" t="b">
        <f aca="false">FALSE()</f>
        <v>0</v>
      </c>
      <c r="J139" s="48" t="n">
        <v>1</v>
      </c>
      <c r="K139" s="13" t="s">
        <v>166</v>
      </c>
      <c r="L139" s="13" t="s">
        <v>222</v>
      </c>
      <c r="M139" s="13" t="s">
        <v>295</v>
      </c>
      <c r="N139" s="13" t="s">
        <v>296</v>
      </c>
      <c r="O139" s="13" t="s">
        <v>279</v>
      </c>
      <c r="P139" s="35" t="n">
        <v>8.59</v>
      </c>
      <c r="Q139" s="35" t="n">
        <v>7.29</v>
      </c>
      <c r="R139" s="46" t="n">
        <f aca="false">INT(B139)</f>
        <v>46097</v>
      </c>
      <c r="S139" s="13" t="n">
        <f aca="false">IF(AND(I139=TRUE(),COUNTIFS($R$5:R139,R139,$I$5:I139,TRUE())=1),1,0)</f>
        <v>0</v>
      </c>
      <c r="T139" s="70" t="n">
        <v>0.5</v>
      </c>
      <c r="U139" s="35" t="n">
        <v>8.1</v>
      </c>
      <c r="V139" s="35" t="n">
        <v>6.5862</v>
      </c>
      <c r="W139" s="35" t="n">
        <v>1.3</v>
      </c>
      <c r="X139" s="13" t="s">
        <v>100</v>
      </c>
      <c r="Y139" s="46" t="n">
        <v>46097</v>
      </c>
    </row>
    <row r="140" customFormat="false" ht="15" hidden="false" customHeight="false" outlineLevel="0" collapsed="false">
      <c r="A140" s="15" t="n">
        <v>4951981571</v>
      </c>
      <c r="B140" s="76" t="n">
        <v>46098.5517824074</v>
      </c>
      <c r="C140" s="76" t="n">
        <v>46098.5884143519</v>
      </c>
      <c r="D140" s="31" t="n">
        <v>0.879166666666667</v>
      </c>
      <c r="E140" s="31" t="n">
        <v>40.9562</v>
      </c>
      <c r="F140" s="31" t="n">
        <v>48.825</v>
      </c>
      <c r="G140" s="15" t="s">
        <v>62</v>
      </c>
      <c r="H140" s="77" t="b">
        <f aca="false">TRUE()</f>
        <v>1</v>
      </c>
      <c r="I140" s="77" t="b">
        <f aca="false">FALSE()</f>
        <v>0</v>
      </c>
      <c r="J140" s="78" t="n">
        <v>0.99046221570066</v>
      </c>
      <c r="K140" s="15" t="s">
        <v>166</v>
      </c>
      <c r="L140" s="15" t="s">
        <v>228</v>
      </c>
      <c r="M140" s="15"/>
      <c r="N140" s="15"/>
      <c r="O140" s="15"/>
      <c r="P140" s="37" t="n">
        <v>26.37</v>
      </c>
      <c r="Q140" s="37" t="n">
        <v>22.39</v>
      </c>
      <c r="R140" s="47" t="n">
        <f aca="false">INT(B140)</f>
        <v>46098</v>
      </c>
      <c r="S140" s="15" t="n">
        <f aca="false">IF(AND(I140=TRUE(),COUNTIFS($R$5:R140,R140,$I$5:I140,TRUE())=1),1,0)</f>
        <v>0</v>
      </c>
      <c r="T140" s="69" t="n">
        <v>0.5</v>
      </c>
      <c r="U140" s="37" t="n">
        <v>24.88</v>
      </c>
      <c r="V140" s="37" t="n">
        <v>20.4781</v>
      </c>
      <c r="W140" s="37" t="n">
        <v>3.98</v>
      </c>
      <c r="X140" s="15" t="s">
        <v>101</v>
      </c>
      <c r="Y140" s="47" t="n">
        <v>46097</v>
      </c>
    </row>
    <row r="141" customFormat="false" ht="15" hidden="false" customHeight="false" outlineLevel="0" collapsed="false">
      <c r="A141" s="13" t="n">
        <v>4957293331</v>
      </c>
      <c r="B141" s="74" t="n">
        <v>46099.978125</v>
      </c>
      <c r="C141" s="74" t="n">
        <v>46100.0242013889</v>
      </c>
      <c r="D141" s="30" t="n">
        <v>1.10583333333333</v>
      </c>
      <c r="E141" s="30" t="n">
        <v>66.366898</v>
      </c>
      <c r="F141" s="30" t="n">
        <v>62.465</v>
      </c>
      <c r="G141" s="13" t="s">
        <v>64</v>
      </c>
      <c r="H141" s="75" t="b">
        <f aca="false">TRUE()</f>
        <v>1</v>
      </c>
      <c r="I141" s="75" t="b">
        <f aca="false">TRUE()</f>
        <v>1</v>
      </c>
      <c r="J141" s="48" t="n">
        <v>1</v>
      </c>
      <c r="K141" s="13" t="s">
        <v>166</v>
      </c>
      <c r="L141" s="13" t="s">
        <v>222</v>
      </c>
      <c r="M141" s="13" t="s">
        <v>225</v>
      </c>
      <c r="N141" s="13"/>
      <c r="O141" s="13" t="s">
        <v>224</v>
      </c>
      <c r="P141" s="35" t="n">
        <v>41.03</v>
      </c>
      <c r="Q141" s="35" t="n">
        <v>34.84</v>
      </c>
      <c r="R141" s="46" t="n">
        <f aca="false">INT(B141)</f>
        <v>46099</v>
      </c>
      <c r="S141" s="13" t="n">
        <f aca="false">IF(AND(I141=TRUE(),COUNTIFS($R$5:R141,R141,$I$5:I141,TRUE())=1),1,0)</f>
        <v>1</v>
      </c>
      <c r="T141" s="70" t="n">
        <v>0.5</v>
      </c>
      <c r="U141" s="35" t="n">
        <v>38.71</v>
      </c>
      <c r="V141" s="35" t="n">
        <v>33.183449</v>
      </c>
      <c r="W141" s="35" t="n">
        <v>6.19</v>
      </c>
      <c r="X141" s="13" t="s">
        <v>102</v>
      </c>
      <c r="Y141" s="46" t="n">
        <v>46097</v>
      </c>
    </row>
    <row r="142" customFormat="false" ht="15" hidden="false" customHeight="false" outlineLevel="0" collapsed="false">
      <c r="A142" s="15" t="n">
        <v>4976809861</v>
      </c>
      <c r="B142" s="76" t="n">
        <v>46106.5855787037</v>
      </c>
      <c r="C142" s="76" t="n">
        <v>46106.603912037</v>
      </c>
      <c r="D142" s="31" t="n">
        <v>0.44</v>
      </c>
      <c r="E142" s="31" t="n">
        <v>19.178699</v>
      </c>
      <c r="F142" s="31" t="n">
        <v>45.161</v>
      </c>
      <c r="G142" s="15" t="s">
        <v>62</v>
      </c>
      <c r="H142" s="77" t="b">
        <f aca="false">TRUE()</f>
        <v>1</v>
      </c>
      <c r="I142" s="77" t="b">
        <f aca="false">FALSE()</f>
        <v>0</v>
      </c>
      <c r="J142" s="78" t="n">
        <v>1</v>
      </c>
      <c r="K142" s="15" t="s">
        <v>166</v>
      </c>
      <c r="L142" s="15" t="s">
        <v>228</v>
      </c>
      <c r="M142" s="15"/>
      <c r="N142" s="15"/>
      <c r="O142" s="15"/>
      <c r="P142" s="37" t="n">
        <v>12.5</v>
      </c>
      <c r="Q142" s="37" t="n">
        <v>10.61</v>
      </c>
      <c r="R142" s="47" t="n">
        <f aca="false">INT(B142)</f>
        <v>46106</v>
      </c>
      <c r="S142" s="15" t="n">
        <f aca="false">IF(AND(I142=TRUE(),COUNTIFS($R$5:R142,R142,$I$5:I142,TRUE())=1),1,0)</f>
        <v>0</v>
      </c>
      <c r="T142" s="69" t="n">
        <v>0.5</v>
      </c>
      <c r="U142" s="37" t="n">
        <v>11.79</v>
      </c>
      <c r="V142" s="37" t="n">
        <v>9.5893495</v>
      </c>
      <c r="W142" s="37" t="n">
        <v>1.89</v>
      </c>
      <c r="X142" s="15" t="s">
        <v>102</v>
      </c>
      <c r="Y142" s="47" t="n">
        <v>46104</v>
      </c>
    </row>
    <row r="143" customFormat="false" ht="15" hidden="false" customHeight="false" outlineLevel="0" collapsed="false">
      <c r="A143" s="13" t="n">
        <v>4983982431</v>
      </c>
      <c r="B143" s="74" t="n">
        <v>46108.6844560185</v>
      </c>
      <c r="C143" s="74" t="n">
        <v>46108.7313541667</v>
      </c>
      <c r="D143" s="30" t="n">
        <v>1.12555555555556</v>
      </c>
      <c r="E143" s="30" t="n">
        <v>43.7174</v>
      </c>
      <c r="F143" s="30" t="n">
        <v>59.279</v>
      </c>
      <c r="G143" s="13" t="s">
        <v>62</v>
      </c>
      <c r="H143" s="75" t="b">
        <f aca="false">TRUE()</f>
        <v>1</v>
      </c>
      <c r="I143" s="75" t="b">
        <f aca="false">FALSE()</f>
        <v>0</v>
      </c>
      <c r="J143" s="48" t="n">
        <v>1</v>
      </c>
      <c r="K143" s="13" t="s">
        <v>166</v>
      </c>
      <c r="L143" s="13" t="s">
        <v>247</v>
      </c>
      <c r="M143" s="13"/>
      <c r="N143" s="13"/>
      <c r="O143" s="13"/>
      <c r="P143" s="35" t="n">
        <v>29.14</v>
      </c>
      <c r="Q143" s="35" t="n">
        <v>24.74</v>
      </c>
      <c r="R143" s="46" t="n">
        <f aca="false">INT(B143)</f>
        <v>46108</v>
      </c>
      <c r="S143" s="13" t="n">
        <f aca="false">IF(AND(I143=TRUE(),COUNTIFS($R$5:R143,R143,$I$5:I143,TRUE())=1),1,0)</f>
        <v>0</v>
      </c>
      <c r="T143" s="70" t="n">
        <v>0.5</v>
      </c>
      <c r="U143" s="35" t="n">
        <v>27.49</v>
      </c>
      <c r="V143" s="35" t="n">
        <v>21.8587</v>
      </c>
      <c r="W143" s="35" t="n">
        <v>4.4</v>
      </c>
      <c r="X143" s="13" t="s">
        <v>104</v>
      </c>
      <c r="Y143" s="46" t="n">
        <v>46104</v>
      </c>
    </row>
    <row r="144" customFormat="false" ht="15" hidden="false" customHeight="false" outlineLevel="0" collapsed="false">
      <c r="A144" s="15" t="n">
        <v>4984669281</v>
      </c>
      <c r="B144" s="76" t="n">
        <v>46108.8523611111</v>
      </c>
      <c r="C144" s="76" t="n">
        <v>46108.8605439815</v>
      </c>
      <c r="D144" s="31" t="n">
        <v>0.196388888888889</v>
      </c>
      <c r="E144" s="31" t="n">
        <v>9.6899</v>
      </c>
      <c r="F144" s="31" t="n">
        <v>55.068</v>
      </c>
      <c r="G144" s="15" t="s">
        <v>63</v>
      </c>
      <c r="H144" s="77" t="b">
        <f aca="false">TRUE()</f>
        <v>1</v>
      </c>
      <c r="I144" s="77" t="b">
        <f aca="false">FALSE()</f>
        <v>0</v>
      </c>
      <c r="J144" s="78" t="n">
        <v>1</v>
      </c>
      <c r="K144" s="15" t="s">
        <v>166</v>
      </c>
      <c r="L144" s="15" t="s">
        <v>222</v>
      </c>
      <c r="M144" s="15" t="s">
        <v>268</v>
      </c>
      <c r="N144" s="15"/>
      <c r="O144" s="15" t="s">
        <v>227</v>
      </c>
      <c r="P144" s="37" t="n">
        <v>6.17</v>
      </c>
      <c r="Q144" s="37" t="n">
        <v>5.24</v>
      </c>
      <c r="R144" s="47" t="n">
        <f aca="false">INT(B144)</f>
        <v>46108</v>
      </c>
      <c r="S144" s="15" t="n">
        <f aca="false">IF(AND(I144=TRUE(),COUNTIFS($R$5:R144,R144,$I$5:I144,TRUE())=1),1,0)</f>
        <v>0</v>
      </c>
      <c r="T144" s="69" t="n">
        <v>0.5</v>
      </c>
      <c r="U144" s="37" t="n">
        <v>5.82</v>
      </c>
      <c r="V144" s="37" t="n">
        <v>4.84495</v>
      </c>
      <c r="W144" s="37" t="n">
        <v>0.93</v>
      </c>
      <c r="X144" s="15" t="s">
        <v>104</v>
      </c>
      <c r="Y144" s="47" t="n">
        <v>46104</v>
      </c>
    </row>
    <row r="145" customFormat="false" ht="15" hidden="false" customHeight="false" outlineLevel="0" collapsed="false">
      <c r="A145" s="13" t="n">
        <v>4985693971</v>
      </c>
      <c r="B145" s="74" t="n">
        <v>46109.1020949074</v>
      </c>
      <c r="C145" s="74" t="n">
        <v>46109.1035300926</v>
      </c>
      <c r="D145" s="30" t="n">
        <v>0.0344444444444444</v>
      </c>
      <c r="E145" s="30" t="n">
        <v>0</v>
      </c>
      <c r="F145" s="30"/>
      <c r="G145" s="13" t="s">
        <v>64</v>
      </c>
      <c r="H145" s="75" t="b">
        <f aca="false">FALSE()</f>
        <v>0</v>
      </c>
      <c r="I145" s="75" t="b">
        <f aca="false">TRUE()</f>
        <v>1</v>
      </c>
      <c r="J145" s="48"/>
      <c r="K145" s="13" t="s">
        <v>166</v>
      </c>
      <c r="L145" s="13" t="s">
        <v>222</v>
      </c>
      <c r="M145" s="13"/>
      <c r="N145" s="13"/>
      <c r="O145" s="13"/>
      <c r="P145" s="35"/>
      <c r="Q145" s="35"/>
      <c r="R145" s="46" t="n">
        <f aca="false">INT(B145)</f>
        <v>46109</v>
      </c>
      <c r="S145" s="13" t="n">
        <f aca="false">IF(AND(I145=TRUE(),COUNTIFS($R$5:R145,R145,$I$5:I145,TRUE())=1),1,0)</f>
        <v>1</v>
      </c>
      <c r="T145" s="70"/>
      <c r="U145" s="35"/>
      <c r="V145" s="35"/>
      <c r="W145" s="35"/>
      <c r="X145" s="13" t="s">
        <v>105</v>
      </c>
      <c r="Y145" s="46" t="n">
        <v>46104</v>
      </c>
    </row>
    <row r="146" customFormat="false" ht="15" hidden="false" customHeight="false" outlineLevel="0" collapsed="false">
      <c r="A146" s="15" t="n">
        <v>4985696991</v>
      </c>
      <c r="B146" s="76" t="n">
        <v>46109.1041319444</v>
      </c>
      <c r="C146" s="76" t="n">
        <v>46109.1148148148</v>
      </c>
      <c r="D146" s="31" t="n">
        <v>0.256388888888889</v>
      </c>
      <c r="E146" s="31" t="n">
        <v>1.797054</v>
      </c>
      <c r="F146" s="31" t="n">
        <v>7.3751</v>
      </c>
      <c r="G146" s="15" t="s">
        <v>64</v>
      </c>
      <c r="H146" s="77" t="b">
        <f aca="false">FALSE()</f>
        <v>0</v>
      </c>
      <c r="I146" s="77" t="b">
        <f aca="false">TRUE()</f>
        <v>1</v>
      </c>
      <c r="J146" s="78" t="n">
        <v>0</v>
      </c>
      <c r="K146" s="15" t="s">
        <v>168</v>
      </c>
      <c r="L146" s="15" t="s">
        <v>222</v>
      </c>
      <c r="M146" s="15" t="s">
        <v>297</v>
      </c>
      <c r="N146" s="15"/>
      <c r="O146" s="15" t="s">
        <v>224</v>
      </c>
      <c r="P146" s="37" t="n">
        <v>2.31</v>
      </c>
      <c r="Q146" s="37" t="n">
        <v>1.96</v>
      </c>
      <c r="R146" s="47" t="n">
        <f aca="false">INT(B146)</f>
        <v>46109</v>
      </c>
      <c r="S146" s="15" t="n">
        <f aca="false">IF(AND(I146=TRUE(),COUNTIFS($R$5:R146,R146,$I$5:I146,TRUE())=1),1,0)</f>
        <v>0</v>
      </c>
      <c r="T146" s="69" t="n">
        <v>0.5</v>
      </c>
      <c r="U146" s="37" t="n">
        <v>2.18</v>
      </c>
      <c r="V146" s="37" t="n">
        <v>0.898527</v>
      </c>
      <c r="W146" s="37" t="n">
        <v>0.35</v>
      </c>
      <c r="X146" s="15" t="s">
        <v>105</v>
      </c>
      <c r="Y146" s="47" t="n">
        <v>46104</v>
      </c>
    </row>
    <row r="147" customFormat="false" ht="15" hidden="false" customHeight="false" outlineLevel="0" collapsed="false">
      <c r="A147" s="13" t="n">
        <v>4986565491</v>
      </c>
      <c r="B147" s="74" t="n">
        <v>46109.6102083333</v>
      </c>
      <c r="C147" s="74" t="n">
        <v>46109.6812847222</v>
      </c>
      <c r="D147" s="30" t="n">
        <v>1.70583333333333</v>
      </c>
      <c r="E147" s="30" t="n">
        <v>86.0774</v>
      </c>
      <c r="F147" s="30" t="n">
        <v>62.472</v>
      </c>
      <c r="G147" s="13" t="s">
        <v>62</v>
      </c>
      <c r="H147" s="75" t="b">
        <f aca="false">TRUE()</f>
        <v>1</v>
      </c>
      <c r="I147" s="75" t="b">
        <f aca="false">FALSE()</f>
        <v>0</v>
      </c>
      <c r="J147" s="48" t="n">
        <v>1</v>
      </c>
      <c r="K147" s="13" t="s">
        <v>166</v>
      </c>
      <c r="L147" s="13" t="s">
        <v>222</v>
      </c>
      <c r="M147" s="13" t="s">
        <v>288</v>
      </c>
      <c r="N147" s="13" t="s">
        <v>289</v>
      </c>
      <c r="O147" s="13" t="s">
        <v>224</v>
      </c>
      <c r="P147" s="35" t="n">
        <v>54.66</v>
      </c>
      <c r="Q147" s="35" t="n">
        <v>46.41</v>
      </c>
      <c r="R147" s="46" t="n">
        <f aca="false">INT(B147)</f>
        <v>46109</v>
      </c>
      <c r="S147" s="13" t="n">
        <f aca="false">IF(AND(I147=TRUE(),COUNTIFS($R$5:R147,R147,$I$5:I147,TRUE())=1),1,0)</f>
        <v>0</v>
      </c>
      <c r="T147" s="70" t="n">
        <v>0.5</v>
      </c>
      <c r="U147" s="35" t="n">
        <v>51.57</v>
      </c>
      <c r="V147" s="35" t="n">
        <v>43.0387</v>
      </c>
      <c r="W147" s="35" t="n">
        <v>8.25</v>
      </c>
      <c r="X147" s="13" t="s">
        <v>105</v>
      </c>
      <c r="Y147" s="46" t="n">
        <v>46104</v>
      </c>
    </row>
    <row r="148" customFormat="false" ht="15" hidden="false" customHeight="false" outlineLevel="0" collapsed="false">
      <c r="A148" s="15" t="n">
        <v>4986844971</v>
      </c>
      <c r="B148" s="76" t="n">
        <v>46109.7058333333</v>
      </c>
      <c r="C148" s="76" t="n">
        <v>46109.7279513889</v>
      </c>
      <c r="D148" s="31" t="n">
        <v>0.530833333333333</v>
      </c>
      <c r="E148" s="31" t="n">
        <v>12.7405</v>
      </c>
      <c r="F148" s="31" t="n">
        <v>30.336</v>
      </c>
      <c r="G148" s="15" t="s">
        <v>62</v>
      </c>
      <c r="H148" s="77" t="b">
        <f aca="false">TRUE()</f>
        <v>1</v>
      </c>
      <c r="I148" s="77" t="b">
        <f aca="false">FALSE()</f>
        <v>0</v>
      </c>
      <c r="J148" s="78" t="n">
        <v>1</v>
      </c>
      <c r="K148" s="15" t="s">
        <v>166</v>
      </c>
      <c r="L148" s="15" t="s">
        <v>247</v>
      </c>
      <c r="M148" s="15"/>
      <c r="N148" s="15"/>
      <c r="O148" s="15"/>
      <c r="P148" s="37" t="n">
        <v>9.56</v>
      </c>
      <c r="Q148" s="37" t="n">
        <v>8.12</v>
      </c>
      <c r="R148" s="47" t="n">
        <f aca="false">INT(B148)</f>
        <v>46109</v>
      </c>
      <c r="S148" s="15" t="n">
        <f aca="false">IF(AND(I148=TRUE(),COUNTIFS($R$5:R148,R148,$I$5:I148,TRUE())=1),1,0)</f>
        <v>0</v>
      </c>
      <c r="T148" s="69" t="n">
        <v>0.5</v>
      </c>
      <c r="U148" s="37" t="n">
        <v>9.02</v>
      </c>
      <c r="V148" s="37" t="n">
        <v>6.37025</v>
      </c>
      <c r="W148" s="37" t="n">
        <v>1.44</v>
      </c>
      <c r="X148" s="15" t="s">
        <v>105</v>
      </c>
      <c r="Y148" s="47" t="n">
        <v>46104</v>
      </c>
    </row>
    <row r="149" customFormat="false" ht="15" hidden="false" customHeight="false" outlineLevel="0" collapsed="false">
      <c r="A149" s="13" t="n">
        <v>4987734581</v>
      </c>
      <c r="B149" s="74" t="n">
        <v>46109.9627777778</v>
      </c>
      <c r="C149" s="74" t="n">
        <v>46110.1789467593</v>
      </c>
      <c r="D149" s="30" t="n">
        <v>5.18805555555556</v>
      </c>
      <c r="E149" s="30" t="n">
        <v>37.759991</v>
      </c>
      <c r="F149" s="30" t="n">
        <v>7.4007</v>
      </c>
      <c r="G149" s="13" t="s">
        <v>64</v>
      </c>
      <c r="H149" s="75" t="b">
        <f aca="false">FALSE()</f>
        <v>0</v>
      </c>
      <c r="I149" s="75" t="b">
        <f aca="false">TRUE()</f>
        <v>1</v>
      </c>
      <c r="J149" s="48" t="n">
        <v>0</v>
      </c>
      <c r="K149" s="13" t="s">
        <v>168</v>
      </c>
      <c r="L149" s="13" t="s">
        <v>222</v>
      </c>
      <c r="M149" s="13" t="s">
        <v>297</v>
      </c>
      <c r="N149" s="13"/>
      <c r="O149" s="13" t="s">
        <v>224</v>
      </c>
      <c r="P149" s="35" t="n">
        <v>47.51</v>
      </c>
      <c r="Q149" s="35" t="n">
        <v>40.34</v>
      </c>
      <c r="R149" s="46" t="n">
        <f aca="false">INT(B149)</f>
        <v>46109</v>
      </c>
      <c r="S149" s="13" t="n">
        <f aca="false">IF(AND(I149=TRUE(),COUNTIFS($R$5:R149,R149,$I$5:I149,TRUE())=1),1,0)</f>
        <v>0</v>
      </c>
      <c r="T149" s="70" t="n">
        <v>0.5</v>
      </c>
      <c r="U149" s="35" t="n">
        <v>44.82</v>
      </c>
      <c r="V149" s="35" t="n">
        <v>18.8799955</v>
      </c>
      <c r="W149" s="35" t="n">
        <v>7.17</v>
      </c>
      <c r="X149" s="13" t="s">
        <v>105</v>
      </c>
      <c r="Y149" s="46" t="n">
        <v>46104</v>
      </c>
    </row>
    <row r="150" customFormat="false" ht="15" hidden="false" customHeight="false" outlineLevel="0" collapsed="false">
      <c r="A150" s="15" t="n">
        <v>4988062341</v>
      </c>
      <c r="B150" s="76" t="n">
        <v>46110.0585648148</v>
      </c>
      <c r="C150" s="76" t="n">
        <v>46110.0670601852</v>
      </c>
      <c r="D150" s="31" t="n">
        <v>0.203888888888889</v>
      </c>
      <c r="E150" s="31" t="n">
        <v>11.5198</v>
      </c>
      <c r="F150" s="31" t="n">
        <v>62.472</v>
      </c>
      <c r="G150" s="15" t="s">
        <v>64</v>
      </c>
      <c r="H150" s="77" t="b">
        <f aca="false">TRUE()</f>
        <v>1</v>
      </c>
      <c r="I150" s="77" t="b">
        <f aca="false">TRUE()</f>
        <v>1</v>
      </c>
      <c r="J150" s="78" t="n">
        <v>1</v>
      </c>
      <c r="K150" s="15" t="s">
        <v>166</v>
      </c>
      <c r="L150" s="15" t="s">
        <v>228</v>
      </c>
      <c r="M150" s="15"/>
      <c r="N150" s="15"/>
      <c r="O150" s="15"/>
      <c r="P150" s="37" t="n">
        <v>7.19</v>
      </c>
      <c r="Q150" s="37" t="n">
        <v>6.1</v>
      </c>
      <c r="R150" s="47" t="n">
        <f aca="false">INT(B150)</f>
        <v>46110</v>
      </c>
      <c r="S150" s="15" t="n">
        <f aca="false">IF(AND(I150=TRUE(),COUNTIFS($R$5:R150,R150,$I$5:I150,TRUE())=1),1,0)</f>
        <v>1</v>
      </c>
      <c r="T150" s="69" t="n">
        <v>0.5</v>
      </c>
      <c r="U150" s="37" t="n">
        <v>6.78</v>
      </c>
      <c r="V150" s="37" t="n">
        <v>5.7599</v>
      </c>
      <c r="W150" s="37" t="n">
        <v>1.09</v>
      </c>
      <c r="X150" s="15" t="s">
        <v>106</v>
      </c>
      <c r="Y150" s="47" t="n">
        <v>46104</v>
      </c>
    </row>
    <row r="151" customFormat="false" ht="15" hidden="false" customHeight="false" outlineLevel="0" collapsed="false">
      <c r="A151" s="13" t="n">
        <v>4989170751</v>
      </c>
      <c r="B151" s="74" t="n">
        <v>46110.7040972222</v>
      </c>
      <c r="C151" s="74" t="n">
        <v>46110.7663425926</v>
      </c>
      <c r="D151" s="30" t="n">
        <v>1.49388888888889</v>
      </c>
      <c r="E151" s="30" t="n">
        <v>20.0592</v>
      </c>
      <c r="F151" s="30" t="n">
        <v>19.023</v>
      </c>
      <c r="G151" s="13" t="s">
        <v>62</v>
      </c>
      <c r="H151" s="75" t="b">
        <f aca="false">TRUE()</f>
        <v>1</v>
      </c>
      <c r="I151" s="75" t="b">
        <f aca="false">FALSE()</f>
        <v>0</v>
      </c>
      <c r="J151" s="48" t="n">
        <v>1</v>
      </c>
      <c r="K151" s="13" t="s">
        <v>166</v>
      </c>
      <c r="L151" s="13" t="s">
        <v>222</v>
      </c>
      <c r="M151" s="13" t="s">
        <v>298</v>
      </c>
      <c r="N151" s="13"/>
      <c r="O151" s="13" t="s">
        <v>224</v>
      </c>
      <c r="P151" s="35" t="n">
        <v>18.55</v>
      </c>
      <c r="Q151" s="35" t="n">
        <v>15.75</v>
      </c>
      <c r="R151" s="46" t="n">
        <f aca="false">INT(B151)</f>
        <v>46110</v>
      </c>
      <c r="S151" s="13" t="n">
        <f aca="false">IF(AND(I151=TRUE(),COUNTIFS($R$5:R151,R151,$I$5:I151,TRUE())=1),1,0)</f>
        <v>0</v>
      </c>
      <c r="T151" s="70" t="n">
        <v>0.5</v>
      </c>
      <c r="U151" s="35" t="n">
        <v>17.5</v>
      </c>
      <c r="V151" s="35" t="n">
        <v>10.0296</v>
      </c>
      <c r="W151" s="35" t="n">
        <v>2.8</v>
      </c>
      <c r="X151" s="13" t="s">
        <v>106</v>
      </c>
      <c r="Y151" s="46" t="n">
        <v>46104</v>
      </c>
    </row>
    <row r="152" customFormat="false" ht="15" hidden="false" customHeight="false" outlineLevel="0" collapsed="false">
      <c r="A152" s="15" t="n">
        <v>4992293321</v>
      </c>
      <c r="B152" s="76" t="n">
        <v>46111.7793402778</v>
      </c>
      <c r="C152" s="76" t="n">
        <v>46111.8902662037</v>
      </c>
      <c r="D152" s="31" t="n">
        <v>2.66222222222222</v>
      </c>
      <c r="E152" s="31" t="n">
        <v>57.816898</v>
      </c>
      <c r="F152" s="31" t="n">
        <v>62.523</v>
      </c>
      <c r="G152" s="15" t="s">
        <v>63</v>
      </c>
      <c r="H152" s="77" t="b">
        <f aca="false">TRUE()</f>
        <v>1</v>
      </c>
      <c r="I152" s="77" t="b">
        <f aca="false">FALSE()</f>
        <v>0</v>
      </c>
      <c r="J152" s="78" t="n">
        <v>0.410801963993453</v>
      </c>
      <c r="K152" s="15" t="s">
        <v>166</v>
      </c>
      <c r="L152" s="15" t="s">
        <v>222</v>
      </c>
      <c r="M152" s="15" t="s">
        <v>225</v>
      </c>
      <c r="N152" s="15"/>
      <c r="O152" s="15" t="s">
        <v>224</v>
      </c>
      <c r="P152" s="37" t="n">
        <v>44.75</v>
      </c>
      <c r="Q152" s="37" t="n">
        <v>38</v>
      </c>
      <c r="R152" s="47" t="n">
        <f aca="false">INT(B152)</f>
        <v>46111</v>
      </c>
      <c r="S152" s="15" t="n">
        <f aca="false">IF(AND(I152=TRUE(),COUNTIFS($R$5:R152,R152,$I$5:I152,TRUE())=1),1,0)</f>
        <v>0</v>
      </c>
      <c r="T152" s="69" t="n">
        <v>0.5</v>
      </c>
      <c r="U152" s="37" t="n">
        <v>42.22</v>
      </c>
      <c r="V152" s="37" t="n">
        <v>28.908449</v>
      </c>
      <c r="W152" s="37" t="n">
        <v>6.75</v>
      </c>
      <c r="X152" s="15" t="s">
        <v>100</v>
      </c>
      <c r="Y152" s="47" t="n">
        <v>46111</v>
      </c>
    </row>
    <row r="153" customFormat="false" ht="15" hidden="false" customHeight="false" outlineLevel="0" collapsed="false">
      <c r="A153" s="13" t="n">
        <v>5000972361</v>
      </c>
      <c r="B153" s="74" t="n">
        <v>46114.545775463</v>
      </c>
      <c r="C153" s="74" t="n">
        <v>46114.5768287037</v>
      </c>
      <c r="D153" s="30" t="n">
        <v>0.745277777777778</v>
      </c>
      <c r="E153" s="30" t="n">
        <v>33.316002</v>
      </c>
      <c r="F153" s="30" t="n">
        <v>56.784</v>
      </c>
      <c r="G153" s="13" t="s">
        <v>62</v>
      </c>
      <c r="H153" s="75" t="b">
        <f aca="false">TRUE()</f>
        <v>1</v>
      </c>
      <c r="I153" s="75" t="b">
        <f aca="false">FALSE()</f>
        <v>0</v>
      </c>
      <c r="J153" s="48" t="n">
        <v>1</v>
      </c>
      <c r="K153" s="13" t="s">
        <v>166</v>
      </c>
      <c r="L153" s="13" t="s">
        <v>222</v>
      </c>
      <c r="M153" s="13" t="s">
        <v>225</v>
      </c>
      <c r="N153" s="13"/>
      <c r="O153" s="13" t="s">
        <v>224</v>
      </c>
      <c r="P153" s="35" t="n">
        <v>21.61</v>
      </c>
      <c r="Q153" s="35" t="n">
        <v>18.35</v>
      </c>
      <c r="R153" s="46" t="n">
        <f aca="false">INT(B153)</f>
        <v>46114</v>
      </c>
      <c r="S153" s="13" t="n">
        <f aca="false">IF(AND(I153=TRUE(),COUNTIFS($R$5:R153,R153,$I$5:I153,TRUE())=1),1,0)</f>
        <v>0</v>
      </c>
      <c r="T153" s="70" t="n">
        <v>0.5</v>
      </c>
      <c r="U153" s="35" t="n">
        <v>20.39</v>
      </c>
      <c r="V153" s="35" t="n">
        <v>16.658001</v>
      </c>
      <c r="W153" s="35" t="n">
        <v>3.26</v>
      </c>
      <c r="X153" s="13" t="s">
        <v>103</v>
      </c>
      <c r="Y153" s="46" t="n">
        <v>46111</v>
      </c>
    </row>
    <row r="154" customFormat="false" ht="15" hidden="false" customHeight="false" outlineLevel="0" collapsed="false">
      <c r="A154" s="15" t="n">
        <v>5001495271</v>
      </c>
      <c r="B154" s="76" t="n">
        <v>46114.6569675926</v>
      </c>
      <c r="C154" s="76" t="n">
        <v>46114.7724421296</v>
      </c>
      <c r="D154" s="31" t="n">
        <v>2.77138888888889</v>
      </c>
      <c r="E154" s="31" t="n">
        <v>20.032721</v>
      </c>
      <c r="F154" s="31" t="n">
        <v>7.3148</v>
      </c>
      <c r="G154" s="15" t="s">
        <v>62</v>
      </c>
      <c r="H154" s="77" t="b">
        <f aca="false">FALSE()</f>
        <v>0</v>
      </c>
      <c r="I154" s="77" t="b">
        <f aca="false">FALSE()</f>
        <v>0</v>
      </c>
      <c r="J154" s="78" t="n">
        <v>0</v>
      </c>
      <c r="K154" s="15" t="s">
        <v>168</v>
      </c>
      <c r="L154" s="15" t="s">
        <v>222</v>
      </c>
      <c r="M154" s="15" t="s">
        <v>297</v>
      </c>
      <c r="N154" s="15"/>
      <c r="O154" s="15" t="s">
        <v>224</v>
      </c>
      <c r="P154" s="37" t="n">
        <v>25.31</v>
      </c>
      <c r="Q154" s="37" t="n">
        <v>21.49</v>
      </c>
      <c r="R154" s="47" t="n">
        <f aca="false">INT(B154)</f>
        <v>46114</v>
      </c>
      <c r="S154" s="15" t="n">
        <f aca="false">IF(AND(I154=TRUE(),COUNTIFS($R$5:R154,R154,$I$5:I154,TRUE())=1),1,0)</f>
        <v>0</v>
      </c>
      <c r="T154" s="69" t="n">
        <v>0.5</v>
      </c>
      <c r="U154" s="37" t="n">
        <v>23.88</v>
      </c>
      <c r="V154" s="37" t="n">
        <v>10.0163605</v>
      </c>
      <c r="W154" s="37" t="n">
        <v>3.82</v>
      </c>
      <c r="X154" s="15" t="s">
        <v>103</v>
      </c>
      <c r="Y154" s="47" t="n">
        <v>46111</v>
      </c>
    </row>
    <row r="155" customFormat="false" ht="15" hidden="false" customHeight="false" outlineLevel="0" collapsed="false">
      <c r="A155" s="13" t="n">
        <v>5002321781</v>
      </c>
      <c r="B155" s="74" t="n">
        <v>46114.8482291667</v>
      </c>
      <c r="C155" s="74" t="n">
        <v>46114.8662384259</v>
      </c>
      <c r="D155" s="30" t="n">
        <v>0.432222222222222</v>
      </c>
      <c r="E155" s="30" t="n">
        <v>22.825899</v>
      </c>
      <c r="F155" s="30" t="n">
        <v>61.599</v>
      </c>
      <c r="G155" s="13" t="s">
        <v>63</v>
      </c>
      <c r="H155" s="75" t="b">
        <f aca="false">TRUE()</f>
        <v>1</v>
      </c>
      <c r="I155" s="75" t="b">
        <f aca="false">FALSE()</f>
        <v>0</v>
      </c>
      <c r="J155" s="48" t="n">
        <v>1</v>
      </c>
      <c r="K155" s="13" t="s">
        <v>166</v>
      </c>
      <c r="L155" s="13" t="s">
        <v>222</v>
      </c>
      <c r="M155" s="13" t="s">
        <v>299</v>
      </c>
      <c r="N155" s="13"/>
      <c r="O155" s="13" t="s">
        <v>246</v>
      </c>
      <c r="P155" s="35" t="n">
        <v>14.38</v>
      </c>
      <c r="Q155" s="35" t="n">
        <v>12.21</v>
      </c>
      <c r="R155" s="46" t="n">
        <f aca="false">INT(B155)</f>
        <v>46114</v>
      </c>
      <c r="S155" s="13" t="n">
        <f aca="false">IF(AND(I155=TRUE(),COUNTIFS($R$5:R155,R155,$I$5:I155,TRUE())=1),1,0)</f>
        <v>0</v>
      </c>
      <c r="T155" s="70" t="n">
        <v>0.5</v>
      </c>
      <c r="U155" s="35" t="n">
        <v>13.57</v>
      </c>
      <c r="V155" s="35" t="n">
        <v>11.4129495</v>
      </c>
      <c r="W155" s="35" t="n">
        <v>2.17</v>
      </c>
      <c r="X155" s="13" t="s">
        <v>103</v>
      </c>
      <c r="Y155" s="46" t="n">
        <v>46111</v>
      </c>
    </row>
    <row r="156" customFormat="false" ht="15" hidden="false" customHeight="false" outlineLevel="0" collapsed="false">
      <c r="A156" s="15" t="n">
        <v>5004585191</v>
      </c>
      <c r="B156" s="76" t="n">
        <v>46115.6311805556</v>
      </c>
      <c r="C156" s="76" t="n">
        <v>46115.735787037</v>
      </c>
      <c r="D156" s="31" t="n">
        <v>2.51055555555556</v>
      </c>
      <c r="E156" s="31" t="n">
        <v>51.890499</v>
      </c>
      <c r="F156" s="31" t="n">
        <v>51.436</v>
      </c>
      <c r="G156" s="15" t="s">
        <v>62</v>
      </c>
      <c r="H156" s="77" t="b">
        <f aca="false">TRUE()</f>
        <v>1</v>
      </c>
      <c r="I156" s="77" t="b">
        <f aca="false">FALSE()</f>
        <v>0</v>
      </c>
      <c r="J156" s="78" t="n">
        <v>0.468462083628632</v>
      </c>
      <c r="K156" s="15" t="s">
        <v>166</v>
      </c>
      <c r="L156" s="15" t="s">
        <v>228</v>
      </c>
      <c r="M156" s="15"/>
      <c r="N156" s="15"/>
      <c r="O156" s="15"/>
      <c r="P156" s="37" t="n">
        <v>40.81</v>
      </c>
      <c r="Q156" s="37" t="n">
        <v>34.65</v>
      </c>
      <c r="R156" s="47" t="n">
        <f aca="false">INT(B156)</f>
        <v>46115</v>
      </c>
      <c r="S156" s="15" t="n">
        <f aca="false">IF(AND(I156=TRUE(),COUNTIFS($R$5:R156,R156,$I$5:I156,TRUE())=1),1,0)</f>
        <v>0</v>
      </c>
      <c r="T156" s="69" t="n">
        <v>0.5</v>
      </c>
      <c r="U156" s="37" t="n">
        <v>38.5</v>
      </c>
      <c r="V156" s="37" t="n">
        <v>25.9452495</v>
      </c>
      <c r="W156" s="37" t="n">
        <v>6.16</v>
      </c>
      <c r="X156" s="15" t="s">
        <v>104</v>
      </c>
      <c r="Y156" s="47" t="n">
        <v>46111</v>
      </c>
    </row>
    <row r="157" customFormat="false" ht="15" hidden="false" customHeight="false" outlineLevel="0" collapsed="false">
      <c r="A157" s="13" t="n">
        <v>5006411571</v>
      </c>
      <c r="B157" s="74" t="n">
        <v>46116.0800347222</v>
      </c>
      <c r="C157" s="74" t="n">
        <v>46116.0906712963</v>
      </c>
      <c r="D157" s="30" t="n">
        <v>0.255277777777778</v>
      </c>
      <c r="E157" s="30" t="n">
        <v>13.3721</v>
      </c>
      <c r="F157" s="30" t="n">
        <v>57.096</v>
      </c>
      <c r="G157" s="13" t="s">
        <v>64</v>
      </c>
      <c r="H157" s="75" t="b">
        <f aca="false">TRUE()</f>
        <v>1</v>
      </c>
      <c r="I157" s="75" t="b">
        <f aca="false">TRUE()</f>
        <v>1</v>
      </c>
      <c r="J157" s="48" t="n">
        <v>1</v>
      </c>
      <c r="K157" s="13" t="s">
        <v>166</v>
      </c>
      <c r="L157" s="13" t="s">
        <v>222</v>
      </c>
      <c r="M157" s="13" t="s">
        <v>223</v>
      </c>
      <c r="N157" s="13"/>
      <c r="O157" s="13" t="s">
        <v>224</v>
      </c>
      <c r="P157" s="35" t="n">
        <v>8.45</v>
      </c>
      <c r="Q157" s="35" t="n">
        <v>7.17</v>
      </c>
      <c r="R157" s="46" t="n">
        <f aca="false">INT(B157)</f>
        <v>46116</v>
      </c>
      <c r="S157" s="13" t="n">
        <f aca="false">IF(AND(I157=TRUE(),COUNTIFS($R$5:R157,R157,$I$5:I157,TRUE())=1),1,0)</f>
        <v>1</v>
      </c>
      <c r="T157" s="70" t="n">
        <v>0.5</v>
      </c>
      <c r="U157" s="35" t="n">
        <v>7.97</v>
      </c>
      <c r="V157" s="35" t="n">
        <v>6.68605</v>
      </c>
      <c r="W157" s="35" t="n">
        <v>1.28</v>
      </c>
      <c r="X157" s="13" t="s">
        <v>105</v>
      </c>
      <c r="Y157" s="46" t="n">
        <v>46111</v>
      </c>
    </row>
    <row r="158" customFormat="false" ht="15" hidden="false" customHeight="false" outlineLevel="0" collapsed="false">
      <c r="A158" s="15" t="n">
        <v>5006660271</v>
      </c>
      <c r="B158" s="76" t="n">
        <v>46116.1478240741</v>
      </c>
      <c r="C158" s="76" t="n">
        <v>46116.1644444445</v>
      </c>
      <c r="D158" s="31" t="n">
        <v>0.398888888888889</v>
      </c>
      <c r="E158" s="31" t="n">
        <v>2.873975</v>
      </c>
      <c r="F158" s="31" t="n">
        <v>7.345</v>
      </c>
      <c r="G158" s="15" t="s">
        <v>64</v>
      </c>
      <c r="H158" s="77" t="b">
        <f aca="false">FALSE()</f>
        <v>0</v>
      </c>
      <c r="I158" s="77" t="b">
        <f aca="false">TRUE()</f>
        <v>1</v>
      </c>
      <c r="J158" s="78" t="n">
        <v>0</v>
      </c>
      <c r="K158" s="15" t="s">
        <v>168</v>
      </c>
      <c r="L158" s="15" t="s">
        <v>222</v>
      </c>
      <c r="M158" s="15" t="s">
        <v>300</v>
      </c>
      <c r="N158" s="15" t="s">
        <v>301</v>
      </c>
      <c r="O158" s="15" t="s">
        <v>302</v>
      </c>
      <c r="P158" s="37" t="n">
        <v>3.64</v>
      </c>
      <c r="Q158" s="37" t="n">
        <v>3.09</v>
      </c>
      <c r="R158" s="47" t="n">
        <f aca="false">INT(B158)</f>
        <v>46116</v>
      </c>
      <c r="S158" s="15" t="n">
        <f aca="false">IF(AND(I158=TRUE(),COUNTIFS($R$5:R158,R158,$I$5:I158,TRUE())=1),1,0)</f>
        <v>0</v>
      </c>
      <c r="T158" s="69" t="n">
        <v>0.5</v>
      </c>
      <c r="U158" s="37" t="n">
        <v>3.43</v>
      </c>
      <c r="V158" s="37" t="n">
        <v>1.4369875</v>
      </c>
      <c r="W158" s="37" t="n">
        <v>0.55</v>
      </c>
      <c r="X158" s="15" t="s">
        <v>105</v>
      </c>
      <c r="Y158" s="47" t="n">
        <v>46111</v>
      </c>
    </row>
    <row r="159" customFormat="false" ht="15" hidden="false" customHeight="false" outlineLevel="0" collapsed="false">
      <c r="A159" s="13" t="n">
        <v>5007280631</v>
      </c>
      <c r="B159" s="74" t="n">
        <v>46116.5920601852</v>
      </c>
      <c r="C159" s="74" t="n">
        <v>46116.5934027778</v>
      </c>
      <c r="D159" s="30" t="n">
        <v>0.0322222222222222</v>
      </c>
      <c r="E159" s="30" t="n">
        <v>0</v>
      </c>
      <c r="F159" s="30" t="n">
        <v>0</v>
      </c>
      <c r="G159" s="13" t="s">
        <v>62</v>
      </c>
      <c r="H159" s="75" t="b">
        <f aca="false">FALSE()</f>
        <v>0</v>
      </c>
      <c r="I159" s="75" t="b">
        <f aca="false">FALSE()</f>
        <v>0</v>
      </c>
      <c r="J159" s="48"/>
      <c r="K159" s="13" t="s">
        <v>168</v>
      </c>
      <c r="L159" s="13" t="s">
        <v>222</v>
      </c>
      <c r="M159" s="13"/>
      <c r="N159" s="13"/>
      <c r="O159" s="13"/>
      <c r="P159" s="35"/>
      <c r="Q159" s="35"/>
      <c r="R159" s="46" t="n">
        <f aca="false">INT(B159)</f>
        <v>46116</v>
      </c>
      <c r="S159" s="13" t="n">
        <f aca="false">IF(AND(I159=TRUE(),COUNTIFS($R$5:R159,R159,$I$5:I159,TRUE())=1),1,0)</f>
        <v>0</v>
      </c>
      <c r="T159" s="70"/>
      <c r="U159" s="35"/>
      <c r="V159" s="35"/>
      <c r="W159" s="35"/>
      <c r="X159" s="13" t="s">
        <v>105</v>
      </c>
      <c r="Y159" s="46" t="n">
        <v>46111</v>
      </c>
    </row>
    <row r="160" customFormat="false" ht="15" hidden="false" customHeight="false" outlineLevel="0" collapsed="false">
      <c r="A160" s="15" t="n">
        <v>5007282311</v>
      </c>
      <c r="B160" s="76" t="n">
        <v>46116.5939467593</v>
      </c>
      <c r="C160" s="76" t="n">
        <v>46116.6838078704</v>
      </c>
      <c r="D160" s="31" t="n">
        <v>2.15666666666667</v>
      </c>
      <c r="E160" s="31" t="n">
        <v>15.52428</v>
      </c>
      <c r="F160" s="31" t="n">
        <v>7.321</v>
      </c>
      <c r="G160" s="15" t="s">
        <v>62</v>
      </c>
      <c r="H160" s="77" t="b">
        <f aca="false">FALSE()</f>
        <v>0</v>
      </c>
      <c r="I160" s="77" t="b">
        <f aca="false">FALSE()</f>
        <v>0</v>
      </c>
      <c r="J160" s="78" t="n">
        <v>0</v>
      </c>
      <c r="K160" s="15" t="s">
        <v>168</v>
      </c>
      <c r="L160" s="15" t="s">
        <v>222</v>
      </c>
      <c r="M160" s="15" t="s">
        <v>300</v>
      </c>
      <c r="N160" s="15" t="s">
        <v>301</v>
      </c>
      <c r="O160" s="15" t="s">
        <v>302</v>
      </c>
      <c r="P160" s="37" t="n">
        <v>19.66</v>
      </c>
      <c r="Q160" s="37" t="n">
        <v>16.69</v>
      </c>
      <c r="R160" s="47" t="n">
        <f aca="false">INT(B160)</f>
        <v>46116</v>
      </c>
      <c r="S160" s="15" t="n">
        <f aca="false">IF(AND(I160=TRUE(),COUNTIFS($R$5:R160,R160,$I$5:I160,TRUE())=1),1,0)</f>
        <v>0</v>
      </c>
      <c r="T160" s="69" t="n">
        <v>0.5</v>
      </c>
      <c r="U160" s="37" t="n">
        <v>18.54</v>
      </c>
      <c r="V160" s="37" t="n">
        <v>7.76214</v>
      </c>
      <c r="W160" s="37" t="n">
        <v>2.97</v>
      </c>
      <c r="X160" s="15" t="s">
        <v>105</v>
      </c>
      <c r="Y160" s="47" t="n">
        <v>46111</v>
      </c>
    </row>
    <row r="161" customFormat="false" ht="15" hidden="false" customHeight="false" outlineLevel="0" collapsed="false">
      <c r="A161" s="13" t="n">
        <v>5007294811</v>
      </c>
      <c r="B161" s="74" t="n">
        <v>46116.6</v>
      </c>
      <c r="C161" s="74" t="n">
        <v>46116.6341203704</v>
      </c>
      <c r="D161" s="30" t="n">
        <v>0.818888888888889</v>
      </c>
      <c r="E161" s="30" t="n">
        <v>39.7188</v>
      </c>
      <c r="F161" s="30" t="n">
        <v>56.627</v>
      </c>
      <c r="G161" s="13" t="s">
        <v>62</v>
      </c>
      <c r="H161" s="75" t="b">
        <f aca="false">TRUE()</f>
        <v>1</v>
      </c>
      <c r="I161" s="75" t="b">
        <f aca="false">FALSE()</f>
        <v>0</v>
      </c>
      <c r="J161" s="48" t="n">
        <v>1</v>
      </c>
      <c r="K161" s="13" t="s">
        <v>166</v>
      </c>
      <c r="L161" s="13" t="s">
        <v>222</v>
      </c>
      <c r="M161" s="13" t="s">
        <v>225</v>
      </c>
      <c r="N161" s="13"/>
      <c r="O161" s="13" t="s">
        <v>224</v>
      </c>
      <c r="P161" s="35" t="n">
        <v>25.39</v>
      </c>
      <c r="Q161" s="35" t="n">
        <v>21.56</v>
      </c>
      <c r="R161" s="46" t="n">
        <f aca="false">INT(B161)</f>
        <v>46116</v>
      </c>
      <c r="S161" s="13" t="n">
        <f aca="false">IF(AND(I161=TRUE(),COUNTIFS($R$5:R161,R161,$I$5:I161,TRUE())=1),1,0)</f>
        <v>0</v>
      </c>
      <c r="T161" s="70" t="n">
        <v>0.5</v>
      </c>
      <c r="U161" s="35" t="n">
        <v>23.95</v>
      </c>
      <c r="V161" s="35" t="n">
        <v>19.8594</v>
      </c>
      <c r="W161" s="35" t="n">
        <v>3.83</v>
      </c>
      <c r="X161" s="13" t="s">
        <v>105</v>
      </c>
      <c r="Y161" s="46" t="n">
        <v>46111</v>
      </c>
    </row>
    <row r="162" customFormat="false" ht="15" hidden="false" customHeight="false" outlineLevel="0" collapsed="false">
      <c r="A162" s="15" t="n">
        <v>5009597461</v>
      </c>
      <c r="B162" s="76" t="n">
        <v>46117.5986921296</v>
      </c>
      <c r="C162" s="76" t="n">
        <v>46117.6291550926</v>
      </c>
      <c r="D162" s="31" t="n">
        <v>0.731111111111111</v>
      </c>
      <c r="E162" s="31" t="n">
        <v>41.103699</v>
      </c>
      <c r="F162" s="31" t="n">
        <v>60.293</v>
      </c>
      <c r="G162" s="15" t="s">
        <v>62</v>
      </c>
      <c r="H162" s="77" t="b">
        <f aca="false">TRUE()</f>
        <v>1</v>
      </c>
      <c r="I162" s="77" t="b">
        <f aca="false">FALSE()</f>
        <v>0</v>
      </c>
      <c r="J162" s="78" t="n">
        <v>1</v>
      </c>
      <c r="K162" s="15" t="s">
        <v>166</v>
      </c>
      <c r="L162" s="15" t="s">
        <v>222</v>
      </c>
      <c r="M162" s="15" t="s">
        <v>299</v>
      </c>
      <c r="N162" s="15"/>
      <c r="O162" s="15" t="s">
        <v>246</v>
      </c>
      <c r="P162" s="37" t="n">
        <v>25.66</v>
      </c>
      <c r="Q162" s="37" t="n">
        <v>21.79</v>
      </c>
      <c r="R162" s="47" t="n">
        <f aca="false">INT(B162)</f>
        <v>46117</v>
      </c>
      <c r="S162" s="15" t="n">
        <f aca="false">IF(AND(I162=TRUE(),COUNTIFS($R$5:R162,R162,$I$5:I162,TRUE())=1),1,0)</f>
        <v>0</v>
      </c>
      <c r="T162" s="69" t="n">
        <v>0.5</v>
      </c>
      <c r="U162" s="37" t="n">
        <v>24.21</v>
      </c>
      <c r="V162" s="37" t="n">
        <v>20.5518495</v>
      </c>
      <c r="W162" s="37" t="n">
        <v>3.87</v>
      </c>
      <c r="X162" s="15" t="s">
        <v>106</v>
      </c>
      <c r="Y162" s="47" t="n">
        <v>46111</v>
      </c>
    </row>
    <row r="163" customFormat="false" ht="15" hidden="false" customHeight="false" outlineLevel="0" collapsed="false">
      <c r="A163" s="13" t="n">
        <v>5013948291</v>
      </c>
      <c r="B163" s="74" t="n">
        <v>46119.030775463</v>
      </c>
      <c r="C163" s="74" t="n">
        <v>46119.0560648148</v>
      </c>
      <c r="D163" s="30" t="n">
        <v>0.606944444444444</v>
      </c>
      <c r="E163" s="30" t="n">
        <v>36.236801</v>
      </c>
      <c r="F163" s="30" t="n">
        <v>62.465</v>
      </c>
      <c r="G163" s="13" t="s">
        <v>64</v>
      </c>
      <c r="H163" s="75" t="b">
        <f aca="false">TRUE()</f>
        <v>1</v>
      </c>
      <c r="I163" s="75" t="b">
        <f aca="false">TRUE()</f>
        <v>1</v>
      </c>
      <c r="J163" s="48" t="n">
        <v>0.977729494839761</v>
      </c>
      <c r="K163" s="13" t="s">
        <v>166</v>
      </c>
      <c r="L163" s="13" t="s">
        <v>222</v>
      </c>
      <c r="M163" s="13" t="s">
        <v>225</v>
      </c>
      <c r="N163" s="13"/>
      <c r="O163" s="13" t="s">
        <v>224</v>
      </c>
      <c r="P163" s="35" t="n">
        <v>22.42</v>
      </c>
      <c r="Q163" s="35" t="n">
        <v>19.04</v>
      </c>
      <c r="R163" s="46" t="n">
        <f aca="false">INT(B163)</f>
        <v>46119</v>
      </c>
      <c r="S163" s="13" t="n">
        <f aca="false">IF(AND(I163=TRUE(),COUNTIFS($R$5:R163,R163,$I$5:I163,TRUE())=1),1,0)</f>
        <v>1</v>
      </c>
      <c r="T163" s="70" t="n">
        <v>0.5</v>
      </c>
      <c r="U163" s="35" t="n">
        <v>21.15</v>
      </c>
      <c r="V163" s="35" t="n">
        <v>18.1184005</v>
      </c>
      <c r="W163" s="35" t="n">
        <v>3.38</v>
      </c>
      <c r="X163" s="13" t="s">
        <v>101</v>
      </c>
      <c r="Y163" s="46" t="n">
        <v>46118</v>
      </c>
    </row>
    <row r="164" customFormat="false" ht="15" hidden="false" customHeight="false" outlineLevel="0" collapsed="false">
      <c r="A164" s="15" t="n">
        <v>5015391051</v>
      </c>
      <c r="B164" s="76" t="n">
        <v>46119.6189814815</v>
      </c>
      <c r="C164" s="76" t="n">
        <v>46119.6687615741</v>
      </c>
      <c r="D164" s="31" t="n">
        <v>1.19472222222222</v>
      </c>
      <c r="E164" s="31" t="n">
        <v>36.759499</v>
      </c>
      <c r="F164" s="31" t="n">
        <v>50.141</v>
      </c>
      <c r="G164" s="15" t="s">
        <v>62</v>
      </c>
      <c r="H164" s="77" t="b">
        <f aca="false">TRUE()</f>
        <v>1</v>
      </c>
      <c r="I164" s="77" t="b">
        <f aca="false">FALSE()</f>
        <v>0</v>
      </c>
      <c r="J164" s="78" t="n">
        <v>1</v>
      </c>
      <c r="K164" s="15" t="s">
        <v>166</v>
      </c>
      <c r="L164" s="15" t="s">
        <v>222</v>
      </c>
      <c r="M164" s="15" t="s">
        <v>303</v>
      </c>
      <c r="N164" s="15" t="s">
        <v>304</v>
      </c>
      <c r="O164" s="15" t="s">
        <v>305</v>
      </c>
      <c r="P164" s="37" t="n">
        <v>25.81</v>
      </c>
      <c r="Q164" s="37" t="n">
        <v>21.92</v>
      </c>
      <c r="R164" s="47" t="n">
        <f aca="false">INT(B164)</f>
        <v>46119</v>
      </c>
      <c r="S164" s="15" t="n">
        <f aca="false">IF(AND(I164=TRUE(),COUNTIFS($R$5:R164,R164,$I$5:I164,TRUE())=1),1,0)</f>
        <v>0</v>
      </c>
      <c r="T164" s="69" t="n">
        <v>0.5</v>
      </c>
      <c r="U164" s="37" t="n">
        <v>24.35</v>
      </c>
      <c r="V164" s="37" t="n">
        <v>18.3797495</v>
      </c>
      <c r="W164" s="37" t="n">
        <v>3.89</v>
      </c>
      <c r="X164" s="15" t="s">
        <v>101</v>
      </c>
      <c r="Y164" s="47" t="n">
        <v>46118</v>
      </c>
    </row>
    <row r="165" customFormat="false" ht="15" hidden="false" customHeight="false" outlineLevel="0" collapsed="false">
      <c r="A165" s="13" t="n">
        <v>5016297551</v>
      </c>
      <c r="B165" s="74" t="n">
        <v>46119.821400463</v>
      </c>
      <c r="C165" s="74" t="n">
        <v>46119.8228240741</v>
      </c>
      <c r="D165" s="30" t="n">
        <v>0.0341666666666666</v>
      </c>
      <c r="E165" s="30" t="n">
        <v>0</v>
      </c>
      <c r="F165" s="30"/>
      <c r="G165" s="13" t="s">
        <v>63</v>
      </c>
      <c r="H165" s="75" t="b">
        <f aca="false">FALSE()</f>
        <v>0</v>
      </c>
      <c r="I165" s="75" t="b">
        <f aca="false">FALSE()</f>
        <v>0</v>
      </c>
      <c r="J165" s="48"/>
      <c r="K165" s="13" t="s">
        <v>166</v>
      </c>
      <c r="L165" s="13" t="s">
        <v>222</v>
      </c>
      <c r="M165" s="13"/>
      <c r="N165" s="13"/>
      <c r="O165" s="13"/>
      <c r="P165" s="35"/>
      <c r="Q165" s="35"/>
      <c r="R165" s="46" t="n">
        <f aca="false">INT(B165)</f>
        <v>46119</v>
      </c>
      <c r="S165" s="13" t="n">
        <f aca="false">IF(AND(I165=TRUE(),COUNTIFS($R$5:R165,R165,$I$5:I165,TRUE())=1),1,0)</f>
        <v>0</v>
      </c>
      <c r="T165" s="70"/>
      <c r="U165" s="35"/>
      <c r="V165" s="35"/>
      <c r="W165" s="35"/>
      <c r="X165" s="13" t="s">
        <v>101</v>
      </c>
      <c r="Y165" s="46" t="n">
        <v>46118</v>
      </c>
    </row>
    <row r="166" customFormat="false" ht="15" hidden="false" customHeight="false" outlineLevel="0" collapsed="false">
      <c r="A166" s="15" t="n">
        <v>5016300511</v>
      </c>
      <c r="B166" s="76" t="n">
        <v>46119.8233449074</v>
      </c>
      <c r="C166" s="76" t="n">
        <v>46119.8374884259</v>
      </c>
      <c r="D166" s="31" t="n">
        <v>0.339444444444444</v>
      </c>
      <c r="E166" s="31" t="n">
        <v>14.9744</v>
      </c>
      <c r="F166" s="31" t="n">
        <v>47.431</v>
      </c>
      <c r="G166" s="15" t="s">
        <v>63</v>
      </c>
      <c r="H166" s="77" t="b">
        <f aca="false">TRUE()</f>
        <v>1</v>
      </c>
      <c r="I166" s="77" t="b">
        <f aca="false">FALSE()</f>
        <v>0</v>
      </c>
      <c r="J166" s="78" t="n">
        <v>1</v>
      </c>
      <c r="K166" s="15" t="s">
        <v>166</v>
      </c>
      <c r="L166" s="15" t="s">
        <v>222</v>
      </c>
      <c r="M166" s="15" t="s">
        <v>269</v>
      </c>
      <c r="N166" s="15"/>
      <c r="O166" s="15" t="s">
        <v>224</v>
      </c>
      <c r="P166" s="37" t="n">
        <v>9.74</v>
      </c>
      <c r="Q166" s="37" t="n">
        <v>8.27</v>
      </c>
      <c r="R166" s="47" t="n">
        <f aca="false">INT(B166)</f>
        <v>46119</v>
      </c>
      <c r="S166" s="15" t="n">
        <f aca="false">IF(AND(I166=TRUE(),COUNTIFS($R$5:R166,R166,$I$5:I166,TRUE())=1),1,0)</f>
        <v>0</v>
      </c>
      <c r="T166" s="69" t="n">
        <v>0.5</v>
      </c>
      <c r="U166" s="37" t="n">
        <v>9.19</v>
      </c>
      <c r="V166" s="37" t="n">
        <v>7.4872</v>
      </c>
      <c r="W166" s="37" t="n">
        <v>1.47</v>
      </c>
      <c r="X166" s="15" t="s">
        <v>101</v>
      </c>
      <c r="Y166" s="47" t="n">
        <v>46118</v>
      </c>
    </row>
    <row r="167" customFormat="false" ht="15" hidden="false" customHeight="false" outlineLevel="0" collapsed="false">
      <c r="A167" s="13" t="n">
        <v>5018498521</v>
      </c>
      <c r="B167" s="74" t="n">
        <v>46120.558900463</v>
      </c>
      <c r="C167" s="74" t="n">
        <v>46120.5848611111</v>
      </c>
      <c r="D167" s="30" t="n">
        <v>0.623055555555556</v>
      </c>
      <c r="E167" s="30" t="n">
        <v>31.748699</v>
      </c>
      <c r="F167" s="30" t="n">
        <v>57.096</v>
      </c>
      <c r="G167" s="13" t="s">
        <v>62</v>
      </c>
      <c r="H167" s="75" t="b">
        <f aca="false">TRUE()</f>
        <v>1</v>
      </c>
      <c r="I167" s="75" t="b">
        <f aca="false">FALSE()</f>
        <v>0</v>
      </c>
      <c r="J167" s="48" t="n">
        <v>1</v>
      </c>
      <c r="K167" s="13" t="s">
        <v>166</v>
      </c>
      <c r="L167" s="13" t="s">
        <v>222</v>
      </c>
      <c r="M167" s="13" t="s">
        <v>225</v>
      </c>
      <c r="N167" s="13"/>
      <c r="O167" s="13" t="s">
        <v>224</v>
      </c>
      <c r="P167" s="35" t="n">
        <v>20.13</v>
      </c>
      <c r="Q167" s="35" t="n">
        <v>17.09</v>
      </c>
      <c r="R167" s="46" t="n">
        <f aca="false">INT(B167)</f>
        <v>46120</v>
      </c>
      <c r="S167" s="13" t="n">
        <f aca="false">IF(AND(I167=TRUE(),COUNTIFS($R$5:R167,R167,$I$5:I167,TRUE())=1),1,0)</f>
        <v>0</v>
      </c>
      <c r="T167" s="70" t="n">
        <v>0.5</v>
      </c>
      <c r="U167" s="35" t="n">
        <v>18.99</v>
      </c>
      <c r="V167" s="35" t="n">
        <v>15.8743495</v>
      </c>
      <c r="W167" s="35" t="n">
        <v>3.04</v>
      </c>
      <c r="X167" s="13" t="s">
        <v>102</v>
      </c>
      <c r="Y167" s="46" t="n">
        <v>46118</v>
      </c>
    </row>
    <row r="168" customFormat="false" ht="15" hidden="false" customHeight="false" outlineLevel="0" collapsed="false">
      <c r="A168" s="15" t="n">
        <v>5020281831</v>
      </c>
      <c r="B168" s="76" t="n">
        <v>46120.9594097222</v>
      </c>
      <c r="C168" s="76" t="n">
        <v>46121.0105671296</v>
      </c>
      <c r="D168" s="31" t="n">
        <v>1.22777777777778</v>
      </c>
      <c r="E168" s="31" t="n">
        <v>65.881104</v>
      </c>
      <c r="F168" s="31" t="n">
        <v>62.456</v>
      </c>
      <c r="G168" s="15" t="s">
        <v>64</v>
      </c>
      <c r="H168" s="77" t="b">
        <f aca="false">TRUE()</f>
        <v>1</v>
      </c>
      <c r="I168" s="77" t="b">
        <f aca="false">TRUE()</f>
        <v>1</v>
      </c>
      <c r="J168" s="78" t="n">
        <v>1</v>
      </c>
      <c r="K168" s="15" t="s">
        <v>166</v>
      </c>
      <c r="L168" s="15" t="s">
        <v>222</v>
      </c>
      <c r="M168" s="15" t="s">
        <v>225</v>
      </c>
      <c r="N168" s="15"/>
      <c r="O168" s="15" t="s">
        <v>224</v>
      </c>
      <c r="P168" s="37" t="n">
        <v>41.43</v>
      </c>
      <c r="Q168" s="37" t="n">
        <v>35.17</v>
      </c>
      <c r="R168" s="47" t="n">
        <f aca="false">INT(B168)</f>
        <v>46120</v>
      </c>
      <c r="S168" s="15" t="n">
        <f aca="false">IF(AND(I168=TRUE(),COUNTIFS($R$5:R168,R168,$I$5:I168,TRUE())=1),1,0)</f>
        <v>1</v>
      </c>
      <c r="T168" s="69" t="n">
        <v>0.5</v>
      </c>
      <c r="U168" s="37" t="n">
        <v>39.08</v>
      </c>
      <c r="V168" s="37" t="n">
        <v>32.940552</v>
      </c>
      <c r="W168" s="37" t="n">
        <v>6.26</v>
      </c>
      <c r="X168" s="15" t="s">
        <v>102</v>
      </c>
      <c r="Y168" s="47" t="n">
        <v>46118</v>
      </c>
    </row>
    <row r="169" customFormat="false" ht="15" hidden="false" customHeight="false" outlineLevel="0" collapsed="false">
      <c r="A169" s="13" t="n">
        <v>5025598461</v>
      </c>
      <c r="B169" s="74" t="n">
        <v>46122.6690277778</v>
      </c>
      <c r="C169" s="74" t="n">
        <v>46122.6962615741</v>
      </c>
      <c r="D169" s="30" t="n">
        <v>0.653611111111111</v>
      </c>
      <c r="E169" s="30" t="n">
        <v>31.3939</v>
      </c>
      <c r="F169" s="30" t="n">
        <v>49.755</v>
      </c>
      <c r="G169" s="13" t="s">
        <v>62</v>
      </c>
      <c r="H169" s="75" t="b">
        <f aca="false">TRUE()</f>
        <v>1</v>
      </c>
      <c r="I169" s="75" t="b">
        <f aca="false">FALSE()</f>
        <v>0</v>
      </c>
      <c r="J169" s="48" t="n">
        <v>1</v>
      </c>
      <c r="K169" s="13" t="s">
        <v>166</v>
      </c>
      <c r="L169" s="13" t="s">
        <v>222</v>
      </c>
      <c r="M169" s="13" t="s">
        <v>306</v>
      </c>
      <c r="N169" s="13" t="s">
        <v>307</v>
      </c>
      <c r="O169" s="13" t="s">
        <v>224</v>
      </c>
      <c r="P169" s="35" t="n">
        <v>20.11</v>
      </c>
      <c r="Q169" s="35" t="n">
        <v>17.07</v>
      </c>
      <c r="R169" s="46" t="n">
        <f aca="false">INT(B169)</f>
        <v>46122</v>
      </c>
      <c r="S169" s="13" t="n">
        <f aca="false">IF(AND(I169=TRUE(),COUNTIFS($R$5:R169,R169,$I$5:I169,TRUE())=1),1,0)</f>
        <v>0</v>
      </c>
      <c r="T169" s="70" t="n">
        <v>0.5</v>
      </c>
      <c r="U169" s="35" t="n">
        <v>18.97</v>
      </c>
      <c r="V169" s="35" t="n">
        <v>15.69695</v>
      </c>
      <c r="W169" s="35" t="n">
        <v>3.04</v>
      </c>
      <c r="X169" s="13" t="s">
        <v>104</v>
      </c>
      <c r="Y169" s="46" t="n">
        <v>46118</v>
      </c>
    </row>
    <row r="170" customFormat="false" ht="15" hidden="false" customHeight="false" outlineLevel="0" collapsed="false">
      <c r="A170" s="15" t="n">
        <v>5025845291</v>
      </c>
      <c r="B170" s="76" t="n">
        <v>46122.7283217593</v>
      </c>
      <c r="C170" s="76" t="n">
        <v>46122.7306134259</v>
      </c>
      <c r="D170" s="31" t="n">
        <v>0.055</v>
      </c>
      <c r="E170" s="31" t="n">
        <v>2.6384</v>
      </c>
      <c r="F170" s="31" t="n">
        <v>58.967</v>
      </c>
      <c r="G170" s="15" t="s">
        <v>62</v>
      </c>
      <c r="H170" s="77" t="b">
        <f aca="false">TRUE()</f>
        <v>1</v>
      </c>
      <c r="I170" s="77" t="b">
        <f aca="false">FALSE()</f>
        <v>0</v>
      </c>
      <c r="J170" s="78" t="n">
        <v>1</v>
      </c>
      <c r="K170" s="15" t="s">
        <v>166</v>
      </c>
      <c r="L170" s="15" t="s">
        <v>222</v>
      </c>
      <c r="M170" s="15" t="s">
        <v>308</v>
      </c>
      <c r="N170" s="15" t="s">
        <v>309</v>
      </c>
      <c r="O170" s="15" t="s">
        <v>246</v>
      </c>
      <c r="P170" s="37" t="n">
        <v>1.7</v>
      </c>
      <c r="Q170" s="37" t="n">
        <v>1.44</v>
      </c>
      <c r="R170" s="47" t="n">
        <f aca="false">INT(B170)</f>
        <v>46122</v>
      </c>
      <c r="S170" s="15" t="n">
        <f aca="false">IF(AND(I170=TRUE(),COUNTIFS($R$5:R170,R170,$I$5:I170,TRUE())=1),1,0)</f>
        <v>0</v>
      </c>
      <c r="T170" s="69" t="n">
        <v>0.5</v>
      </c>
      <c r="U170" s="37" t="n">
        <v>1.6</v>
      </c>
      <c r="V170" s="37" t="n">
        <v>1.3192</v>
      </c>
      <c r="W170" s="37" t="n">
        <v>0.26</v>
      </c>
      <c r="X170" s="15" t="s">
        <v>104</v>
      </c>
      <c r="Y170" s="47" t="n">
        <v>46118</v>
      </c>
    </row>
    <row r="171" customFormat="false" ht="15" hidden="false" customHeight="false" outlineLevel="0" collapsed="false">
      <c r="A171" s="13" t="n">
        <v>5025857211</v>
      </c>
      <c r="B171" s="74" t="n">
        <v>46122.7313541667</v>
      </c>
      <c r="C171" s="74" t="n">
        <v>46122.7891782407</v>
      </c>
      <c r="D171" s="30" t="n">
        <v>1.38777777777778</v>
      </c>
      <c r="E171" s="30" t="n">
        <v>64.622597</v>
      </c>
      <c r="F171" s="30" t="n">
        <v>62.472</v>
      </c>
      <c r="G171" s="13" t="s">
        <v>62</v>
      </c>
      <c r="H171" s="75" t="b">
        <f aca="false">TRUE()</f>
        <v>1</v>
      </c>
      <c r="I171" s="75" t="b">
        <f aca="false">FALSE()</f>
        <v>0</v>
      </c>
      <c r="J171" s="48" t="n">
        <v>1</v>
      </c>
      <c r="K171" s="13" t="s">
        <v>166</v>
      </c>
      <c r="L171" s="13" t="s">
        <v>222</v>
      </c>
      <c r="M171" s="13" t="s">
        <v>308</v>
      </c>
      <c r="N171" s="13" t="s">
        <v>309</v>
      </c>
      <c r="O171" s="13" t="s">
        <v>246</v>
      </c>
      <c r="P171" s="35" t="n">
        <v>41.61</v>
      </c>
      <c r="Q171" s="35" t="n">
        <v>35.33</v>
      </c>
      <c r="R171" s="46" t="n">
        <f aca="false">INT(B171)</f>
        <v>46122</v>
      </c>
      <c r="S171" s="13" t="n">
        <f aca="false">IF(AND(I171=TRUE(),COUNTIFS($R$5:R171,R171,$I$5:I171,TRUE())=1),1,0)</f>
        <v>0</v>
      </c>
      <c r="T171" s="70" t="n">
        <v>0.5</v>
      </c>
      <c r="U171" s="35" t="n">
        <v>39.25</v>
      </c>
      <c r="V171" s="35" t="n">
        <v>32.3112985</v>
      </c>
      <c r="W171" s="35" t="n">
        <v>6.28</v>
      </c>
      <c r="X171" s="13" t="s">
        <v>104</v>
      </c>
      <c r="Y171" s="46" t="n">
        <v>46118</v>
      </c>
    </row>
    <row r="172" customFormat="false" ht="15" hidden="false" customHeight="false" outlineLevel="0" collapsed="false">
      <c r="A172" s="15" t="n">
        <v>5026498581</v>
      </c>
      <c r="B172" s="76" t="n">
        <v>46122.8886689815</v>
      </c>
      <c r="C172" s="76" t="n">
        <v>46122.9096527778</v>
      </c>
      <c r="D172" s="31" t="n">
        <v>0.503611111111111</v>
      </c>
      <c r="E172" s="31" t="n">
        <v>24.4993</v>
      </c>
      <c r="F172" s="31" t="n">
        <v>50.375</v>
      </c>
      <c r="G172" s="15" t="s">
        <v>63</v>
      </c>
      <c r="H172" s="77" t="b">
        <f aca="false">TRUE()</f>
        <v>1</v>
      </c>
      <c r="I172" s="77" t="b">
        <f aca="false">FALSE()</f>
        <v>0</v>
      </c>
      <c r="J172" s="78" t="n">
        <v>1</v>
      </c>
      <c r="K172" s="15" t="s">
        <v>166</v>
      </c>
      <c r="L172" s="15" t="s">
        <v>222</v>
      </c>
      <c r="M172" s="15" t="s">
        <v>306</v>
      </c>
      <c r="N172" s="15" t="s">
        <v>307</v>
      </c>
      <c r="O172" s="15" t="s">
        <v>224</v>
      </c>
      <c r="P172" s="37" t="n">
        <v>15.66</v>
      </c>
      <c r="Q172" s="37" t="n">
        <v>13.29</v>
      </c>
      <c r="R172" s="47" t="n">
        <f aca="false">INT(B172)</f>
        <v>46122</v>
      </c>
      <c r="S172" s="15" t="n">
        <f aca="false">IF(AND(I172=TRUE(),COUNTIFS($R$5:R172,R172,$I$5:I172,TRUE())=1),1,0)</f>
        <v>0</v>
      </c>
      <c r="T172" s="69" t="n">
        <v>0.5</v>
      </c>
      <c r="U172" s="37" t="n">
        <v>14.77</v>
      </c>
      <c r="V172" s="37" t="n">
        <v>12.24965</v>
      </c>
      <c r="W172" s="37" t="n">
        <v>2.37</v>
      </c>
      <c r="X172" s="15" t="s">
        <v>104</v>
      </c>
      <c r="Y172" s="47" t="n">
        <v>46118</v>
      </c>
    </row>
    <row r="173" customFormat="false" ht="15" hidden="false" customHeight="false" outlineLevel="0" collapsed="false">
      <c r="A173" s="13" t="n">
        <v>5028024991</v>
      </c>
      <c r="B173" s="74" t="n">
        <v>46123.529537037</v>
      </c>
      <c r="C173" s="74" t="n">
        <v>46123.5476041667</v>
      </c>
      <c r="D173" s="30" t="n">
        <v>0.433611111111111</v>
      </c>
      <c r="E173" s="30" t="n">
        <v>19.6896</v>
      </c>
      <c r="F173" s="30" t="n">
        <v>50.456</v>
      </c>
      <c r="G173" s="13" t="s">
        <v>62</v>
      </c>
      <c r="H173" s="75" t="b">
        <f aca="false">TRUE()</f>
        <v>1</v>
      </c>
      <c r="I173" s="75" t="b">
        <f aca="false">FALSE()</f>
        <v>0</v>
      </c>
      <c r="J173" s="48" t="n">
        <v>1</v>
      </c>
      <c r="K173" s="13" t="s">
        <v>166</v>
      </c>
      <c r="L173" s="13" t="s">
        <v>222</v>
      </c>
      <c r="M173" s="13" t="s">
        <v>275</v>
      </c>
      <c r="N173" s="13"/>
      <c r="O173" s="13" t="s">
        <v>224</v>
      </c>
      <c r="P173" s="35" t="n">
        <v>12.73</v>
      </c>
      <c r="Q173" s="35" t="n">
        <v>10.81</v>
      </c>
      <c r="R173" s="46" t="n">
        <f aca="false">INT(B173)</f>
        <v>46123</v>
      </c>
      <c r="S173" s="13" t="n">
        <f aca="false">IF(AND(I173=TRUE(),COUNTIFS($R$5:R173,R173,$I$5:I173,TRUE())=1),1,0)</f>
        <v>0</v>
      </c>
      <c r="T173" s="70" t="n">
        <v>0.5</v>
      </c>
      <c r="U173" s="35" t="n">
        <v>12.01</v>
      </c>
      <c r="V173" s="35" t="n">
        <v>9.8448</v>
      </c>
      <c r="W173" s="35" t="n">
        <v>1.92</v>
      </c>
      <c r="X173" s="13" t="s">
        <v>105</v>
      </c>
      <c r="Y173" s="46" t="n">
        <v>46118</v>
      </c>
    </row>
    <row r="174" customFormat="false" ht="15" hidden="false" customHeight="false" outlineLevel="0" collapsed="false">
      <c r="A174" s="15" t="n">
        <v>5028658161</v>
      </c>
      <c r="B174" s="76" t="n">
        <v>46123.7683564815</v>
      </c>
      <c r="C174" s="76" t="n">
        <v>46123.7981828704</v>
      </c>
      <c r="D174" s="31" t="n">
        <v>0.715833333333333</v>
      </c>
      <c r="E174" s="31" t="n">
        <v>29.5294</v>
      </c>
      <c r="F174" s="31" t="n">
        <v>52.919</v>
      </c>
      <c r="G174" s="15" t="s">
        <v>63</v>
      </c>
      <c r="H174" s="77" t="b">
        <f aca="false">TRUE()</f>
        <v>1</v>
      </c>
      <c r="I174" s="77" t="b">
        <f aca="false">FALSE()</f>
        <v>0</v>
      </c>
      <c r="J174" s="78" t="n">
        <v>1</v>
      </c>
      <c r="K174" s="15" t="s">
        <v>166</v>
      </c>
      <c r="L174" s="15" t="s">
        <v>222</v>
      </c>
      <c r="M174" s="15" t="s">
        <v>303</v>
      </c>
      <c r="N174" s="15" t="s">
        <v>304</v>
      </c>
      <c r="O174" s="15" t="s">
        <v>305</v>
      </c>
      <c r="P174" s="37" t="n">
        <v>19.44</v>
      </c>
      <c r="Q174" s="37" t="n">
        <v>16.51</v>
      </c>
      <c r="R174" s="47" t="n">
        <f aca="false">INT(B174)</f>
        <v>46123</v>
      </c>
      <c r="S174" s="15" t="n">
        <f aca="false">IF(AND(I174=TRUE(),COUNTIFS($R$5:R174,R174,$I$5:I174,TRUE())=1),1,0)</f>
        <v>0</v>
      </c>
      <c r="T174" s="69" t="n">
        <v>0.5</v>
      </c>
      <c r="U174" s="37" t="n">
        <v>18.34</v>
      </c>
      <c r="V174" s="37" t="n">
        <v>14.7647</v>
      </c>
      <c r="W174" s="37" t="n">
        <v>2.93</v>
      </c>
      <c r="X174" s="15" t="s">
        <v>105</v>
      </c>
      <c r="Y174" s="47" t="n">
        <v>46118</v>
      </c>
    </row>
    <row r="175" customFormat="false" ht="15" hidden="false" customHeight="false" outlineLevel="0" collapsed="false">
      <c r="A175" s="13" t="n">
        <v>5029103421</v>
      </c>
      <c r="B175" s="74" t="n">
        <v>46123.8991666667</v>
      </c>
      <c r="C175" s="74" t="n">
        <v>46123.9055092593</v>
      </c>
      <c r="D175" s="30" t="n">
        <v>0.152222222222222</v>
      </c>
      <c r="E175" s="30" t="n">
        <v>7.4431</v>
      </c>
      <c r="F175" s="30" t="n">
        <v>0</v>
      </c>
      <c r="G175" s="13" t="s">
        <v>63</v>
      </c>
      <c r="H175" s="75" t="b">
        <f aca="false">FALSE()</f>
        <v>0</v>
      </c>
      <c r="I175" s="75" t="b">
        <f aca="false">FALSE()</f>
        <v>0</v>
      </c>
      <c r="J175" s="48"/>
      <c r="K175" s="13" t="s">
        <v>166</v>
      </c>
      <c r="L175" s="13" t="s">
        <v>222</v>
      </c>
      <c r="M175" s="13" t="s">
        <v>310</v>
      </c>
      <c r="N175" s="13"/>
      <c r="O175" s="13" t="s">
        <v>224</v>
      </c>
      <c r="P175" s="35" t="n">
        <v>4.75</v>
      </c>
      <c r="Q175" s="35" t="n">
        <v>4.03</v>
      </c>
      <c r="R175" s="46" t="n">
        <f aca="false">INT(B175)</f>
        <v>46123</v>
      </c>
      <c r="S175" s="13" t="n">
        <f aca="false">IF(AND(I175=TRUE(),COUNTIFS($R$5:R175,R175,$I$5:I175,TRUE())=1),1,0)</f>
        <v>0</v>
      </c>
      <c r="T175" s="70" t="n">
        <v>0.5</v>
      </c>
      <c r="U175" s="35" t="n">
        <v>4.48</v>
      </c>
      <c r="V175" s="35" t="n">
        <v>3.72155</v>
      </c>
      <c r="W175" s="35" t="n">
        <v>0.72</v>
      </c>
      <c r="X175" s="13" t="s">
        <v>105</v>
      </c>
      <c r="Y175" s="46" t="n">
        <v>46118</v>
      </c>
    </row>
    <row r="176" customFormat="false" ht="15" hidden="false" customHeight="false" outlineLevel="0" collapsed="false">
      <c r="A176" s="15" t="n">
        <v>5030585331</v>
      </c>
      <c r="B176" s="76" t="n">
        <v>46124.6592361111</v>
      </c>
      <c r="C176" s="76" t="n">
        <v>46124.7063773148</v>
      </c>
      <c r="D176" s="31" t="n">
        <v>1.13138888888889</v>
      </c>
      <c r="E176" s="31" t="n">
        <v>45.835899</v>
      </c>
      <c r="F176" s="31" t="n">
        <v>54.75</v>
      </c>
      <c r="G176" s="15" t="s">
        <v>62</v>
      </c>
      <c r="H176" s="77" t="b">
        <f aca="false">TRUE()</f>
        <v>1</v>
      </c>
      <c r="I176" s="77" t="b">
        <f aca="false">FALSE()</f>
        <v>0</v>
      </c>
      <c r="J176" s="78" t="n">
        <v>1</v>
      </c>
      <c r="K176" s="15" t="s">
        <v>166</v>
      </c>
      <c r="L176" s="15" t="s">
        <v>222</v>
      </c>
      <c r="M176" s="15" t="s">
        <v>311</v>
      </c>
      <c r="N176" s="15"/>
      <c r="O176" s="15" t="s">
        <v>279</v>
      </c>
      <c r="P176" s="37" t="n">
        <v>30.3</v>
      </c>
      <c r="Q176" s="37" t="n">
        <v>25.72</v>
      </c>
      <c r="R176" s="47" t="n">
        <f aca="false">INT(B176)</f>
        <v>46124</v>
      </c>
      <c r="S176" s="15" t="n">
        <f aca="false">IF(AND(I176=TRUE(),COUNTIFS($R$5:R176,R176,$I$5:I176,TRUE())=1),1,0)</f>
        <v>0</v>
      </c>
      <c r="T176" s="69" t="n">
        <v>0.5</v>
      </c>
      <c r="U176" s="37" t="n">
        <v>28.58</v>
      </c>
      <c r="V176" s="37" t="n">
        <v>22.9179495</v>
      </c>
      <c r="W176" s="37" t="n">
        <v>4.58</v>
      </c>
      <c r="X176" s="15" t="s">
        <v>106</v>
      </c>
      <c r="Y176" s="47" t="n">
        <v>46118</v>
      </c>
    </row>
    <row r="177" customFormat="false" ht="15" hidden="false" customHeight="false" outlineLevel="0" collapsed="false">
      <c r="A177" s="13" t="n">
        <v>5031194051</v>
      </c>
      <c r="B177" s="74" t="n">
        <v>46124.8596064815</v>
      </c>
      <c r="C177" s="74" t="n">
        <v>46124.8844212963</v>
      </c>
      <c r="D177" s="30" t="n">
        <v>0.595555555555556</v>
      </c>
      <c r="E177" s="30" t="n">
        <v>33.451698</v>
      </c>
      <c r="F177" s="30" t="n">
        <v>60.84</v>
      </c>
      <c r="G177" s="13" t="s">
        <v>63</v>
      </c>
      <c r="H177" s="75" t="b">
        <f aca="false">TRUE()</f>
        <v>1</v>
      </c>
      <c r="I177" s="75" t="b">
        <f aca="false">FALSE()</f>
        <v>0</v>
      </c>
      <c r="J177" s="48" t="n">
        <v>1</v>
      </c>
      <c r="K177" s="13" t="s">
        <v>166</v>
      </c>
      <c r="L177" s="13" t="s">
        <v>228</v>
      </c>
      <c r="M177" s="13"/>
      <c r="N177" s="13"/>
      <c r="O177" s="13"/>
      <c r="P177" s="35" t="n">
        <v>20.89</v>
      </c>
      <c r="Q177" s="35" t="n">
        <v>17.74</v>
      </c>
      <c r="R177" s="46" t="n">
        <f aca="false">INT(B177)</f>
        <v>46124</v>
      </c>
      <c r="S177" s="13" t="n">
        <f aca="false">IF(AND(I177=TRUE(),COUNTIFS($R$5:R177,R177,$I$5:I177,TRUE())=1),1,0)</f>
        <v>0</v>
      </c>
      <c r="T177" s="70" t="n">
        <v>0.5</v>
      </c>
      <c r="U177" s="35" t="n">
        <v>19.71</v>
      </c>
      <c r="V177" s="35" t="n">
        <v>16.725849</v>
      </c>
      <c r="W177" s="35" t="n">
        <v>3.15</v>
      </c>
      <c r="X177" s="13" t="s">
        <v>106</v>
      </c>
      <c r="Y177" s="46" t="n">
        <v>46118</v>
      </c>
    </row>
    <row r="178" customFormat="false" ht="15" hidden="false" customHeight="false" outlineLevel="0" collapsed="false">
      <c r="A178" s="15" t="n">
        <v>5031508871</v>
      </c>
      <c r="B178" s="76" t="n">
        <v>46124.9525462963</v>
      </c>
      <c r="C178" s="76" t="n">
        <v>46124.9705208333</v>
      </c>
      <c r="D178" s="31" t="n">
        <v>0.431388888888889</v>
      </c>
      <c r="E178" s="31" t="n">
        <v>22.333099</v>
      </c>
      <c r="F178" s="31" t="n">
        <v>54.75</v>
      </c>
      <c r="G178" s="15" t="s">
        <v>64</v>
      </c>
      <c r="H178" s="77" t="b">
        <f aca="false">TRUE()</f>
        <v>1</v>
      </c>
      <c r="I178" s="77" t="b">
        <f aca="false">TRUE()</f>
        <v>1</v>
      </c>
      <c r="J178" s="78" t="n">
        <v>1</v>
      </c>
      <c r="K178" s="15" t="s">
        <v>166</v>
      </c>
      <c r="L178" s="15" t="s">
        <v>222</v>
      </c>
      <c r="M178" s="15" t="s">
        <v>312</v>
      </c>
      <c r="N178" s="15"/>
      <c r="O178" s="15" t="s">
        <v>224</v>
      </c>
      <c r="P178" s="37" t="n">
        <v>14.13</v>
      </c>
      <c r="Q178" s="37" t="n">
        <v>12</v>
      </c>
      <c r="R178" s="47" t="n">
        <f aca="false">INT(B178)</f>
        <v>46124</v>
      </c>
      <c r="S178" s="15" t="n">
        <f aca="false">IF(AND(I178=TRUE(),COUNTIFS($R$5:R178,R178,$I$5:I178,TRUE())=1),1,0)</f>
        <v>1</v>
      </c>
      <c r="T178" s="69" t="n">
        <v>0.5</v>
      </c>
      <c r="U178" s="37" t="n">
        <v>13.33</v>
      </c>
      <c r="V178" s="37" t="n">
        <v>11.1665495</v>
      </c>
      <c r="W178" s="37" t="n">
        <v>2.13</v>
      </c>
      <c r="X178" s="15" t="s">
        <v>106</v>
      </c>
      <c r="Y178" s="47" t="n">
        <v>46118</v>
      </c>
    </row>
    <row r="179" customFormat="false" ht="15" hidden="false" customHeight="false" outlineLevel="0" collapsed="false">
      <c r="A179" s="13" t="n">
        <v>5033803371</v>
      </c>
      <c r="B179" s="74" t="n">
        <v>46125.7790740741</v>
      </c>
      <c r="C179" s="74" t="n">
        <v>46125.8474189815</v>
      </c>
      <c r="D179" s="30" t="n">
        <v>1.64027777777778</v>
      </c>
      <c r="E179" s="30" t="n">
        <v>79.641098</v>
      </c>
      <c r="F179" s="30" t="n">
        <v>62.472</v>
      </c>
      <c r="G179" s="13" t="s">
        <v>63</v>
      </c>
      <c r="H179" s="75" t="b">
        <f aca="false">TRUE()</f>
        <v>1</v>
      </c>
      <c r="I179" s="75" t="b">
        <f aca="false">FALSE()</f>
        <v>0</v>
      </c>
      <c r="J179" s="48" t="n">
        <v>1</v>
      </c>
      <c r="K179" s="13" t="s">
        <v>166</v>
      </c>
      <c r="L179" s="13" t="s">
        <v>222</v>
      </c>
      <c r="M179" s="13" t="s">
        <v>225</v>
      </c>
      <c r="N179" s="13"/>
      <c r="O179" s="13" t="s">
        <v>224</v>
      </c>
      <c r="P179" s="35" t="n">
        <v>50.9</v>
      </c>
      <c r="Q179" s="35" t="n">
        <v>43.22</v>
      </c>
      <c r="R179" s="46" t="n">
        <f aca="false">INT(B179)</f>
        <v>46125</v>
      </c>
      <c r="S179" s="13" t="n">
        <f aca="false">IF(AND(I179=TRUE(),COUNTIFS($R$5:R179,R179,$I$5:I179,TRUE())=1),1,0)</f>
        <v>0</v>
      </c>
      <c r="T179" s="70" t="n">
        <v>0.5</v>
      </c>
      <c r="U179" s="35" t="n">
        <v>48.02</v>
      </c>
      <c r="V179" s="35" t="n">
        <v>39.820549</v>
      </c>
      <c r="W179" s="35" t="n">
        <v>7.68</v>
      </c>
      <c r="X179" s="13" t="s">
        <v>100</v>
      </c>
      <c r="Y179" s="46" t="n">
        <v>46125</v>
      </c>
    </row>
    <row r="180" customFormat="false" ht="15" hidden="false" customHeight="false" outlineLevel="0" collapsed="false">
      <c r="A180" s="15" t="n">
        <v>5041429431</v>
      </c>
      <c r="B180" s="76" t="n">
        <v>46127.9873263889</v>
      </c>
      <c r="C180" s="76" t="n">
        <v>46128.005474537</v>
      </c>
      <c r="D180" s="31" t="n">
        <v>0.435555555555556</v>
      </c>
      <c r="E180" s="31" t="n">
        <v>25.6824</v>
      </c>
      <c r="F180" s="31" t="n">
        <v>62.243</v>
      </c>
      <c r="G180" s="15" t="s">
        <v>64</v>
      </c>
      <c r="H180" s="77" t="b">
        <f aca="false">TRUE()</f>
        <v>1</v>
      </c>
      <c r="I180" s="77" t="b">
        <f aca="false">TRUE()</f>
        <v>1</v>
      </c>
      <c r="J180" s="78" t="n">
        <v>1</v>
      </c>
      <c r="K180" s="15" t="s">
        <v>166</v>
      </c>
      <c r="L180" s="15" t="s">
        <v>222</v>
      </c>
      <c r="M180" s="15" t="s">
        <v>225</v>
      </c>
      <c r="N180" s="15"/>
      <c r="O180" s="15" t="s">
        <v>224</v>
      </c>
      <c r="P180" s="37" t="n">
        <v>15.92</v>
      </c>
      <c r="Q180" s="37" t="n">
        <v>13.52</v>
      </c>
      <c r="R180" s="47" t="n">
        <f aca="false">INT(B180)</f>
        <v>46127</v>
      </c>
      <c r="S180" s="15" t="n">
        <f aca="false">IF(AND(I180=TRUE(),COUNTIFS($R$5:R180,R180,$I$5:I180,TRUE())=1),1,0)</f>
        <v>1</v>
      </c>
      <c r="T180" s="69" t="n">
        <v>0.5</v>
      </c>
      <c r="U180" s="37" t="n">
        <v>15.02</v>
      </c>
      <c r="V180" s="37" t="n">
        <v>12.8412</v>
      </c>
      <c r="W180" s="37" t="n">
        <v>2.4</v>
      </c>
      <c r="X180" s="15" t="s">
        <v>102</v>
      </c>
      <c r="Y180" s="47" t="n">
        <v>46125</v>
      </c>
    </row>
    <row r="181" customFormat="false" ht="15" hidden="false" customHeight="false" outlineLevel="0" collapsed="false">
      <c r="A181" s="13" t="n">
        <v>5048198951</v>
      </c>
      <c r="B181" s="74" t="n">
        <v>46129.9179976852</v>
      </c>
      <c r="C181" s="74" t="n">
        <v>46129.9312384259</v>
      </c>
      <c r="D181" s="30" t="n">
        <v>0.317777777777778</v>
      </c>
      <c r="E181" s="30" t="n">
        <v>14.6061</v>
      </c>
      <c r="F181" s="30" t="n">
        <v>49.134</v>
      </c>
      <c r="G181" s="13" t="s">
        <v>64</v>
      </c>
      <c r="H181" s="75" t="b">
        <f aca="false">TRUE()</f>
        <v>1</v>
      </c>
      <c r="I181" s="75" t="b">
        <f aca="false">TRUE()</f>
        <v>1</v>
      </c>
      <c r="J181" s="48" t="n">
        <v>1</v>
      </c>
      <c r="K181" s="13" t="s">
        <v>166</v>
      </c>
      <c r="L181" s="13" t="s">
        <v>222</v>
      </c>
      <c r="M181" s="13" t="s">
        <v>313</v>
      </c>
      <c r="N181" s="13" t="s">
        <v>232</v>
      </c>
      <c r="O181" s="13" t="s">
        <v>224</v>
      </c>
      <c r="P181" s="35" t="n">
        <v>9.43</v>
      </c>
      <c r="Q181" s="35" t="n">
        <v>8</v>
      </c>
      <c r="R181" s="46" t="n">
        <f aca="false">INT(B181)</f>
        <v>46129</v>
      </c>
      <c r="S181" s="13" t="n">
        <f aca="false">IF(AND(I181=TRUE(),COUNTIFS($R$5:R181,R181,$I$5:I181,TRUE())=1),1,0)</f>
        <v>1</v>
      </c>
      <c r="T181" s="70" t="n">
        <v>0.5</v>
      </c>
      <c r="U181" s="35" t="n">
        <v>8.89</v>
      </c>
      <c r="V181" s="35" t="n">
        <v>7.30305</v>
      </c>
      <c r="W181" s="35" t="n">
        <v>1.43</v>
      </c>
      <c r="X181" s="13" t="s">
        <v>104</v>
      </c>
      <c r="Y181" s="46" t="n">
        <v>46125</v>
      </c>
    </row>
    <row r="182" customFormat="false" ht="15" hidden="false" customHeight="false" outlineLevel="0" collapsed="false">
      <c r="A182" s="15" t="n">
        <v>5049917011</v>
      </c>
      <c r="B182" s="76" t="n">
        <v>46130.6173611111</v>
      </c>
      <c r="C182" s="76" t="n">
        <v>46130.6689236111</v>
      </c>
      <c r="D182" s="31" t="n">
        <v>1.2375</v>
      </c>
      <c r="E182" s="31" t="n">
        <v>53.255798</v>
      </c>
      <c r="F182" s="31" t="n">
        <v>62.513</v>
      </c>
      <c r="G182" s="15" t="s">
        <v>62</v>
      </c>
      <c r="H182" s="77" t="b">
        <f aca="false">TRUE()</f>
        <v>1</v>
      </c>
      <c r="I182" s="77" t="b">
        <f aca="false">FALSE()</f>
        <v>0</v>
      </c>
      <c r="J182" s="78" t="n">
        <v>1</v>
      </c>
      <c r="K182" s="15" t="s">
        <v>166</v>
      </c>
      <c r="L182" s="15" t="s">
        <v>222</v>
      </c>
      <c r="M182" s="15" t="s">
        <v>288</v>
      </c>
      <c r="N182" s="15" t="s">
        <v>289</v>
      </c>
      <c r="O182" s="15" t="s">
        <v>224</v>
      </c>
      <c r="P182" s="37" t="n">
        <v>34.79</v>
      </c>
      <c r="Q182" s="37" t="n">
        <v>29.54</v>
      </c>
      <c r="R182" s="47" t="n">
        <f aca="false">INT(B182)</f>
        <v>46130</v>
      </c>
      <c r="S182" s="15" t="n">
        <f aca="false">IF(AND(I182=TRUE(),COUNTIFS($R$5:R182,R182,$I$5:I182,TRUE())=1),1,0)</f>
        <v>0</v>
      </c>
      <c r="T182" s="69" t="n">
        <v>0.5</v>
      </c>
      <c r="U182" s="37" t="n">
        <v>32.82</v>
      </c>
      <c r="V182" s="37" t="n">
        <v>26.627899</v>
      </c>
      <c r="W182" s="37" t="n">
        <v>5.25</v>
      </c>
      <c r="X182" s="15" t="s">
        <v>105</v>
      </c>
      <c r="Y182" s="47" t="n">
        <v>46125</v>
      </c>
    </row>
    <row r="183" customFormat="false" ht="15" hidden="false" customHeight="false" outlineLevel="0" collapsed="false">
      <c r="A183" s="13" t="n">
        <v>5050854891</v>
      </c>
      <c r="B183" s="74" t="n">
        <v>46130.8823611111</v>
      </c>
      <c r="C183" s="74" t="n">
        <v>46130.903912037</v>
      </c>
      <c r="D183" s="30" t="n">
        <v>0.517222222222222</v>
      </c>
      <c r="E183" s="30" t="n">
        <v>26.8976</v>
      </c>
      <c r="F183" s="30" t="n">
        <v>62.472</v>
      </c>
      <c r="G183" s="13" t="s">
        <v>63</v>
      </c>
      <c r="H183" s="75" t="b">
        <f aca="false">TRUE()</f>
        <v>1</v>
      </c>
      <c r="I183" s="75" t="b">
        <f aca="false">FALSE()</f>
        <v>0</v>
      </c>
      <c r="J183" s="48" t="n">
        <v>1</v>
      </c>
      <c r="K183" s="13" t="s">
        <v>166</v>
      </c>
      <c r="L183" s="13" t="s">
        <v>222</v>
      </c>
      <c r="M183" s="13" t="s">
        <v>288</v>
      </c>
      <c r="N183" s="13" t="s">
        <v>289</v>
      </c>
      <c r="O183" s="13" t="s">
        <v>224</v>
      </c>
      <c r="P183" s="35" t="n">
        <v>17.01</v>
      </c>
      <c r="Q183" s="35" t="n">
        <v>14.44</v>
      </c>
      <c r="R183" s="46" t="n">
        <f aca="false">INT(B183)</f>
        <v>46130</v>
      </c>
      <c r="S183" s="13" t="n">
        <f aca="false">IF(AND(I183=TRUE(),COUNTIFS($R$5:R183,R183,$I$5:I183,TRUE())=1),1,0)</f>
        <v>0</v>
      </c>
      <c r="T183" s="70" t="n">
        <v>0.5</v>
      </c>
      <c r="U183" s="35" t="n">
        <v>16.04</v>
      </c>
      <c r="V183" s="35" t="n">
        <v>13.4488</v>
      </c>
      <c r="W183" s="35" t="n">
        <v>2.57</v>
      </c>
      <c r="X183" s="13" t="s">
        <v>105</v>
      </c>
      <c r="Y183" s="46" t="n">
        <v>46125</v>
      </c>
    </row>
    <row r="184" customFormat="false" ht="15" hidden="false" customHeight="false" outlineLevel="0" collapsed="false">
      <c r="A184" s="15" t="n">
        <v>5052659961</v>
      </c>
      <c r="B184" s="76" t="n">
        <v>46131.6969907407</v>
      </c>
      <c r="C184" s="76" t="n">
        <v>46131.7130092593</v>
      </c>
      <c r="D184" s="31" t="n">
        <v>0.384444444444444</v>
      </c>
      <c r="E184" s="31" t="n">
        <v>15.6444</v>
      </c>
      <c r="F184" s="31" t="n">
        <v>52.895</v>
      </c>
      <c r="G184" s="15" t="s">
        <v>62</v>
      </c>
      <c r="H184" s="77" t="b">
        <f aca="false">TRUE()</f>
        <v>1</v>
      </c>
      <c r="I184" s="77" t="b">
        <f aca="false">FALSE()</f>
        <v>0</v>
      </c>
      <c r="J184" s="78" t="n">
        <v>0.918367346938776</v>
      </c>
      <c r="K184" s="15" t="s">
        <v>166</v>
      </c>
      <c r="L184" s="15" t="s">
        <v>222</v>
      </c>
      <c r="M184" s="15" t="s">
        <v>293</v>
      </c>
      <c r="N184" s="15" t="s">
        <v>294</v>
      </c>
      <c r="O184" s="15" t="s">
        <v>227</v>
      </c>
      <c r="P184" s="37" t="n">
        <v>10.33</v>
      </c>
      <c r="Q184" s="37" t="n">
        <v>8.77</v>
      </c>
      <c r="R184" s="47" t="n">
        <f aca="false">INT(B184)</f>
        <v>46131</v>
      </c>
      <c r="S184" s="15" t="n">
        <f aca="false">IF(AND(I184=TRUE(),COUNTIFS($R$5:R184,R184,$I$5:I184,TRUE())=1),1,0)</f>
        <v>0</v>
      </c>
      <c r="T184" s="69" t="n">
        <v>0.5</v>
      </c>
      <c r="U184" s="37" t="n">
        <v>9.74</v>
      </c>
      <c r="V184" s="37" t="n">
        <v>7.8222</v>
      </c>
      <c r="W184" s="37" t="n">
        <v>1.56</v>
      </c>
      <c r="X184" s="15" t="s">
        <v>106</v>
      </c>
      <c r="Y184" s="47" t="n">
        <v>46125</v>
      </c>
    </row>
    <row r="185" customFormat="false" ht="15" hidden="false" customHeight="false" outlineLevel="0" collapsed="false">
      <c r="A185" s="13" t="n">
        <v>5060229571</v>
      </c>
      <c r="B185" s="74" t="n">
        <v>46133.9175694444</v>
      </c>
      <c r="C185" s="74" t="n">
        <v>46133.9178703704</v>
      </c>
      <c r="D185" s="30" t="n">
        <v>0.0072222222222222</v>
      </c>
      <c r="E185" s="30" t="n">
        <v>0</v>
      </c>
      <c r="F185" s="30"/>
      <c r="G185" s="13" t="s">
        <v>64</v>
      </c>
      <c r="H185" s="75" t="b">
        <f aca="false">FALSE()</f>
        <v>0</v>
      </c>
      <c r="I185" s="75" t="b">
        <f aca="false">TRUE()</f>
        <v>1</v>
      </c>
      <c r="J185" s="48"/>
      <c r="K185" s="13" t="s">
        <v>166</v>
      </c>
      <c r="L185" s="13" t="s">
        <v>222</v>
      </c>
      <c r="M185" s="13"/>
      <c r="N185" s="13"/>
      <c r="O185" s="13"/>
      <c r="P185" s="35"/>
      <c r="Q185" s="35"/>
      <c r="R185" s="46" t="n">
        <f aca="false">INT(B185)</f>
        <v>46133</v>
      </c>
      <c r="S185" s="13" t="n">
        <f aca="false">IF(AND(I185=TRUE(),COUNTIFS($R$5:R185,R185,$I$5:I185,TRUE())=1),1,0)</f>
        <v>1</v>
      </c>
      <c r="T185" s="70"/>
      <c r="U185" s="35"/>
      <c r="V185" s="35"/>
      <c r="W185" s="35"/>
      <c r="X185" s="13" t="s">
        <v>101</v>
      </c>
      <c r="Y185" s="46" t="n">
        <v>46132</v>
      </c>
    </row>
    <row r="186" customFormat="false" ht="15" hidden="false" customHeight="false" outlineLevel="0" collapsed="false">
      <c r="A186" s="15" t="n">
        <v>5060245441</v>
      </c>
      <c r="B186" s="76" t="n">
        <v>46133.9211921296</v>
      </c>
      <c r="C186" s="76" t="n">
        <v>46133.9213425926</v>
      </c>
      <c r="D186" s="31" t="n">
        <v>0.0036111111111111</v>
      </c>
      <c r="E186" s="31" t="n">
        <v>0</v>
      </c>
      <c r="F186" s="31"/>
      <c r="G186" s="15" t="s">
        <v>64</v>
      </c>
      <c r="H186" s="77" t="b">
        <f aca="false">FALSE()</f>
        <v>0</v>
      </c>
      <c r="I186" s="77" t="b">
        <f aca="false">TRUE()</f>
        <v>1</v>
      </c>
      <c r="J186" s="78"/>
      <c r="K186" s="15" t="s">
        <v>168</v>
      </c>
      <c r="L186" s="15" t="s">
        <v>222</v>
      </c>
      <c r="M186" s="15"/>
      <c r="N186" s="15"/>
      <c r="O186" s="15"/>
      <c r="P186" s="37"/>
      <c r="Q186" s="37"/>
      <c r="R186" s="47" t="n">
        <f aca="false">INT(B186)</f>
        <v>46133</v>
      </c>
      <c r="S186" s="15" t="n">
        <f aca="false">IF(AND(I186=TRUE(),COUNTIFS($R$5:R186,R186,$I$5:I186,TRUE())=1),1,0)</f>
        <v>0</v>
      </c>
      <c r="T186" s="69"/>
      <c r="U186" s="37"/>
      <c r="V186" s="37"/>
      <c r="W186" s="37"/>
      <c r="X186" s="15" t="s">
        <v>101</v>
      </c>
      <c r="Y186" s="47" t="n">
        <v>46132</v>
      </c>
    </row>
    <row r="187" customFormat="false" ht="15" hidden="false" customHeight="false" outlineLevel="0" collapsed="false">
      <c r="A187" s="13" t="n">
        <v>5061959491</v>
      </c>
      <c r="B187" s="74" t="n">
        <v>46134.5503703704</v>
      </c>
      <c r="C187" s="74" t="n">
        <v>46134.5517592593</v>
      </c>
      <c r="D187" s="30" t="n">
        <v>0.0333333333333333</v>
      </c>
      <c r="E187" s="30" t="n">
        <v>0</v>
      </c>
      <c r="F187" s="30" t="n">
        <v>0</v>
      </c>
      <c r="G187" s="13" t="s">
        <v>62</v>
      </c>
      <c r="H187" s="75" t="b">
        <f aca="false">FALSE()</f>
        <v>0</v>
      </c>
      <c r="I187" s="75" t="b">
        <f aca="false">FALSE()</f>
        <v>0</v>
      </c>
      <c r="J187" s="48"/>
      <c r="K187" s="13" t="s">
        <v>166</v>
      </c>
      <c r="L187" s="13" t="s">
        <v>222</v>
      </c>
      <c r="M187" s="13"/>
      <c r="N187" s="13"/>
      <c r="O187" s="13"/>
      <c r="P187" s="35"/>
      <c r="Q187" s="35"/>
      <c r="R187" s="46" t="n">
        <f aca="false">INT(B187)</f>
        <v>46134</v>
      </c>
      <c r="S187" s="13" t="n">
        <f aca="false">IF(AND(I187=TRUE(),COUNTIFS($R$5:R187,R187,$I$5:I187,TRUE())=1),1,0)</f>
        <v>0</v>
      </c>
      <c r="T187" s="70"/>
      <c r="U187" s="35"/>
      <c r="V187" s="35"/>
      <c r="W187" s="35"/>
      <c r="X187" s="13" t="s">
        <v>102</v>
      </c>
      <c r="Y187" s="46" t="n">
        <v>46132</v>
      </c>
    </row>
    <row r="188" customFormat="false" ht="15" hidden="false" customHeight="false" outlineLevel="0" collapsed="false">
      <c r="A188" s="15" t="n">
        <v>5061988191</v>
      </c>
      <c r="B188" s="76" t="n">
        <v>46134.557962963</v>
      </c>
      <c r="C188" s="76" t="n">
        <v>46134.5602546296</v>
      </c>
      <c r="D188" s="31" t="n">
        <v>0.055</v>
      </c>
      <c r="E188" s="31" t="n">
        <v>0.336346</v>
      </c>
      <c r="F188" s="31" t="n">
        <v>7.2545</v>
      </c>
      <c r="G188" s="15" t="s">
        <v>62</v>
      </c>
      <c r="H188" s="77" t="b">
        <f aca="false">FALSE()</f>
        <v>0</v>
      </c>
      <c r="I188" s="77" t="b">
        <f aca="false">FALSE()</f>
        <v>0</v>
      </c>
      <c r="J188" s="78"/>
      <c r="K188" s="15" t="s">
        <v>168</v>
      </c>
      <c r="L188" s="15" t="s">
        <v>222</v>
      </c>
      <c r="M188" s="15" t="s">
        <v>314</v>
      </c>
      <c r="N188" s="15" t="s">
        <v>315</v>
      </c>
      <c r="O188" s="15" t="s">
        <v>264</v>
      </c>
      <c r="P188" s="37" t="n">
        <v>0.48</v>
      </c>
      <c r="Q188" s="37" t="n">
        <v>0.41</v>
      </c>
      <c r="R188" s="47" t="n">
        <f aca="false">INT(B188)</f>
        <v>46134</v>
      </c>
      <c r="S188" s="15" t="n">
        <f aca="false">IF(AND(I188=TRUE(),COUNTIFS($R$5:R188,R188,$I$5:I188,TRUE())=1),1,0)</f>
        <v>0</v>
      </c>
      <c r="T188" s="69" t="n">
        <v>0.5</v>
      </c>
      <c r="U188" s="37" t="n">
        <v>0.45</v>
      </c>
      <c r="V188" s="37" t="n">
        <v>0.168173</v>
      </c>
      <c r="W188" s="37" t="n">
        <v>0.07</v>
      </c>
      <c r="X188" s="15" t="s">
        <v>102</v>
      </c>
      <c r="Y188" s="47" t="n">
        <v>46132</v>
      </c>
    </row>
    <row r="189" customFormat="false" ht="15" hidden="false" customHeight="false" outlineLevel="0" collapsed="false">
      <c r="A189" s="13" t="n">
        <v>5062680061</v>
      </c>
      <c r="B189" s="74" t="n">
        <v>46134.7019560185</v>
      </c>
      <c r="C189" s="74" t="n">
        <v>46134.7140625</v>
      </c>
      <c r="D189" s="30" t="n">
        <v>0.290555555555556</v>
      </c>
      <c r="E189" s="30" t="n">
        <v>2.029098</v>
      </c>
      <c r="F189" s="30" t="n">
        <v>7.25</v>
      </c>
      <c r="G189" s="13" t="s">
        <v>62</v>
      </c>
      <c r="H189" s="75" t="b">
        <f aca="false">FALSE()</f>
        <v>0</v>
      </c>
      <c r="I189" s="75" t="b">
        <f aca="false">FALSE()</f>
        <v>0</v>
      </c>
      <c r="J189" s="48" t="n">
        <v>0</v>
      </c>
      <c r="K189" s="13" t="s">
        <v>168</v>
      </c>
      <c r="L189" s="13" t="s">
        <v>222</v>
      </c>
      <c r="M189" s="13" t="s">
        <v>314</v>
      </c>
      <c r="N189" s="13" t="s">
        <v>315</v>
      </c>
      <c r="O189" s="13" t="s">
        <v>264</v>
      </c>
      <c r="P189" s="35" t="n">
        <v>2.61</v>
      </c>
      <c r="Q189" s="35" t="n">
        <v>2.21</v>
      </c>
      <c r="R189" s="46" t="n">
        <f aca="false">INT(B189)</f>
        <v>46134</v>
      </c>
      <c r="S189" s="13" t="n">
        <f aca="false">IF(AND(I189=TRUE(),COUNTIFS($R$5:R189,R189,$I$5:I189,TRUE())=1),1,0)</f>
        <v>0</v>
      </c>
      <c r="T189" s="70" t="n">
        <v>0.5</v>
      </c>
      <c r="U189" s="35" t="n">
        <v>2.46</v>
      </c>
      <c r="V189" s="35" t="n">
        <v>1.014549</v>
      </c>
      <c r="W189" s="35" t="n">
        <v>0.4</v>
      </c>
      <c r="X189" s="13" t="s">
        <v>102</v>
      </c>
      <c r="Y189" s="46" t="n">
        <v>46132</v>
      </c>
    </row>
    <row r="190" customFormat="false" ht="15" hidden="false" customHeight="false" outlineLevel="0" collapsed="false">
      <c r="A190" s="15" t="n">
        <v>5063306431</v>
      </c>
      <c r="B190" s="76" t="n">
        <v>46134.8539930556</v>
      </c>
      <c r="C190" s="76" t="n">
        <v>46134.8662615741</v>
      </c>
      <c r="D190" s="31" t="n">
        <v>0.294444444444444</v>
      </c>
      <c r="E190" s="31" t="n">
        <v>14.9672</v>
      </c>
      <c r="F190" s="31" t="n">
        <v>56.299</v>
      </c>
      <c r="G190" s="15" t="s">
        <v>63</v>
      </c>
      <c r="H190" s="77" t="b">
        <f aca="false">TRUE()</f>
        <v>1</v>
      </c>
      <c r="I190" s="77" t="b">
        <f aca="false">FALSE()</f>
        <v>0</v>
      </c>
      <c r="J190" s="78" t="n">
        <v>1</v>
      </c>
      <c r="K190" s="15" t="s">
        <v>166</v>
      </c>
      <c r="L190" s="15" t="s">
        <v>228</v>
      </c>
      <c r="M190" s="15"/>
      <c r="N190" s="15"/>
      <c r="O190" s="15"/>
      <c r="P190" s="37" t="n">
        <v>9.44</v>
      </c>
      <c r="Q190" s="37" t="n">
        <v>8.01</v>
      </c>
      <c r="R190" s="47" t="n">
        <f aca="false">INT(B190)</f>
        <v>46134</v>
      </c>
      <c r="S190" s="15" t="n">
        <f aca="false">IF(AND(I190=TRUE(),COUNTIFS($R$5:R190,R190,$I$5:I190,TRUE())=1),1,0)</f>
        <v>0</v>
      </c>
      <c r="T190" s="69" t="n">
        <v>0.5</v>
      </c>
      <c r="U190" s="37" t="n">
        <v>8.9</v>
      </c>
      <c r="V190" s="37" t="n">
        <v>7.4836</v>
      </c>
      <c r="W190" s="37" t="n">
        <v>1.43</v>
      </c>
      <c r="X190" s="15" t="s">
        <v>102</v>
      </c>
      <c r="Y190" s="47" t="n">
        <v>46132</v>
      </c>
    </row>
    <row r="191" customFormat="false" ht="15" hidden="false" customHeight="false" outlineLevel="0" collapsed="false">
      <c r="A191" s="13" t="n">
        <v>5064310421</v>
      </c>
      <c r="B191" s="74" t="n">
        <v>46135.0737962963</v>
      </c>
      <c r="C191" s="74" t="n">
        <v>46135.1223958333</v>
      </c>
      <c r="D191" s="30" t="n">
        <v>1.16638888888889</v>
      </c>
      <c r="E191" s="30" t="n">
        <v>8.386854</v>
      </c>
      <c r="F191" s="30" t="n">
        <v>7.3187</v>
      </c>
      <c r="G191" s="13" t="s">
        <v>64</v>
      </c>
      <c r="H191" s="75" t="b">
        <f aca="false">FALSE()</f>
        <v>0</v>
      </c>
      <c r="I191" s="75" t="b">
        <f aca="false">TRUE()</f>
        <v>1</v>
      </c>
      <c r="J191" s="48" t="n">
        <v>0</v>
      </c>
      <c r="K191" s="13" t="s">
        <v>168</v>
      </c>
      <c r="L191" s="13" t="s">
        <v>222</v>
      </c>
      <c r="M191" s="13" t="s">
        <v>314</v>
      </c>
      <c r="N191" s="13" t="s">
        <v>315</v>
      </c>
      <c r="O191" s="13" t="s">
        <v>264</v>
      </c>
      <c r="P191" s="35" t="n">
        <v>10.62</v>
      </c>
      <c r="Q191" s="35" t="n">
        <v>9.02</v>
      </c>
      <c r="R191" s="46" t="n">
        <f aca="false">INT(B191)</f>
        <v>46135</v>
      </c>
      <c r="S191" s="13" t="n">
        <f aca="false">IF(AND(I191=TRUE(),COUNTIFS($R$5:R191,R191,$I$5:I191,TRUE())=1),1,0)</f>
        <v>1</v>
      </c>
      <c r="T191" s="70" t="n">
        <v>0.5</v>
      </c>
      <c r="U191" s="35" t="n">
        <v>10.02</v>
      </c>
      <c r="V191" s="35" t="n">
        <v>4.193427</v>
      </c>
      <c r="W191" s="35" t="n">
        <v>1.6</v>
      </c>
      <c r="X191" s="13" t="s">
        <v>103</v>
      </c>
      <c r="Y191" s="46" t="n">
        <v>46132</v>
      </c>
    </row>
    <row r="192" customFormat="false" ht="15" hidden="false" customHeight="false" outlineLevel="0" collapsed="false">
      <c r="A192" s="15" t="n">
        <v>5065498161</v>
      </c>
      <c r="B192" s="76" t="n">
        <v>46135.584849537</v>
      </c>
      <c r="C192" s="76" t="n">
        <v>46135.6255092593</v>
      </c>
      <c r="D192" s="31" t="n">
        <v>0.975833333333333</v>
      </c>
      <c r="E192" s="31" t="n">
        <v>47.786</v>
      </c>
      <c r="F192" s="31" t="n">
        <v>56.732</v>
      </c>
      <c r="G192" s="15" t="s">
        <v>62</v>
      </c>
      <c r="H192" s="77" t="b">
        <f aca="false">TRUE()</f>
        <v>1</v>
      </c>
      <c r="I192" s="77" t="b">
        <f aca="false">FALSE()</f>
        <v>0</v>
      </c>
      <c r="J192" s="78" t="n">
        <v>1</v>
      </c>
      <c r="K192" s="15" t="s">
        <v>166</v>
      </c>
      <c r="L192" s="15" t="s">
        <v>222</v>
      </c>
      <c r="M192" s="15" t="s">
        <v>225</v>
      </c>
      <c r="N192" s="15"/>
      <c r="O192" s="15" t="s">
        <v>224</v>
      </c>
      <c r="P192" s="37" t="n">
        <v>30.49</v>
      </c>
      <c r="Q192" s="37" t="n">
        <v>25.89</v>
      </c>
      <c r="R192" s="47" t="n">
        <f aca="false">INT(B192)</f>
        <v>46135</v>
      </c>
      <c r="S192" s="15" t="n">
        <f aca="false">IF(AND(I192=TRUE(),COUNTIFS($R$5:R192,R192,$I$5:I192,TRUE())=1),1,0)</f>
        <v>0</v>
      </c>
      <c r="T192" s="69" t="n">
        <v>0.5</v>
      </c>
      <c r="U192" s="37" t="n">
        <v>28.77</v>
      </c>
      <c r="V192" s="37" t="n">
        <v>23.893</v>
      </c>
      <c r="W192" s="37" t="n">
        <v>4.6</v>
      </c>
      <c r="X192" s="15" t="s">
        <v>103</v>
      </c>
      <c r="Y192" s="47" t="n">
        <v>46132</v>
      </c>
    </row>
    <row r="193" customFormat="false" ht="15" hidden="false" customHeight="false" outlineLevel="0" collapsed="false">
      <c r="A193" s="13" t="n">
        <v>5066116501</v>
      </c>
      <c r="B193" s="74" t="n">
        <v>46135.704537037</v>
      </c>
      <c r="C193" s="74" t="n">
        <v>46135.7600694444</v>
      </c>
      <c r="D193" s="30" t="n">
        <v>1.33277777777778</v>
      </c>
      <c r="E193" s="30" t="n">
        <v>9.556702</v>
      </c>
      <c r="F193" s="30" t="n">
        <v>7.2713</v>
      </c>
      <c r="G193" s="13" t="s">
        <v>62</v>
      </c>
      <c r="H193" s="75" t="b">
        <f aca="false">FALSE()</f>
        <v>0</v>
      </c>
      <c r="I193" s="75" t="b">
        <f aca="false">FALSE()</f>
        <v>0</v>
      </c>
      <c r="J193" s="48" t="n">
        <v>0</v>
      </c>
      <c r="K193" s="13" t="s">
        <v>168</v>
      </c>
      <c r="L193" s="13" t="s">
        <v>222</v>
      </c>
      <c r="M193" s="13" t="s">
        <v>314</v>
      </c>
      <c r="N193" s="13" t="s">
        <v>315</v>
      </c>
      <c r="O193" s="13" t="s">
        <v>264</v>
      </c>
      <c r="P193" s="35" t="n">
        <v>12.13</v>
      </c>
      <c r="Q193" s="35" t="n">
        <v>10.3</v>
      </c>
      <c r="R193" s="46" t="n">
        <f aca="false">INT(B193)</f>
        <v>46135</v>
      </c>
      <c r="S193" s="13" t="n">
        <f aca="false">IF(AND(I193=TRUE(),COUNTIFS($R$5:R193,R193,$I$5:I193,TRUE())=1),1,0)</f>
        <v>0</v>
      </c>
      <c r="T193" s="70" t="n">
        <v>0.5</v>
      </c>
      <c r="U193" s="35" t="n">
        <v>11.44</v>
      </c>
      <c r="V193" s="35" t="n">
        <v>4.778351</v>
      </c>
      <c r="W193" s="35" t="n">
        <v>1.83</v>
      </c>
      <c r="X193" s="13" t="s">
        <v>103</v>
      </c>
      <c r="Y193" s="46" t="n">
        <v>46132</v>
      </c>
    </row>
    <row r="194" customFormat="false" ht="15" hidden="false" customHeight="false" outlineLevel="0" collapsed="false">
      <c r="A194" s="15" t="n">
        <v>5070019271</v>
      </c>
      <c r="B194" s="76" t="n">
        <v>46136.8286805556</v>
      </c>
      <c r="C194" s="76" t="n">
        <v>46136.8684490741</v>
      </c>
      <c r="D194" s="31" t="n">
        <v>0.954444444444444</v>
      </c>
      <c r="E194" s="31" t="n">
        <v>34.3673</v>
      </c>
      <c r="F194" s="31" t="n">
        <v>54.561</v>
      </c>
      <c r="G194" s="15" t="s">
        <v>63</v>
      </c>
      <c r="H194" s="77" t="b">
        <f aca="false">TRUE()</f>
        <v>1</v>
      </c>
      <c r="I194" s="77" t="b">
        <f aca="false">FALSE()</f>
        <v>0</v>
      </c>
      <c r="J194" s="78" t="n">
        <v>1</v>
      </c>
      <c r="K194" s="15" t="s">
        <v>166</v>
      </c>
      <c r="L194" s="15" t="s">
        <v>228</v>
      </c>
      <c r="M194" s="15"/>
      <c r="N194" s="15"/>
      <c r="O194" s="15"/>
      <c r="P194" s="37" t="n">
        <v>23.27</v>
      </c>
      <c r="Q194" s="37" t="n">
        <v>19.76</v>
      </c>
      <c r="R194" s="47" t="n">
        <f aca="false">INT(B194)</f>
        <v>46136</v>
      </c>
      <c r="S194" s="15" t="n">
        <f aca="false">IF(AND(I194=TRUE(),COUNTIFS($R$5:R194,R194,$I$5:I194,TRUE())=1),1,0)</f>
        <v>0</v>
      </c>
      <c r="T194" s="69" t="n">
        <v>0.5</v>
      </c>
      <c r="U194" s="37" t="n">
        <v>21.95</v>
      </c>
      <c r="V194" s="37" t="n">
        <v>17.18365</v>
      </c>
      <c r="W194" s="37" t="n">
        <v>3.51</v>
      </c>
      <c r="X194" s="15" t="s">
        <v>104</v>
      </c>
      <c r="Y194" s="47" t="n">
        <v>46132</v>
      </c>
    </row>
    <row r="195" customFormat="false" ht="15" hidden="false" customHeight="false" outlineLevel="0" collapsed="false">
      <c r="A195" s="13" t="n">
        <v>5072058841</v>
      </c>
      <c r="B195" s="74" t="n">
        <v>46137.6145138889</v>
      </c>
      <c r="C195" s="74" t="n">
        <v>46137.7287037037</v>
      </c>
      <c r="D195" s="30" t="n">
        <v>2.74055555555556</v>
      </c>
      <c r="E195" s="30" t="n">
        <v>69.3154</v>
      </c>
      <c r="F195" s="30" t="n">
        <v>52.106</v>
      </c>
      <c r="G195" s="13" t="s">
        <v>62</v>
      </c>
      <c r="H195" s="75" t="b">
        <f aca="false">TRUE()</f>
        <v>1</v>
      </c>
      <c r="I195" s="75" t="b">
        <f aca="false">FALSE()</f>
        <v>0</v>
      </c>
      <c r="J195" s="48" t="n">
        <v>0.599600266489007</v>
      </c>
      <c r="K195" s="13" t="s">
        <v>166</v>
      </c>
      <c r="L195" s="13" t="s">
        <v>228</v>
      </c>
      <c r="M195" s="13"/>
      <c r="N195" s="13"/>
      <c r="O195" s="13"/>
      <c r="P195" s="35" t="n">
        <v>51.26</v>
      </c>
      <c r="Q195" s="35" t="n">
        <v>43.52</v>
      </c>
      <c r="R195" s="46" t="n">
        <f aca="false">INT(B195)</f>
        <v>46137</v>
      </c>
      <c r="S195" s="13" t="n">
        <f aca="false">IF(AND(I195=TRUE(),COUNTIFS($R$5:R195,R195,$I$5:I195,TRUE())=1),1,0)</f>
        <v>0</v>
      </c>
      <c r="T195" s="70" t="n">
        <v>0.5</v>
      </c>
      <c r="U195" s="35" t="n">
        <v>48.36</v>
      </c>
      <c r="V195" s="35" t="n">
        <v>34.6577</v>
      </c>
      <c r="W195" s="35" t="n">
        <v>7.74</v>
      </c>
      <c r="X195" s="13" t="s">
        <v>105</v>
      </c>
      <c r="Y195" s="46" t="n">
        <v>46132</v>
      </c>
    </row>
    <row r="196" customFormat="false" ht="15" hidden="false" customHeight="false" outlineLevel="0" collapsed="false">
      <c r="A196" s="15" t="n">
        <v>5075505841</v>
      </c>
      <c r="B196" s="76" t="n">
        <v>46138.9584027778</v>
      </c>
      <c r="C196" s="76" t="n">
        <v>46139.0219675926</v>
      </c>
      <c r="D196" s="31" t="n">
        <v>1.52555555555556</v>
      </c>
      <c r="E196" s="31" t="n">
        <v>10.965973</v>
      </c>
      <c r="F196" s="31" t="n">
        <v>7.3608</v>
      </c>
      <c r="G196" s="15" t="s">
        <v>64</v>
      </c>
      <c r="H196" s="77" t="b">
        <f aca="false">FALSE()</f>
        <v>0</v>
      </c>
      <c r="I196" s="77" t="b">
        <f aca="false">TRUE()</f>
        <v>1</v>
      </c>
      <c r="J196" s="78" t="n">
        <v>0</v>
      </c>
      <c r="K196" s="15" t="s">
        <v>168</v>
      </c>
      <c r="L196" s="15" t="s">
        <v>228</v>
      </c>
      <c r="M196" s="15"/>
      <c r="N196" s="15"/>
      <c r="O196" s="15"/>
      <c r="P196" s="37" t="n">
        <v>13.9</v>
      </c>
      <c r="Q196" s="37" t="n">
        <v>11.8</v>
      </c>
      <c r="R196" s="47" t="n">
        <f aca="false">INT(B196)</f>
        <v>46138</v>
      </c>
      <c r="S196" s="15" t="n">
        <f aca="false">IF(AND(I196=TRUE(),COUNTIFS($R$5:R196,R196,$I$5:I196,TRUE())=1),1,0)</f>
        <v>1</v>
      </c>
      <c r="T196" s="69" t="n">
        <v>0.5</v>
      </c>
      <c r="U196" s="37" t="n">
        <v>13.11</v>
      </c>
      <c r="V196" s="37" t="n">
        <v>5.4829865</v>
      </c>
      <c r="W196" s="37" t="n">
        <v>2.1</v>
      </c>
      <c r="X196" s="15" t="s">
        <v>106</v>
      </c>
      <c r="Y196" s="47" t="n">
        <v>46132</v>
      </c>
    </row>
    <row r="197" customFormat="false" ht="15" hidden="false" customHeight="false" outlineLevel="0" collapsed="false">
      <c r="A197" s="13" t="n">
        <v>5080439231</v>
      </c>
      <c r="B197" s="74" t="n">
        <v>46140.6113888889</v>
      </c>
      <c r="C197" s="74" t="n">
        <v>46140.6380787037</v>
      </c>
      <c r="D197" s="30" t="n">
        <v>0.640555555555556</v>
      </c>
      <c r="E197" s="30" t="n">
        <v>34.6041</v>
      </c>
      <c r="F197" s="30" t="n">
        <v>61.338</v>
      </c>
      <c r="G197" s="13" t="s">
        <v>62</v>
      </c>
      <c r="H197" s="75" t="b">
        <f aca="false">TRUE()</f>
        <v>1</v>
      </c>
      <c r="I197" s="75" t="b">
        <f aca="false">FALSE()</f>
        <v>0</v>
      </c>
      <c r="J197" s="48" t="n">
        <v>1</v>
      </c>
      <c r="K197" s="13" t="s">
        <v>166</v>
      </c>
      <c r="L197" s="13" t="s">
        <v>228</v>
      </c>
      <c r="M197" s="13"/>
      <c r="N197" s="13"/>
      <c r="O197" s="13"/>
      <c r="P197" s="35" t="n">
        <v>21.7</v>
      </c>
      <c r="Q197" s="35" t="n">
        <v>18.42</v>
      </c>
      <c r="R197" s="46" t="n">
        <f aca="false">INT(B197)</f>
        <v>46140</v>
      </c>
      <c r="S197" s="13" t="n">
        <f aca="false">IF(AND(I197=TRUE(),COUNTIFS($R$5:R197,R197,$I$5:I197,TRUE())=1),1,0)</f>
        <v>0</v>
      </c>
      <c r="T197" s="70" t="n">
        <v>0.5</v>
      </c>
      <c r="U197" s="35" t="n">
        <v>20.47</v>
      </c>
      <c r="V197" s="35" t="n">
        <v>17.30205</v>
      </c>
      <c r="W197" s="35" t="n">
        <v>3.28</v>
      </c>
      <c r="X197" s="13" t="s">
        <v>101</v>
      </c>
      <c r="Y197" s="46" t="n">
        <v>46139</v>
      </c>
    </row>
    <row r="198" customFormat="false" ht="15" hidden="false" customHeight="false" outlineLevel="0" collapsed="false">
      <c r="A198" s="15" t="n">
        <v>5084440871</v>
      </c>
      <c r="B198" s="76" t="n">
        <v>46141.7268981482</v>
      </c>
      <c r="C198" s="76" t="n">
        <v>46141.7361458333</v>
      </c>
      <c r="D198" s="31" t="n">
        <v>0.221944444444444</v>
      </c>
      <c r="E198" s="31" t="n">
        <v>13.3417</v>
      </c>
      <c r="F198" s="31" t="n">
        <v>62.63</v>
      </c>
      <c r="G198" s="15" t="s">
        <v>62</v>
      </c>
      <c r="H198" s="77" t="b">
        <f aca="false">TRUE()</f>
        <v>1</v>
      </c>
      <c r="I198" s="77" t="b">
        <f aca="false">FALSE()</f>
        <v>0</v>
      </c>
      <c r="J198" s="78" t="n">
        <v>1</v>
      </c>
      <c r="K198" s="15" t="s">
        <v>166</v>
      </c>
      <c r="L198" s="15" t="s">
        <v>228</v>
      </c>
      <c r="M198" s="15"/>
      <c r="N198" s="15"/>
      <c r="O198" s="15"/>
      <c r="P198" s="37" t="n">
        <v>8.25</v>
      </c>
      <c r="Q198" s="37" t="n">
        <v>7</v>
      </c>
      <c r="R198" s="47" t="n">
        <f aca="false">INT(B198)</f>
        <v>46141</v>
      </c>
      <c r="S198" s="15" t="n">
        <f aca="false">IF(AND(I198=TRUE(),COUNTIFS($R$5:R198,R198,$I$5:I198,TRUE())=1),1,0)</f>
        <v>0</v>
      </c>
      <c r="T198" s="69" t="n">
        <v>0.5</v>
      </c>
      <c r="U198" s="37" t="n">
        <v>7.78</v>
      </c>
      <c r="V198" s="37" t="n">
        <v>6.67085</v>
      </c>
      <c r="W198" s="37" t="n">
        <v>1.25</v>
      </c>
      <c r="X198" s="15" t="s">
        <v>102</v>
      </c>
      <c r="Y198" s="47" t="n">
        <v>46139</v>
      </c>
    </row>
    <row r="199" customFormat="false" ht="15" hidden="false" customHeight="false" outlineLevel="0" collapsed="false">
      <c r="A199" s="13" t="n">
        <v>5085521961</v>
      </c>
      <c r="B199" s="74" t="n">
        <v>46141.9713078704</v>
      </c>
      <c r="C199" s="74" t="n">
        <v>46141.9939467593</v>
      </c>
      <c r="D199" s="30" t="n">
        <v>0.543333333333333</v>
      </c>
      <c r="E199" s="30" t="n">
        <v>26.5085</v>
      </c>
      <c r="F199" s="30" t="n">
        <v>59.333</v>
      </c>
      <c r="G199" s="13" t="s">
        <v>64</v>
      </c>
      <c r="H199" s="75" t="b">
        <f aca="false">TRUE()</f>
        <v>1</v>
      </c>
      <c r="I199" s="75" t="b">
        <f aca="false">TRUE()</f>
        <v>1</v>
      </c>
      <c r="J199" s="48" t="n">
        <v>1</v>
      </c>
      <c r="K199" s="13" t="s">
        <v>166</v>
      </c>
      <c r="L199" s="13" t="s">
        <v>222</v>
      </c>
      <c r="M199" s="13" t="s">
        <v>316</v>
      </c>
      <c r="N199" s="13" t="s">
        <v>235</v>
      </c>
      <c r="O199" s="13" t="s">
        <v>224</v>
      </c>
      <c r="P199" s="35" t="n">
        <v>16.92</v>
      </c>
      <c r="Q199" s="35" t="n">
        <v>14.36</v>
      </c>
      <c r="R199" s="46" t="n">
        <f aca="false">INT(B199)</f>
        <v>46141</v>
      </c>
      <c r="S199" s="13" t="n">
        <f aca="false">IF(AND(I199=TRUE(),COUNTIFS($R$5:R199,R199,$I$5:I199,TRUE())=1),1,0)</f>
        <v>1</v>
      </c>
      <c r="T199" s="70" t="n">
        <v>0.5</v>
      </c>
      <c r="U199" s="35" t="n">
        <v>15.96</v>
      </c>
      <c r="V199" s="35" t="n">
        <v>13.25425</v>
      </c>
      <c r="W199" s="35" t="n">
        <v>2.56</v>
      </c>
      <c r="X199" s="13" t="s">
        <v>102</v>
      </c>
      <c r="Y199" s="46" t="n">
        <v>46139</v>
      </c>
    </row>
    <row r="200" customFormat="false" ht="15" hidden="false" customHeight="false" outlineLevel="0" collapsed="false">
      <c r="A200" s="15" t="n">
        <v>5090967681</v>
      </c>
      <c r="B200" s="76" t="n">
        <v>46143.6443171296</v>
      </c>
      <c r="C200" s="76" t="n">
        <v>46143.6663194444</v>
      </c>
      <c r="D200" s="31" t="n">
        <v>0.528055555555556</v>
      </c>
      <c r="E200" s="31" t="n">
        <v>24.7771</v>
      </c>
      <c r="F200" s="31" t="n">
        <v>49.945</v>
      </c>
      <c r="G200" s="15" t="s">
        <v>62</v>
      </c>
      <c r="H200" s="77" t="b">
        <f aca="false">TRUE()</f>
        <v>1</v>
      </c>
      <c r="I200" s="77" t="b">
        <f aca="false">FALSE()</f>
        <v>0</v>
      </c>
      <c r="J200" s="78" t="n">
        <v>1</v>
      </c>
      <c r="K200" s="15" t="s">
        <v>166</v>
      </c>
      <c r="L200" s="15" t="s">
        <v>222</v>
      </c>
      <c r="M200" s="15" t="s">
        <v>317</v>
      </c>
      <c r="N200" s="15" t="s">
        <v>318</v>
      </c>
      <c r="O200" s="15" t="s">
        <v>254</v>
      </c>
      <c r="P200" s="37" t="n">
        <v>15.89</v>
      </c>
      <c r="Q200" s="37" t="n">
        <v>13.49</v>
      </c>
      <c r="R200" s="47" t="n">
        <f aca="false">INT(B200)</f>
        <v>46143</v>
      </c>
      <c r="S200" s="15" t="n">
        <f aca="false">IF(AND(I200=TRUE(),COUNTIFS($R$5:R200,R200,$I$5:I200,TRUE())=1),1,0)</f>
        <v>0</v>
      </c>
      <c r="T200" s="69" t="n">
        <v>0.5</v>
      </c>
      <c r="U200" s="37" t="n">
        <v>14.99</v>
      </c>
      <c r="V200" s="37" t="n">
        <v>12.38855</v>
      </c>
      <c r="W200" s="37" t="n">
        <v>2.4</v>
      </c>
      <c r="X200" s="15" t="s">
        <v>104</v>
      </c>
      <c r="Y200" s="47" t="n">
        <v>46139</v>
      </c>
    </row>
    <row r="201" customFormat="false" ht="15" hidden="false" customHeight="false" outlineLevel="0" collapsed="false">
      <c r="A201" s="13" t="n">
        <v>5091525811</v>
      </c>
      <c r="B201" s="74" t="n">
        <v>46143.7691319444</v>
      </c>
      <c r="C201" s="74" t="n">
        <v>46143.7842708333</v>
      </c>
      <c r="D201" s="30" t="n">
        <v>0.363333333333333</v>
      </c>
      <c r="E201" s="30" t="n">
        <v>19.8486</v>
      </c>
      <c r="F201" s="30" t="n">
        <v>56.824</v>
      </c>
      <c r="G201" s="13" t="s">
        <v>63</v>
      </c>
      <c r="H201" s="75" t="b">
        <f aca="false">TRUE()</f>
        <v>1</v>
      </c>
      <c r="I201" s="75" t="b">
        <f aca="false">FALSE()</f>
        <v>0</v>
      </c>
      <c r="J201" s="48" t="n">
        <v>1</v>
      </c>
      <c r="K201" s="13" t="s">
        <v>166</v>
      </c>
      <c r="L201" s="13" t="s">
        <v>228</v>
      </c>
      <c r="M201" s="13"/>
      <c r="N201" s="13"/>
      <c r="O201" s="13"/>
      <c r="P201" s="35" t="n">
        <v>12.45</v>
      </c>
      <c r="Q201" s="35" t="n">
        <v>10.57</v>
      </c>
      <c r="R201" s="46" t="n">
        <f aca="false">INT(B201)</f>
        <v>46143</v>
      </c>
      <c r="S201" s="13" t="n">
        <f aca="false">IF(AND(I201=TRUE(),COUNTIFS($R$5:R201,R201,$I$5:I201,TRUE())=1),1,0)</f>
        <v>0</v>
      </c>
      <c r="T201" s="70" t="n">
        <v>0.5</v>
      </c>
      <c r="U201" s="35" t="n">
        <v>11.74</v>
      </c>
      <c r="V201" s="35" t="n">
        <v>9.9243</v>
      </c>
      <c r="W201" s="35" t="n">
        <v>1.88</v>
      </c>
      <c r="X201" s="13" t="s">
        <v>104</v>
      </c>
      <c r="Y201" s="46" t="n">
        <v>46139</v>
      </c>
    </row>
    <row r="202" customFormat="false" ht="15" hidden="false" customHeight="false" outlineLevel="0" collapsed="false">
      <c r="A202" s="15" t="n">
        <v>5091829711</v>
      </c>
      <c r="B202" s="76" t="n">
        <v>46143.8384490741</v>
      </c>
      <c r="C202" s="76" t="n">
        <v>46143.881712963</v>
      </c>
      <c r="D202" s="31" t="n">
        <v>1.03833333333333</v>
      </c>
      <c r="E202" s="31" t="n">
        <v>33.5751</v>
      </c>
      <c r="F202" s="31" t="n">
        <v>54.279</v>
      </c>
      <c r="G202" s="15" t="s">
        <v>63</v>
      </c>
      <c r="H202" s="77" t="b">
        <f aca="false">TRUE()</f>
        <v>1</v>
      </c>
      <c r="I202" s="77" t="b">
        <f aca="false">FALSE()</f>
        <v>0</v>
      </c>
      <c r="J202" s="78" t="n">
        <v>1</v>
      </c>
      <c r="K202" s="15" t="s">
        <v>166</v>
      </c>
      <c r="L202" s="15" t="s">
        <v>222</v>
      </c>
      <c r="M202" s="15" t="s">
        <v>298</v>
      </c>
      <c r="N202" s="15"/>
      <c r="O202" s="15" t="s">
        <v>224</v>
      </c>
      <c r="P202" s="37" t="n">
        <v>23.28</v>
      </c>
      <c r="Q202" s="37" t="n">
        <v>19.76</v>
      </c>
      <c r="R202" s="47" t="n">
        <f aca="false">INT(B202)</f>
        <v>46143</v>
      </c>
      <c r="S202" s="15" t="n">
        <f aca="false">IF(AND(I202=TRUE(),COUNTIFS($R$5:R202,R202,$I$5:I202,TRUE())=1),1,0)</f>
        <v>0</v>
      </c>
      <c r="T202" s="69" t="n">
        <v>0.5</v>
      </c>
      <c r="U202" s="37" t="n">
        <v>21.96</v>
      </c>
      <c r="V202" s="37" t="n">
        <v>16.78755</v>
      </c>
      <c r="W202" s="37" t="n">
        <v>3.52</v>
      </c>
      <c r="X202" s="15" t="s">
        <v>104</v>
      </c>
      <c r="Y202" s="47" t="n">
        <v>46139</v>
      </c>
    </row>
    <row r="203" customFormat="false" ht="15" hidden="false" customHeight="false" outlineLevel="0" collapsed="false">
      <c r="A203" s="13" t="n">
        <v>5095371501</v>
      </c>
      <c r="B203" s="74" t="n">
        <v>46145.0719328704</v>
      </c>
      <c r="C203" s="74" t="n">
        <v>46145.1027314815</v>
      </c>
      <c r="D203" s="30" t="n">
        <v>0.739166666666667</v>
      </c>
      <c r="E203" s="30" t="n">
        <v>5.016269</v>
      </c>
      <c r="F203" s="30" t="n">
        <v>6.8802</v>
      </c>
      <c r="G203" s="13" t="s">
        <v>64</v>
      </c>
      <c r="H203" s="75" t="b">
        <f aca="false">FALSE()</f>
        <v>0</v>
      </c>
      <c r="I203" s="75" t="b">
        <f aca="false">TRUE()</f>
        <v>1</v>
      </c>
      <c r="J203" s="48" t="n">
        <v>0</v>
      </c>
      <c r="K203" s="13" t="s">
        <v>168</v>
      </c>
      <c r="L203" s="13" t="s">
        <v>222</v>
      </c>
      <c r="M203" s="13" t="s">
        <v>225</v>
      </c>
      <c r="N203" s="13"/>
      <c r="O203" s="13" t="s">
        <v>224</v>
      </c>
      <c r="P203" s="35" t="n">
        <v>6.58</v>
      </c>
      <c r="Q203" s="35" t="n">
        <v>5.59</v>
      </c>
      <c r="R203" s="46" t="n">
        <f aca="false">INT(B203)</f>
        <v>46145</v>
      </c>
      <c r="S203" s="13" t="n">
        <f aca="false">IF(AND(I203=TRUE(),COUNTIFS($R$5:R203,R203,$I$5:I203,TRUE())=1),1,0)</f>
        <v>1</v>
      </c>
      <c r="T203" s="70" t="n">
        <v>0.5</v>
      </c>
      <c r="U203" s="35" t="n">
        <v>6.21</v>
      </c>
      <c r="V203" s="35" t="n">
        <v>2.5081345</v>
      </c>
      <c r="W203" s="35" t="n">
        <v>0.99</v>
      </c>
      <c r="X203" s="13" t="s">
        <v>106</v>
      </c>
      <c r="Y203" s="46" t="n">
        <v>46139</v>
      </c>
    </row>
    <row r="204" customFormat="false" ht="15" hidden="false" customHeight="false" outlineLevel="0" collapsed="false">
      <c r="A204" s="15" t="n">
        <v>5101195401</v>
      </c>
      <c r="B204" s="76" t="n">
        <v>46147.0974074074</v>
      </c>
      <c r="C204" s="76" t="n">
        <v>46147.1842939815</v>
      </c>
      <c r="D204" s="31" t="n">
        <v>2.08527777777778</v>
      </c>
      <c r="E204" s="31" t="n">
        <v>38.9751</v>
      </c>
      <c r="F204" s="31" t="n">
        <v>50.575</v>
      </c>
      <c r="G204" s="15" t="s">
        <v>64</v>
      </c>
      <c r="H204" s="77" t="b">
        <f aca="false">TRUE()</f>
        <v>1</v>
      </c>
      <c r="I204" s="77" t="b">
        <f aca="false">TRUE()</f>
        <v>1</v>
      </c>
      <c r="J204" s="78" t="n">
        <v>0.738524113887275</v>
      </c>
      <c r="K204" s="15" t="s">
        <v>166</v>
      </c>
      <c r="L204" s="15" t="s">
        <v>222</v>
      </c>
      <c r="M204" s="15" t="s">
        <v>298</v>
      </c>
      <c r="N204" s="15"/>
      <c r="O204" s="15" t="s">
        <v>224</v>
      </c>
      <c r="P204" s="37" t="n">
        <v>31.66</v>
      </c>
      <c r="Q204" s="37" t="n">
        <v>26.88</v>
      </c>
      <c r="R204" s="47" t="n">
        <f aca="false">INT(B204)</f>
        <v>46147</v>
      </c>
      <c r="S204" s="15" t="n">
        <f aca="false">IF(AND(I204=TRUE(),COUNTIFS($R$5:R204,R204,$I$5:I204,TRUE())=1),1,0)</f>
        <v>1</v>
      </c>
      <c r="T204" s="69" t="n">
        <v>0.5</v>
      </c>
      <c r="U204" s="37" t="n">
        <v>29.87</v>
      </c>
      <c r="V204" s="37" t="n">
        <v>19.48755</v>
      </c>
      <c r="W204" s="37" t="n">
        <v>4.78</v>
      </c>
      <c r="X204" s="15" t="s">
        <v>101</v>
      </c>
      <c r="Y204" s="47" t="n">
        <v>46146</v>
      </c>
    </row>
    <row r="205" customFormat="false" ht="15" hidden="false" customHeight="false" outlineLevel="0" collapsed="false">
      <c r="A205" s="13" t="n">
        <v>5102285491</v>
      </c>
      <c r="B205" s="74" t="n">
        <v>46147.5947106482</v>
      </c>
      <c r="C205" s="74" t="n">
        <v>46147.5960416667</v>
      </c>
      <c r="D205" s="30" t="n">
        <v>0.0319444444444444</v>
      </c>
      <c r="E205" s="30" t="n">
        <v>0</v>
      </c>
      <c r="F205" s="30" t="n">
        <v>0</v>
      </c>
      <c r="G205" s="13" t="s">
        <v>62</v>
      </c>
      <c r="H205" s="75" t="b">
        <f aca="false">FALSE()</f>
        <v>0</v>
      </c>
      <c r="I205" s="75" t="b">
        <f aca="false">FALSE()</f>
        <v>0</v>
      </c>
      <c r="J205" s="48"/>
      <c r="K205" s="13" t="s">
        <v>168</v>
      </c>
      <c r="L205" s="13" t="s">
        <v>222</v>
      </c>
      <c r="M205" s="13"/>
      <c r="N205" s="13"/>
      <c r="O205" s="13"/>
      <c r="P205" s="35"/>
      <c r="Q205" s="35"/>
      <c r="R205" s="46" t="n">
        <f aca="false">INT(B205)</f>
        <v>46147</v>
      </c>
      <c r="S205" s="13" t="n">
        <f aca="false">IF(AND(I205=TRUE(),COUNTIFS($R$5:R205,R205,$I$5:I205,TRUE())=1),1,0)</f>
        <v>0</v>
      </c>
      <c r="T205" s="70"/>
      <c r="U205" s="35"/>
      <c r="V205" s="35"/>
      <c r="W205" s="35"/>
      <c r="X205" s="13" t="s">
        <v>101</v>
      </c>
      <c r="Y205" s="46" t="n">
        <v>46146</v>
      </c>
    </row>
    <row r="206" customFormat="false" ht="15" hidden="false" customHeight="false" outlineLevel="0" collapsed="false">
      <c r="A206" s="15" t="n">
        <v>5106765831</v>
      </c>
      <c r="B206" s="76" t="n">
        <v>46148.8328935185</v>
      </c>
      <c r="C206" s="76" t="n">
        <v>46148.8657407407</v>
      </c>
      <c r="D206" s="31" t="n">
        <v>0.788333333333333</v>
      </c>
      <c r="E206" s="31" t="n">
        <v>47.9561</v>
      </c>
      <c r="F206" s="31" t="n">
        <v>62.793</v>
      </c>
      <c r="G206" s="15" t="s">
        <v>63</v>
      </c>
      <c r="H206" s="77" t="b">
        <f aca="false">TRUE()</f>
        <v>1</v>
      </c>
      <c r="I206" s="77" t="b">
        <f aca="false">FALSE()</f>
        <v>0</v>
      </c>
      <c r="J206" s="78" t="n">
        <v>1</v>
      </c>
      <c r="K206" s="15" t="s">
        <v>166</v>
      </c>
      <c r="L206" s="15" t="s">
        <v>228</v>
      </c>
      <c r="M206" s="15"/>
      <c r="N206" s="15"/>
      <c r="O206" s="15"/>
      <c r="P206" s="37" t="n">
        <v>29.6</v>
      </c>
      <c r="Q206" s="37" t="n">
        <v>25.13</v>
      </c>
      <c r="R206" s="47" t="n">
        <f aca="false">INT(B206)</f>
        <v>46148</v>
      </c>
      <c r="S206" s="15" t="n">
        <f aca="false">IF(AND(I206=TRUE(),COUNTIFS($R$5:R206,R206,$I$5:I206,TRUE())=1),1,0)</f>
        <v>0</v>
      </c>
      <c r="T206" s="69" t="n">
        <v>0.5</v>
      </c>
      <c r="U206" s="37" t="n">
        <v>27.92</v>
      </c>
      <c r="V206" s="37" t="n">
        <v>23.97805</v>
      </c>
      <c r="W206" s="37" t="n">
        <v>4.47</v>
      </c>
      <c r="X206" s="15" t="s">
        <v>102</v>
      </c>
      <c r="Y206" s="47" t="n">
        <v>46146</v>
      </c>
    </row>
    <row r="207" customFormat="false" ht="15" hidden="false" customHeight="false" outlineLevel="0" collapsed="false">
      <c r="A207" s="13" t="n">
        <v>5109277721</v>
      </c>
      <c r="B207" s="74" t="n">
        <v>46149.6231134259</v>
      </c>
      <c r="C207" s="74" t="n">
        <v>46149.6397916667</v>
      </c>
      <c r="D207" s="30" t="n">
        <v>0.400277777777778</v>
      </c>
      <c r="E207" s="30" t="n">
        <v>18.939</v>
      </c>
      <c r="F207" s="30" t="n">
        <v>49.715</v>
      </c>
      <c r="G207" s="13" t="s">
        <v>62</v>
      </c>
      <c r="H207" s="75" t="b">
        <f aca="false">TRUE()</f>
        <v>1</v>
      </c>
      <c r="I207" s="75" t="b">
        <f aca="false">FALSE()</f>
        <v>0</v>
      </c>
      <c r="J207" s="48" t="n">
        <v>1</v>
      </c>
      <c r="K207" s="13" t="s">
        <v>166</v>
      </c>
      <c r="L207" s="13" t="s">
        <v>228</v>
      </c>
      <c r="M207" s="13"/>
      <c r="N207" s="13"/>
      <c r="O207" s="13"/>
      <c r="P207" s="35" t="n">
        <v>12.16</v>
      </c>
      <c r="Q207" s="35" t="n">
        <v>10.32</v>
      </c>
      <c r="R207" s="46" t="n">
        <f aca="false">INT(B207)</f>
        <v>46149</v>
      </c>
      <c r="S207" s="13" t="n">
        <f aca="false">IF(AND(I207=TRUE(),COUNTIFS($R$5:R207,R207,$I$5:I207,TRUE())=1),1,0)</f>
        <v>0</v>
      </c>
      <c r="T207" s="70" t="n">
        <v>0.5</v>
      </c>
      <c r="U207" s="35" t="n">
        <v>11.47</v>
      </c>
      <c r="V207" s="35" t="n">
        <v>9.4695</v>
      </c>
      <c r="W207" s="35" t="n">
        <v>1.84</v>
      </c>
      <c r="X207" s="13" t="s">
        <v>103</v>
      </c>
      <c r="Y207" s="46" t="n">
        <v>46146</v>
      </c>
    </row>
    <row r="208" customFormat="false" ht="15" hidden="false" customHeight="false" outlineLevel="0" collapsed="false">
      <c r="A208" s="15" t="n">
        <v>5110850871</v>
      </c>
      <c r="B208" s="76" t="n">
        <v>46149.9622222222</v>
      </c>
      <c r="C208" s="76" t="n">
        <v>46149.9953009259</v>
      </c>
      <c r="D208" s="31" t="n">
        <v>0.793888888888889</v>
      </c>
      <c r="E208" s="31" t="n">
        <v>20.2164</v>
      </c>
      <c r="F208" s="31" t="n">
        <v>48.07</v>
      </c>
      <c r="G208" s="15" t="s">
        <v>64</v>
      </c>
      <c r="H208" s="77" t="b">
        <f aca="false">TRUE()</f>
        <v>1</v>
      </c>
      <c r="I208" s="77" t="b">
        <f aca="false">TRUE()</f>
        <v>1</v>
      </c>
      <c r="J208" s="78" t="n">
        <v>1</v>
      </c>
      <c r="K208" s="15" t="s">
        <v>166</v>
      </c>
      <c r="L208" s="15" t="s">
        <v>222</v>
      </c>
      <c r="M208" s="15" t="s">
        <v>319</v>
      </c>
      <c r="N208" s="15" t="s">
        <v>282</v>
      </c>
      <c r="O208" s="15" t="s">
        <v>224</v>
      </c>
      <c r="P208" s="37" t="n">
        <v>14.92</v>
      </c>
      <c r="Q208" s="37" t="n">
        <v>12.66</v>
      </c>
      <c r="R208" s="47" t="n">
        <f aca="false">INT(B208)</f>
        <v>46149</v>
      </c>
      <c r="S208" s="15" t="n">
        <f aca="false">IF(AND(I208=TRUE(),COUNTIFS($R$5:R208,R208,$I$5:I208,TRUE())=1),1,0)</f>
        <v>1</v>
      </c>
      <c r="T208" s="69" t="n">
        <v>0.5</v>
      </c>
      <c r="U208" s="37" t="n">
        <v>14.07</v>
      </c>
      <c r="V208" s="37" t="n">
        <v>10.1082</v>
      </c>
      <c r="W208" s="37" t="n">
        <v>2.26</v>
      </c>
      <c r="X208" s="15" t="s">
        <v>103</v>
      </c>
      <c r="Y208" s="47" t="n">
        <v>46146</v>
      </c>
    </row>
    <row r="209" customFormat="false" ht="15" hidden="false" customHeight="false" outlineLevel="0" collapsed="false">
      <c r="A209" s="13" t="n">
        <v>5112863521</v>
      </c>
      <c r="B209" s="74" t="n">
        <v>46150.6430092593</v>
      </c>
      <c r="C209" s="74" t="n">
        <v>46150.6783680556</v>
      </c>
      <c r="D209" s="30" t="n">
        <v>0.848611111111111</v>
      </c>
      <c r="E209" s="30" t="n">
        <v>45.5586</v>
      </c>
      <c r="F209" s="30" t="n">
        <v>60.883</v>
      </c>
      <c r="G209" s="13" t="s">
        <v>62</v>
      </c>
      <c r="H209" s="75" t="b">
        <f aca="false">TRUE()</f>
        <v>1</v>
      </c>
      <c r="I209" s="75" t="b">
        <f aca="false">FALSE()</f>
        <v>0</v>
      </c>
      <c r="J209" s="48" t="n">
        <v>1</v>
      </c>
      <c r="K209" s="13" t="s">
        <v>166</v>
      </c>
      <c r="L209" s="13" t="s">
        <v>222</v>
      </c>
      <c r="M209" s="13" t="s">
        <v>320</v>
      </c>
      <c r="N209" s="13" t="s">
        <v>321</v>
      </c>
      <c r="O209" s="13" t="s">
        <v>238</v>
      </c>
      <c r="P209" s="35" t="n">
        <v>28.49</v>
      </c>
      <c r="Q209" s="35" t="n">
        <v>24.18</v>
      </c>
      <c r="R209" s="46" t="n">
        <f aca="false">INT(B209)</f>
        <v>46150</v>
      </c>
      <c r="S209" s="13" t="n">
        <f aca="false">IF(AND(I209=TRUE(),COUNTIFS($R$5:R209,R209,$I$5:I209,TRUE())=1),1,0)</f>
        <v>0</v>
      </c>
      <c r="T209" s="70" t="n">
        <v>0.5</v>
      </c>
      <c r="U209" s="35" t="n">
        <v>26.87</v>
      </c>
      <c r="V209" s="35" t="n">
        <v>22.7793</v>
      </c>
      <c r="W209" s="35" t="n">
        <v>4.31</v>
      </c>
      <c r="X209" s="13" t="s">
        <v>104</v>
      </c>
      <c r="Y209" s="46" t="n">
        <v>46146</v>
      </c>
    </row>
    <row r="210" customFormat="false" ht="15" hidden="false" customHeight="false" outlineLevel="0" collapsed="false">
      <c r="A210" s="15" t="n">
        <v>5113490811</v>
      </c>
      <c r="B210" s="76" t="n">
        <v>46150.7842013889</v>
      </c>
      <c r="C210" s="76" t="n">
        <v>46150.8209606482</v>
      </c>
      <c r="D210" s="31" t="n">
        <v>0.882222222222222</v>
      </c>
      <c r="E210" s="31" t="n">
        <v>48.9457</v>
      </c>
      <c r="F210" s="31" t="n">
        <v>62.798</v>
      </c>
      <c r="G210" s="15" t="s">
        <v>63</v>
      </c>
      <c r="H210" s="77" t="b">
        <f aca="false">TRUE()</f>
        <v>1</v>
      </c>
      <c r="I210" s="77" t="b">
        <f aca="false">FALSE()</f>
        <v>0</v>
      </c>
      <c r="J210" s="78" t="n">
        <v>1</v>
      </c>
      <c r="K210" s="15" t="s">
        <v>166</v>
      </c>
      <c r="L210" s="15" t="s">
        <v>228</v>
      </c>
      <c r="M210" s="15"/>
      <c r="N210" s="15"/>
      <c r="O210" s="15"/>
      <c r="P210" s="37" t="n">
        <v>30.59</v>
      </c>
      <c r="Q210" s="37" t="n">
        <v>25.97</v>
      </c>
      <c r="R210" s="47" t="n">
        <f aca="false">INT(B210)</f>
        <v>46150</v>
      </c>
      <c r="S210" s="15" t="n">
        <f aca="false">IF(AND(I210=TRUE(),COUNTIFS($R$5:R210,R210,$I$5:I210,TRUE())=1),1,0)</f>
        <v>0</v>
      </c>
      <c r="T210" s="69" t="n">
        <v>0.5</v>
      </c>
      <c r="U210" s="37" t="n">
        <v>28.86</v>
      </c>
      <c r="V210" s="37" t="n">
        <v>24.47285</v>
      </c>
      <c r="W210" s="37" t="n">
        <v>4.62</v>
      </c>
      <c r="X210" s="15" t="s">
        <v>104</v>
      </c>
      <c r="Y210" s="47" t="n">
        <v>46146</v>
      </c>
    </row>
    <row r="211" customFormat="false" ht="15" hidden="false" customHeight="false" outlineLevel="0" collapsed="false">
      <c r="A211" s="13" t="n">
        <v>5113904771</v>
      </c>
      <c r="B211" s="74" t="n">
        <v>46150.8750578704</v>
      </c>
      <c r="C211" s="74" t="n">
        <v>46150.9094675926</v>
      </c>
      <c r="D211" s="30" t="n">
        <v>0.825833333333333</v>
      </c>
      <c r="E211" s="30" t="n">
        <v>28.1255</v>
      </c>
      <c r="F211" s="30" t="n">
        <v>37.649</v>
      </c>
      <c r="G211" s="13" t="s">
        <v>63</v>
      </c>
      <c r="H211" s="75" t="b">
        <f aca="false">TRUE()</f>
        <v>1</v>
      </c>
      <c r="I211" s="75" t="b">
        <f aca="false">FALSE()</f>
        <v>0</v>
      </c>
      <c r="J211" s="48" t="n">
        <v>1</v>
      </c>
      <c r="K211" s="13" t="s">
        <v>166</v>
      </c>
      <c r="L211" s="13" t="s">
        <v>222</v>
      </c>
      <c r="M211" s="13" t="s">
        <v>298</v>
      </c>
      <c r="N211" s="13"/>
      <c r="O211" s="13" t="s">
        <v>224</v>
      </c>
      <c r="P211" s="35" t="n">
        <v>19.24</v>
      </c>
      <c r="Q211" s="35" t="n">
        <v>16.34</v>
      </c>
      <c r="R211" s="46" t="n">
        <f aca="false">INT(B211)</f>
        <v>46150</v>
      </c>
      <c r="S211" s="13" t="n">
        <f aca="false">IF(AND(I211=TRUE(),COUNTIFS($R$5:R211,R211,$I$5:I211,TRUE())=1),1,0)</f>
        <v>0</v>
      </c>
      <c r="T211" s="70" t="n">
        <v>0.5</v>
      </c>
      <c r="U211" s="35" t="n">
        <v>18.15</v>
      </c>
      <c r="V211" s="35" t="n">
        <v>14.06275</v>
      </c>
      <c r="W211" s="35" t="n">
        <v>2.9</v>
      </c>
      <c r="X211" s="13" t="s">
        <v>104</v>
      </c>
      <c r="Y211" s="46" t="n">
        <v>46146</v>
      </c>
    </row>
    <row r="212" customFormat="false" ht="15" hidden="false" customHeight="false" outlineLevel="0" collapsed="false">
      <c r="A212" s="15" t="n">
        <v>5114187961</v>
      </c>
      <c r="B212" s="76" t="n">
        <v>46150.9387962963</v>
      </c>
      <c r="C212" s="76" t="n">
        <v>46150.9970601852</v>
      </c>
      <c r="D212" s="31" t="n">
        <v>1.39833333333333</v>
      </c>
      <c r="E212" s="31" t="n">
        <v>26.4852</v>
      </c>
      <c r="F212" s="31" t="n">
        <v>33.432</v>
      </c>
      <c r="G212" s="15" t="s">
        <v>64</v>
      </c>
      <c r="H212" s="77" t="b">
        <f aca="false">TRUE()</f>
        <v>1</v>
      </c>
      <c r="I212" s="77" t="b">
        <f aca="false">TRUE()</f>
        <v>1</v>
      </c>
      <c r="J212" s="78" t="n">
        <v>0.79489516864175</v>
      </c>
      <c r="K212" s="15" t="s">
        <v>166</v>
      </c>
      <c r="L212" s="15" t="s">
        <v>222</v>
      </c>
      <c r="M212" s="15" t="s">
        <v>313</v>
      </c>
      <c r="N212" s="15" t="s">
        <v>232</v>
      </c>
      <c r="O212" s="15" t="s">
        <v>224</v>
      </c>
      <c r="P212" s="37" t="n">
        <v>21.37</v>
      </c>
      <c r="Q212" s="37" t="n">
        <v>18.14</v>
      </c>
      <c r="R212" s="47" t="n">
        <f aca="false">INT(B212)</f>
        <v>46150</v>
      </c>
      <c r="S212" s="15" t="n">
        <f aca="false">IF(AND(I212=TRUE(),COUNTIFS($R$5:R212,R212,$I$5:I212,TRUE())=1),1,0)</f>
        <v>1</v>
      </c>
      <c r="T212" s="69" t="n">
        <v>0.5</v>
      </c>
      <c r="U212" s="37" t="n">
        <v>20.16</v>
      </c>
      <c r="V212" s="37" t="n">
        <v>13.2426</v>
      </c>
      <c r="W212" s="37" t="n">
        <v>3.23</v>
      </c>
      <c r="X212" s="15" t="s">
        <v>104</v>
      </c>
      <c r="Y212" s="47" t="n">
        <v>46146</v>
      </c>
    </row>
    <row r="213" customFormat="false" ht="15" hidden="false" customHeight="false" outlineLevel="0" collapsed="false">
      <c r="A213" s="13" t="n">
        <v>5116073421</v>
      </c>
      <c r="B213" s="74" t="n">
        <v>46151.7027083333</v>
      </c>
      <c r="C213" s="74" t="n">
        <v>46151.7465509259</v>
      </c>
      <c r="D213" s="30" t="n">
        <v>1.05222222222222</v>
      </c>
      <c r="E213" s="30" t="n">
        <v>7.369006</v>
      </c>
      <c r="F213" s="30" t="n">
        <v>7.3098</v>
      </c>
      <c r="G213" s="13" t="s">
        <v>62</v>
      </c>
      <c r="H213" s="75" t="b">
        <f aca="false">FALSE()</f>
        <v>0</v>
      </c>
      <c r="I213" s="75" t="b">
        <f aca="false">FALSE()</f>
        <v>0</v>
      </c>
      <c r="J213" s="48" t="n">
        <v>0</v>
      </c>
      <c r="K213" s="13" t="s">
        <v>168</v>
      </c>
      <c r="L213" s="13" t="s">
        <v>228</v>
      </c>
      <c r="M213" s="13"/>
      <c r="N213" s="13"/>
      <c r="O213" s="13"/>
      <c r="P213" s="35" t="n">
        <v>9.48</v>
      </c>
      <c r="Q213" s="35" t="n">
        <v>8.05</v>
      </c>
      <c r="R213" s="46" t="n">
        <f aca="false">INT(B213)</f>
        <v>46151</v>
      </c>
      <c r="S213" s="13" t="n">
        <f aca="false">IF(AND(I213=TRUE(),COUNTIFS($R$5:R213,R213,$I$5:I213,TRUE())=1),1,0)</f>
        <v>0</v>
      </c>
      <c r="T213" s="70" t="n">
        <v>0.5</v>
      </c>
      <c r="U213" s="35" t="n">
        <v>8.94</v>
      </c>
      <c r="V213" s="35" t="n">
        <v>3.684503</v>
      </c>
      <c r="W213" s="35" t="n">
        <v>1.43</v>
      </c>
      <c r="X213" s="13" t="s">
        <v>105</v>
      </c>
      <c r="Y213" s="46" t="n">
        <v>46146</v>
      </c>
    </row>
    <row r="214" customFormat="false" ht="15" hidden="false" customHeight="false" outlineLevel="0" collapsed="false">
      <c r="A214" s="15" t="n">
        <v>5119467321</v>
      </c>
      <c r="B214" s="76" t="n">
        <v>46152.9800231482</v>
      </c>
      <c r="C214" s="76" t="n">
        <v>46152.9975115741</v>
      </c>
      <c r="D214" s="31" t="n">
        <v>0.419722222222222</v>
      </c>
      <c r="E214" s="31" t="n">
        <v>2.856592</v>
      </c>
      <c r="F214" s="31" t="n">
        <v>7.1596</v>
      </c>
      <c r="G214" s="15" t="s">
        <v>64</v>
      </c>
      <c r="H214" s="77" t="b">
        <f aca="false">FALSE()</f>
        <v>0</v>
      </c>
      <c r="I214" s="77" t="b">
        <f aca="false">TRUE()</f>
        <v>1</v>
      </c>
      <c r="J214" s="78" t="n">
        <v>0</v>
      </c>
      <c r="K214" s="15" t="s">
        <v>168</v>
      </c>
      <c r="L214" s="15" t="s">
        <v>222</v>
      </c>
      <c r="M214" s="15" t="s">
        <v>322</v>
      </c>
      <c r="N214" s="15" t="s">
        <v>323</v>
      </c>
      <c r="O214" s="15" t="s">
        <v>246</v>
      </c>
      <c r="P214" s="37" t="n">
        <v>3.75</v>
      </c>
      <c r="Q214" s="37" t="n">
        <v>3.18</v>
      </c>
      <c r="R214" s="47" t="n">
        <f aca="false">INT(B214)</f>
        <v>46152</v>
      </c>
      <c r="S214" s="15" t="n">
        <f aca="false">IF(AND(I214=TRUE(),COUNTIFS($R$5:R214,R214,$I$5:I214,TRUE())=1),1,0)</f>
        <v>1</v>
      </c>
      <c r="T214" s="69" t="n">
        <v>0.5</v>
      </c>
      <c r="U214" s="37" t="n">
        <v>3.53</v>
      </c>
      <c r="V214" s="37" t="n">
        <v>1.428296</v>
      </c>
      <c r="W214" s="37" t="n">
        <v>0.57</v>
      </c>
      <c r="X214" s="15" t="s">
        <v>106</v>
      </c>
      <c r="Y214" s="47" t="n">
        <v>46146</v>
      </c>
    </row>
    <row r="215" customFormat="false" ht="15" hidden="false" customHeight="false" outlineLevel="0" collapsed="false">
      <c r="A215" s="13" t="n">
        <v>5119565261</v>
      </c>
      <c r="B215" s="74" t="n">
        <v>46153.005162037</v>
      </c>
      <c r="C215" s="74" t="n">
        <v>46153.0305208333</v>
      </c>
      <c r="D215" s="30" t="n">
        <v>0.608611111111111</v>
      </c>
      <c r="E215" s="30" t="n">
        <v>11.0811</v>
      </c>
      <c r="F215" s="30" t="n">
        <v>30.325</v>
      </c>
      <c r="G215" s="13" t="s">
        <v>64</v>
      </c>
      <c r="H215" s="75" t="b">
        <f aca="false">TRUE()</f>
        <v>1</v>
      </c>
      <c r="I215" s="75" t="b">
        <f aca="false">TRUE()</f>
        <v>1</v>
      </c>
      <c r="J215" s="48" t="n">
        <v>1</v>
      </c>
      <c r="K215" s="13" t="s">
        <v>166</v>
      </c>
      <c r="L215" s="13" t="s">
        <v>222</v>
      </c>
      <c r="M215" s="13" t="s">
        <v>322</v>
      </c>
      <c r="N215" s="13" t="s">
        <v>323</v>
      </c>
      <c r="O215" s="13" t="s">
        <v>246</v>
      </c>
      <c r="P215" s="35" t="n">
        <v>9.08</v>
      </c>
      <c r="Q215" s="35" t="n">
        <v>7.71</v>
      </c>
      <c r="R215" s="46" t="n">
        <f aca="false">INT(B215)</f>
        <v>46153</v>
      </c>
      <c r="S215" s="13" t="n">
        <f aca="false">IF(AND(I215=TRUE(),COUNTIFS($R$5:R215,R215,$I$5:I215,TRUE())=1),1,0)</f>
        <v>1</v>
      </c>
      <c r="T215" s="70" t="n">
        <v>0.5</v>
      </c>
      <c r="U215" s="35" t="n">
        <v>8.57</v>
      </c>
      <c r="V215" s="35" t="n">
        <v>5.54055</v>
      </c>
      <c r="W215" s="35" t="n">
        <v>1.37</v>
      </c>
      <c r="X215" s="13" t="s">
        <v>100</v>
      </c>
      <c r="Y215" s="46" t="n">
        <v>46153</v>
      </c>
    </row>
    <row r="216" customFormat="false" ht="15" hidden="false" customHeight="false" outlineLevel="0" collapsed="false">
      <c r="A216" s="15" t="n">
        <v>5133007041</v>
      </c>
      <c r="B216" s="76" t="n">
        <v>46156.9720138889</v>
      </c>
      <c r="C216" s="76" t="n">
        <v>46157.0634837963</v>
      </c>
      <c r="D216" s="31" t="n">
        <v>2.19527777777778</v>
      </c>
      <c r="E216" s="31" t="n">
        <v>81.4171</v>
      </c>
      <c r="F216" s="31" t="n">
        <v>40.6</v>
      </c>
      <c r="G216" s="15" t="s">
        <v>64</v>
      </c>
      <c r="H216" s="77" t="b">
        <f aca="false">TRUE()</f>
        <v>1</v>
      </c>
      <c r="I216" s="77" t="b">
        <f aca="false">TRUE()</f>
        <v>1</v>
      </c>
      <c r="J216" s="78" t="n">
        <v>1</v>
      </c>
      <c r="K216" s="15" t="s">
        <v>166</v>
      </c>
      <c r="L216" s="15" t="s">
        <v>222</v>
      </c>
      <c r="M216" s="15" t="s">
        <v>225</v>
      </c>
      <c r="N216" s="15"/>
      <c r="O216" s="15" t="s">
        <v>224</v>
      </c>
      <c r="P216" s="37" t="n">
        <v>54.77</v>
      </c>
      <c r="Q216" s="37" t="n">
        <v>46.5</v>
      </c>
      <c r="R216" s="47" t="n">
        <f aca="false">INT(B216)</f>
        <v>46156</v>
      </c>
      <c r="S216" s="15" t="n">
        <f aca="false">IF(AND(I216=TRUE(),COUNTIFS($R$5:R216,R216,$I$5:I216,TRUE())=1),1,0)</f>
        <v>1</v>
      </c>
      <c r="T216" s="69" t="n">
        <v>0.5</v>
      </c>
      <c r="U216" s="37" t="n">
        <v>51.67</v>
      </c>
      <c r="V216" s="37" t="n">
        <v>40.70855</v>
      </c>
      <c r="W216" s="37" t="n">
        <v>8.27</v>
      </c>
      <c r="X216" s="15" t="s">
        <v>103</v>
      </c>
      <c r="Y216" s="47" t="n">
        <v>46153</v>
      </c>
    </row>
    <row r="217" customFormat="false" ht="15" hidden="false" customHeight="false" outlineLevel="0" collapsed="false">
      <c r="A217" s="13" t="n">
        <v>5144996721</v>
      </c>
      <c r="B217" s="74" t="n">
        <v>46161.0327777778</v>
      </c>
      <c r="C217" s="74" t="n">
        <v>46161.0815972222</v>
      </c>
      <c r="D217" s="30" t="n">
        <v>1.17166666666667</v>
      </c>
      <c r="E217" s="30" t="n">
        <v>33.7549</v>
      </c>
      <c r="F217" s="30" t="n">
        <v>37.954</v>
      </c>
      <c r="G217" s="13" t="s">
        <v>64</v>
      </c>
      <c r="H217" s="75" t="b">
        <f aca="false">TRUE()</f>
        <v>1</v>
      </c>
      <c r="I217" s="75" t="b">
        <f aca="false">TRUE()</f>
        <v>1</v>
      </c>
      <c r="J217" s="48" t="n">
        <v>1</v>
      </c>
      <c r="K217" s="13" t="s">
        <v>166</v>
      </c>
      <c r="L217" s="13" t="s">
        <v>222</v>
      </c>
      <c r="M217" s="13" t="s">
        <v>298</v>
      </c>
      <c r="N217" s="13"/>
      <c r="O217" s="13" t="s">
        <v>224</v>
      </c>
      <c r="P217" s="35" t="n">
        <v>24.58</v>
      </c>
      <c r="Q217" s="35" t="n">
        <v>20.46</v>
      </c>
      <c r="R217" s="46" t="n">
        <f aca="false">INT(B217)</f>
        <v>46161</v>
      </c>
      <c r="S217" s="13" t="n">
        <f aca="false">IF(AND(I217=TRUE(),COUNTIFS($R$5:R217,R217,$I$5:I217,TRUE())=1),1,0)</f>
        <v>1</v>
      </c>
      <c r="T217" s="70" t="n">
        <v>0.5</v>
      </c>
      <c r="U217" s="35" t="n">
        <v>22.73</v>
      </c>
      <c r="V217" s="35" t="n">
        <v>16.87745</v>
      </c>
      <c r="W217" s="35" t="n">
        <v>4.12</v>
      </c>
      <c r="X217" s="13" t="s">
        <v>101</v>
      </c>
      <c r="Y217" s="46" t="n">
        <v>46160</v>
      </c>
    </row>
    <row r="218" customFormat="false" ht="15" hidden="false" customHeight="false" outlineLevel="0" collapsed="false">
      <c r="A218" s="15" t="n">
        <v>5147308091</v>
      </c>
      <c r="B218" s="76" t="n">
        <v>46161.7722453704</v>
      </c>
      <c r="C218" s="76" t="n">
        <v>46161.7735532407</v>
      </c>
      <c r="D218" s="31" t="n">
        <v>0.0313888888888888</v>
      </c>
      <c r="E218" s="31" t="n">
        <v>0</v>
      </c>
      <c r="F218" s="31" t="n">
        <v>0</v>
      </c>
      <c r="G218" s="15" t="s">
        <v>63</v>
      </c>
      <c r="H218" s="77" t="b">
        <f aca="false">FALSE()</f>
        <v>0</v>
      </c>
      <c r="I218" s="77" t="b">
        <f aca="false">FALSE()</f>
        <v>0</v>
      </c>
      <c r="J218" s="78"/>
      <c r="K218" s="15" t="s">
        <v>168</v>
      </c>
      <c r="L218" s="15" t="s">
        <v>222</v>
      </c>
      <c r="M218" s="15"/>
      <c r="N218" s="15"/>
      <c r="O218" s="15"/>
      <c r="P218" s="37"/>
      <c r="Q218" s="37"/>
      <c r="R218" s="47" t="n">
        <f aca="false">INT(B218)</f>
        <v>46161</v>
      </c>
      <c r="S218" s="15" t="n">
        <f aca="false">IF(AND(I218=TRUE(),COUNTIFS($R$5:R218,R218,$I$5:I218,TRUE())=1),1,0)</f>
        <v>0</v>
      </c>
      <c r="T218" s="69"/>
      <c r="U218" s="37"/>
      <c r="V218" s="37"/>
      <c r="W218" s="37"/>
      <c r="X218" s="15" t="s">
        <v>101</v>
      </c>
      <c r="Y218" s="47" t="n">
        <v>46160</v>
      </c>
    </row>
    <row r="219" customFormat="false" ht="15" hidden="false" customHeight="false" outlineLevel="0" collapsed="false">
      <c r="A219" s="13" t="n">
        <v>5147302701</v>
      </c>
      <c r="B219" s="74" t="n">
        <v>46161.7722800926</v>
      </c>
      <c r="C219" s="74" t="n">
        <v>46161.7783101852</v>
      </c>
      <c r="D219" s="30" t="n">
        <v>0.144722222222222</v>
      </c>
      <c r="E219" s="30" t="n">
        <v>4.8722</v>
      </c>
      <c r="F219" s="30" t="n">
        <v>35.359</v>
      </c>
      <c r="G219" s="13" t="s">
        <v>63</v>
      </c>
      <c r="H219" s="75" t="b">
        <f aca="false">TRUE()</f>
        <v>1</v>
      </c>
      <c r="I219" s="75" t="b">
        <f aca="false">FALSE()</f>
        <v>0</v>
      </c>
      <c r="J219" s="48"/>
      <c r="K219" s="13" t="s">
        <v>166</v>
      </c>
      <c r="L219" s="13" t="s">
        <v>222</v>
      </c>
      <c r="M219" s="13" t="s">
        <v>223</v>
      </c>
      <c r="N219" s="13"/>
      <c r="O219" s="13" t="s">
        <v>224</v>
      </c>
      <c r="P219" s="35" t="n">
        <v>3.85</v>
      </c>
      <c r="Q219" s="35" t="n">
        <v>2.85</v>
      </c>
      <c r="R219" s="46" t="n">
        <f aca="false">INT(B219)</f>
        <v>46161</v>
      </c>
      <c r="S219" s="13" t="n">
        <f aca="false">IF(AND(I219=TRUE(),COUNTIFS($R$5:R219,R219,$I$5:I219,TRUE())=1),1,0)</f>
        <v>0</v>
      </c>
      <c r="T219" s="70" t="n">
        <v>0.5</v>
      </c>
      <c r="U219" s="35" t="n">
        <v>3.17</v>
      </c>
      <c r="V219" s="35" t="n">
        <v>2.4361</v>
      </c>
      <c r="W219" s="35" t="n">
        <v>1</v>
      </c>
      <c r="X219" s="13" t="s">
        <v>101</v>
      </c>
      <c r="Y219" s="46" t="n">
        <v>46160</v>
      </c>
    </row>
    <row r="220" customFormat="false" ht="15" hidden="false" customHeight="false" outlineLevel="0" collapsed="false">
      <c r="A220" s="15" t="n">
        <v>5157045241</v>
      </c>
      <c r="B220" s="76" t="n">
        <v>46164.5777083333</v>
      </c>
      <c r="C220" s="76" t="n">
        <v>46164.63</v>
      </c>
      <c r="D220" s="31" t="n">
        <v>1.255</v>
      </c>
      <c r="E220" s="31" t="n">
        <v>43.688</v>
      </c>
      <c r="F220" s="31" t="n">
        <v>36.897</v>
      </c>
      <c r="G220" s="15" t="s">
        <v>62</v>
      </c>
      <c r="H220" s="77" t="b">
        <f aca="false">TRUE()</f>
        <v>1</v>
      </c>
      <c r="I220" s="77" t="b">
        <f aca="false">FALSE()</f>
        <v>0</v>
      </c>
      <c r="J220" s="78" t="n">
        <v>1</v>
      </c>
      <c r="K220" s="15" t="s">
        <v>166</v>
      </c>
      <c r="L220" s="15" t="s">
        <v>228</v>
      </c>
      <c r="M220" s="15"/>
      <c r="N220" s="15"/>
      <c r="O220" s="15"/>
      <c r="P220" s="37" t="n">
        <v>30.8</v>
      </c>
      <c r="Q220" s="37" t="n">
        <v>25.31</v>
      </c>
      <c r="R220" s="47" t="n">
        <f aca="false">INT(B220)</f>
        <v>46164</v>
      </c>
      <c r="S220" s="15" t="n">
        <f aca="false">IF(AND(I220=TRUE(),COUNTIFS($R$5:R220,R220,$I$5:I220,TRUE())=1),1,0)</f>
        <v>0</v>
      </c>
      <c r="T220" s="69" t="n">
        <v>0.5</v>
      </c>
      <c r="U220" s="37" t="n">
        <v>28.12</v>
      </c>
      <c r="V220" s="37" t="n">
        <v>21.844</v>
      </c>
      <c r="W220" s="37" t="n">
        <v>5.49</v>
      </c>
      <c r="X220" s="15" t="s">
        <v>104</v>
      </c>
      <c r="Y220" s="47" t="n">
        <v>46160</v>
      </c>
    </row>
    <row r="221" customFormat="false" ht="15" hidden="false" customHeight="false" outlineLevel="0" collapsed="false">
      <c r="A221" s="13" t="n">
        <v>5157888411</v>
      </c>
      <c r="B221" s="74" t="n">
        <v>46164.7672800926</v>
      </c>
      <c r="C221" s="74" t="n">
        <v>46164.8223263889</v>
      </c>
      <c r="D221" s="30" t="n">
        <v>1.32111111111111</v>
      </c>
      <c r="E221" s="30" t="n">
        <v>8.79557</v>
      </c>
      <c r="F221" s="30" t="n">
        <v>6.7491</v>
      </c>
      <c r="G221" s="13" t="s">
        <v>63</v>
      </c>
      <c r="H221" s="75" t="b">
        <f aca="false">FALSE()</f>
        <v>0</v>
      </c>
      <c r="I221" s="75" t="b">
        <f aca="false">FALSE()</f>
        <v>0</v>
      </c>
      <c r="J221" s="48" t="n">
        <v>0</v>
      </c>
      <c r="K221" s="13" t="s">
        <v>168</v>
      </c>
      <c r="L221" s="13" t="s">
        <v>228</v>
      </c>
      <c r="M221" s="13"/>
      <c r="N221" s="13"/>
      <c r="O221" s="13"/>
      <c r="P221" s="35" t="n">
        <v>12.16</v>
      </c>
      <c r="Q221" s="35" t="n">
        <v>9.91</v>
      </c>
      <c r="R221" s="46" t="n">
        <f aca="false">INT(B221)</f>
        <v>46164</v>
      </c>
      <c r="S221" s="13" t="n">
        <f aca="false">IF(AND(I221=TRUE(),COUNTIFS($R$5:R221,R221,$I$5:I221,TRUE())=1),1,0)</f>
        <v>0</v>
      </c>
      <c r="T221" s="70" t="n">
        <v>0.5</v>
      </c>
      <c r="U221" s="35" t="n">
        <v>11.01</v>
      </c>
      <c r="V221" s="35" t="n">
        <v>4.397785</v>
      </c>
      <c r="W221" s="35" t="n">
        <v>2.25</v>
      </c>
      <c r="X221" s="13" t="s">
        <v>104</v>
      </c>
      <c r="Y221" s="46" t="n">
        <v>46160</v>
      </c>
    </row>
    <row r="222" customFormat="false" ht="15" hidden="false" customHeight="false" outlineLevel="0" collapsed="false">
      <c r="A222" s="15" t="n">
        <v>5158370321</v>
      </c>
      <c r="B222" s="76" t="n">
        <v>46164.877662037</v>
      </c>
      <c r="C222" s="76" t="n">
        <v>46164.9348148148</v>
      </c>
      <c r="D222" s="31" t="n">
        <v>1.37166666666667</v>
      </c>
      <c r="E222" s="31" t="n">
        <v>44.3982</v>
      </c>
      <c r="F222" s="31" t="n">
        <v>40.582</v>
      </c>
      <c r="G222" s="15" t="s">
        <v>63</v>
      </c>
      <c r="H222" s="77" t="b">
        <f aca="false">TRUE()</f>
        <v>1</v>
      </c>
      <c r="I222" s="77" t="b">
        <f aca="false">FALSE()</f>
        <v>0</v>
      </c>
      <c r="J222" s="78" t="n">
        <v>1</v>
      </c>
      <c r="K222" s="15" t="s">
        <v>166</v>
      </c>
      <c r="L222" s="15" t="s">
        <v>228</v>
      </c>
      <c r="M222" s="15"/>
      <c r="N222" s="15"/>
      <c r="O222" s="15"/>
      <c r="P222" s="37" t="n">
        <v>31.79</v>
      </c>
      <c r="Q222" s="37" t="n">
        <v>26.15</v>
      </c>
      <c r="R222" s="47" t="n">
        <f aca="false">INT(B222)</f>
        <v>46164</v>
      </c>
      <c r="S222" s="15" t="n">
        <f aca="false">IF(AND(I222=TRUE(),COUNTIFS($R$5:R222,R222,$I$5:I222,TRUE())=1),1,0)</f>
        <v>0</v>
      </c>
      <c r="T222" s="69" t="n">
        <v>0.5</v>
      </c>
      <c r="U222" s="37" t="n">
        <v>29.06</v>
      </c>
      <c r="V222" s="37" t="n">
        <v>22.1991</v>
      </c>
      <c r="W222" s="37" t="n">
        <v>5.64</v>
      </c>
      <c r="X222" s="15" t="s">
        <v>104</v>
      </c>
      <c r="Y222" s="47" t="n">
        <v>46160</v>
      </c>
    </row>
    <row r="223" customFormat="false" ht="15" hidden="false" customHeight="false" outlineLevel="0" collapsed="false">
      <c r="A223" s="13" t="n">
        <v>5161345291</v>
      </c>
      <c r="B223" s="74" t="n">
        <v>46165.9865740741</v>
      </c>
      <c r="C223" s="74" t="n">
        <v>46166.0111458333</v>
      </c>
      <c r="D223" s="30" t="n">
        <v>0.589722222222222</v>
      </c>
      <c r="E223" s="30" t="n">
        <v>14.4048</v>
      </c>
      <c r="F223" s="30" t="n">
        <v>39.721</v>
      </c>
      <c r="G223" s="13" t="s">
        <v>64</v>
      </c>
      <c r="H223" s="75" t="b">
        <f aca="false">TRUE()</f>
        <v>1</v>
      </c>
      <c r="I223" s="75" t="b">
        <f aca="false">TRUE()</f>
        <v>1</v>
      </c>
      <c r="J223" s="48" t="n">
        <v>1</v>
      </c>
      <c r="K223" s="13" t="s">
        <v>166</v>
      </c>
      <c r="L223" s="13" t="s">
        <v>228</v>
      </c>
      <c r="M223" s="13"/>
      <c r="N223" s="13"/>
      <c r="O223" s="13"/>
      <c r="P223" s="35" t="n">
        <v>11.75</v>
      </c>
      <c r="Q223" s="35" t="n">
        <v>9.14</v>
      </c>
      <c r="R223" s="46" t="n">
        <f aca="false">INT(B223)</f>
        <v>46165</v>
      </c>
      <c r="S223" s="13" t="n">
        <f aca="false">IF(AND(I223=TRUE(),COUNTIFS($R$5:R223,R223,$I$5:I223,TRUE())=1),1,0)</f>
        <v>1</v>
      </c>
      <c r="T223" s="70" t="n">
        <v>0.5</v>
      </c>
      <c r="U223" s="35" t="n">
        <v>10.15</v>
      </c>
      <c r="V223" s="35" t="n">
        <v>7.2024</v>
      </c>
      <c r="W223" s="35" t="n">
        <v>2.61</v>
      </c>
      <c r="X223" s="13" t="s">
        <v>105</v>
      </c>
      <c r="Y223" s="46" t="n">
        <v>46160</v>
      </c>
    </row>
    <row r="224" customFormat="false" ht="15" hidden="false" customHeight="false" outlineLevel="0" collapsed="false">
      <c r="A224" s="15" t="n">
        <v>5162996711</v>
      </c>
      <c r="B224" s="76" t="n">
        <v>46166.8095138889</v>
      </c>
      <c r="C224" s="76" t="n">
        <v>46166.8281481482</v>
      </c>
      <c r="D224" s="31" t="n">
        <v>0.447222222222222</v>
      </c>
      <c r="E224" s="31" t="n">
        <v>16.1868</v>
      </c>
      <c r="F224" s="31" t="n">
        <v>37.672</v>
      </c>
      <c r="G224" s="15" t="s">
        <v>63</v>
      </c>
      <c r="H224" s="77" t="b">
        <f aca="false">TRUE()</f>
        <v>1</v>
      </c>
      <c r="I224" s="77" t="b">
        <f aca="false">FALSE()</f>
        <v>0</v>
      </c>
      <c r="J224" s="78" t="n">
        <v>1</v>
      </c>
      <c r="K224" s="15" t="s">
        <v>166</v>
      </c>
      <c r="L224" s="15" t="s">
        <v>222</v>
      </c>
      <c r="M224" s="15" t="s">
        <v>324</v>
      </c>
      <c r="N224" s="15" t="s">
        <v>325</v>
      </c>
      <c r="O224" s="15" t="s">
        <v>254</v>
      </c>
      <c r="P224" s="37" t="n">
        <v>11.44</v>
      </c>
      <c r="Q224" s="37" t="n">
        <v>9.3</v>
      </c>
      <c r="R224" s="47" t="n">
        <f aca="false">INT(B224)</f>
        <v>46166</v>
      </c>
      <c r="S224" s="15" t="n">
        <f aca="false">IF(AND(I224=TRUE(),COUNTIFS($R$5:R224,R224,$I$5:I224,TRUE())=1),1,0)</f>
        <v>0</v>
      </c>
      <c r="T224" s="69" t="n">
        <v>0.5</v>
      </c>
      <c r="U224" s="37" t="n">
        <v>10.33</v>
      </c>
      <c r="V224" s="37" t="n">
        <v>8.0934</v>
      </c>
      <c r="W224" s="37" t="n">
        <v>2.14</v>
      </c>
      <c r="X224" s="15" t="s">
        <v>106</v>
      </c>
      <c r="Y224" s="47" t="n">
        <v>46160</v>
      </c>
    </row>
    <row r="225" customFormat="false" ht="15" hidden="false" customHeight="false" outlineLevel="0" collapsed="false">
      <c r="A225" s="13" t="n">
        <v>5165020791</v>
      </c>
      <c r="B225" s="74" t="n">
        <v>46167.7654166667</v>
      </c>
      <c r="C225" s="74" t="n">
        <v>46167.7805092593</v>
      </c>
      <c r="D225" s="30" t="n">
        <v>0.362222222222222</v>
      </c>
      <c r="E225" s="30" t="n">
        <v>12.0104</v>
      </c>
      <c r="F225" s="30" t="n">
        <v>35.109</v>
      </c>
      <c r="G225" s="13" t="s">
        <v>63</v>
      </c>
      <c r="H225" s="75" t="b">
        <f aca="false">TRUE()</f>
        <v>1</v>
      </c>
      <c r="I225" s="75" t="b">
        <f aca="false">FALSE()</f>
        <v>0</v>
      </c>
      <c r="J225" s="48" t="n">
        <v>1</v>
      </c>
      <c r="K225" s="13" t="s">
        <v>166</v>
      </c>
      <c r="L225" s="13" t="s">
        <v>228</v>
      </c>
      <c r="M225" s="13"/>
      <c r="N225" s="13"/>
      <c r="O225" s="13"/>
      <c r="P225" s="35" t="n">
        <v>9.27</v>
      </c>
      <c r="Q225" s="35" t="n">
        <v>7.03</v>
      </c>
      <c r="R225" s="46" t="n">
        <f aca="false">INT(B225)</f>
        <v>46167</v>
      </c>
      <c r="S225" s="13" t="n">
        <f aca="false">IF(AND(I225=TRUE(),COUNTIFS($R$5:R225,R225,$I$5:I225,TRUE())=1),1,0)</f>
        <v>0</v>
      </c>
      <c r="T225" s="70" t="n">
        <v>0.5</v>
      </c>
      <c r="U225" s="35" t="n">
        <v>7.81</v>
      </c>
      <c r="V225" s="35" t="n">
        <v>6.0052</v>
      </c>
      <c r="W225" s="35" t="n">
        <v>2.24</v>
      </c>
      <c r="X225" s="13" t="s">
        <v>100</v>
      </c>
      <c r="Y225" s="46" t="n">
        <v>46167</v>
      </c>
    </row>
    <row r="226" customFormat="false" ht="15" hidden="false" customHeight="false" outlineLevel="0" collapsed="false">
      <c r="A226" s="15" t="n">
        <v>5165064361</v>
      </c>
      <c r="B226" s="76" t="n">
        <v>46167.7810648148</v>
      </c>
      <c r="C226" s="76" t="n">
        <v>46167.8127199074</v>
      </c>
      <c r="D226" s="31" t="n">
        <v>0.759722222222222</v>
      </c>
      <c r="E226" s="31" t="n">
        <v>25.5031</v>
      </c>
      <c r="F226" s="31" t="n">
        <v>38.122</v>
      </c>
      <c r="G226" s="15" t="s">
        <v>63</v>
      </c>
      <c r="H226" s="77" t="b">
        <f aca="false">TRUE()</f>
        <v>1</v>
      </c>
      <c r="I226" s="77" t="b">
        <f aca="false">FALSE()</f>
        <v>0</v>
      </c>
      <c r="J226" s="78" t="n">
        <v>0.994108983799706</v>
      </c>
      <c r="K226" s="15" t="s">
        <v>166</v>
      </c>
      <c r="L226" s="15" t="s">
        <v>222</v>
      </c>
      <c r="M226" s="15" t="s">
        <v>326</v>
      </c>
      <c r="N226" s="15" t="s">
        <v>327</v>
      </c>
      <c r="O226" s="15" t="s">
        <v>254</v>
      </c>
      <c r="P226" s="37" t="n">
        <v>17.54</v>
      </c>
      <c r="Q226" s="37" t="n">
        <v>14.89</v>
      </c>
      <c r="R226" s="47" t="n">
        <f aca="false">INT(B226)</f>
        <v>46167</v>
      </c>
      <c r="S226" s="15" t="n">
        <f aca="false">IF(AND(I226=TRUE(),COUNTIFS($R$5:R226,R226,$I$5:I226,TRUE())=1),1,0)</f>
        <v>0</v>
      </c>
      <c r="T226" s="69" t="n">
        <v>0.5</v>
      </c>
      <c r="U226" s="37" t="n">
        <v>16.54</v>
      </c>
      <c r="V226" s="37" t="n">
        <v>12.75155</v>
      </c>
      <c r="W226" s="37" t="n">
        <v>2.65</v>
      </c>
      <c r="X226" s="15" t="s">
        <v>100</v>
      </c>
      <c r="Y226" s="47" t="n">
        <v>46167</v>
      </c>
    </row>
    <row r="227" customFormat="false" ht="15" hidden="false" customHeight="false" outlineLevel="0" collapsed="false">
      <c r="A227" s="13" t="n">
        <v>5167229441</v>
      </c>
      <c r="B227" s="74" t="n">
        <v>46168.6099189815</v>
      </c>
      <c r="C227" s="74" t="n">
        <v>46168.6099189815</v>
      </c>
      <c r="D227" s="30" t="n">
        <v>0</v>
      </c>
      <c r="E227" s="30" t="n">
        <v>0</v>
      </c>
      <c r="F227" s="30" t="n">
        <v>0</v>
      </c>
      <c r="G227" s="13" t="s">
        <v>62</v>
      </c>
      <c r="H227" s="75" t="b">
        <f aca="false">FALSE()</f>
        <v>0</v>
      </c>
      <c r="I227" s="75" t="b">
        <f aca="false">FALSE()</f>
        <v>0</v>
      </c>
      <c r="J227" s="48"/>
      <c r="K227" s="13" t="s">
        <v>166</v>
      </c>
      <c r="L227" s="13" t="s">
        <v>228</v>
      </c>
      <c r="M227" s="13"/>
      <c r="N227" s="13"/>
      <c r="O227" s="13"/>
      <c r="P227" s="35"/>
      <c r="Q227" s="35"/>
      <c r="R227" s="46" t="n">
        <f aca="false">INT(B227)</f>
        <v>46168</v>
      </c>
      <c r="S227" s="13" t="n">
        <f aca="false">IF(AND(I227=TRUE(),COUNTIFS($R$5:R227,R227,$I$5:I227,TRUE())=1),1,0)</f>
        <v>0</v>
      </c>
      <c r="T227" s="70"/>
      <c r="U227" s="35"/>
      <c r="V227" s="35"/>
      <c r="W227" s="35"/>
      <c r="X227" s="13" t="s">
        <v>101</v>
      </c>
      <c r="Y227" s="46" t="n">
        <v>46167</v>
      </c>
    </row>
    <row r="228" customFormat="false" ht="15" hidden="false" customHeight="false" outlineLevel="0" collapsed="false">
      <c r="A228" s="15" t="n">
        <v>5167230461</v>
      </c>
      <c r="B228" s="76" t="n">
        <v>46168.6101388889</v>
      </c>
      <c r="C228" s="76" t="n">
        <v>46168.6112037037</v>
      </c>
      <c r="D228" s="31" t="n">
        <v>0.0255555555555555</v>
      </c>
      <c r="E228" s="31" t="n">
        <v>0</v>
      </c>
      <c r="F228" s="31" t="n">
        <v>0</v>
      </c>
      <c r="G228" s="15" t="s">
        <v>62</v>
      </c>
      <c r="H228" s="77" t="b">
        <f aca="false">FALSE()</f>
        <v>0</v>
      </c>
      <c r="I228" s="77" t="b">
        <f aca="false">FALSE()</f>
        <v>0</v>
      </c>
      <c r="J228" s="78"/>
      <c r="K228" s="15" t="s">
        <v>166</v>
      </c>
      <c r="L228" s="15" t="s">
        <v>228</v>
      </c>
      <c r="M228" s="15"/>
      <c r="N228" s="15"/>
      <c r="O228" s="15"/>
      <c r="P228" s="37"/>
      <c r="Q228" s="37"/>
      <c r="R228" s="47" t="n">
        <f aca="false">INT(B228)</f>
        <v>46168</v>
      </c>
      <c r="S228" s="15" t="n">
        <f aca="false">IF(AND(I228=TRUE(),COUNTIFS($R$5:R228,R228,$I$5:I228,TRUE())=1),1,0)</f>
        <v>0</v>
      </c>
      <c r="T228" s="69"/>
      <c r="U228" s="37"/>
      <c r="V228" s="37"/>
      <c r="W228" s="37"/>
      <c r="X228" s="15" t="s">
        <v>101</v>
      </c>
      <c r="Y228" s="47" t="n">
        <v>46167</v>
      </c>
    </row>
    <row r="229" customFormat="false" ht="15" hidden="false" customHeight="false" outlineLevel="0" collapsed="false">
      <c r="A229" s="13" t="n">
        <v>5167255051</v>
      </c>
      <c r="B229" s="74" t="n">
        <v>46168.6150462963</v>
      </c>
      <c r="C229" s="74" t="n">
        <v>46168.6476388889</v>
      </c>
      <c r="D229" s="30" t="n">
        <v>0.782222222222222</v>
      </c>
      <c r="E229" s="30" t="n">
        <v>5.618006</v>
      </c>
      <c r="F229" s="30" t="n">
        <v>7.3102</v>
      </c>
      <c r="G229" s="13" t="s">
        <v>62</v>
      </c>
      <c r="H229" s="75" t="b">
        <f aca="false">FALSE()</f>
        <v>0</v>
      </c>
      <c r="I229" s="75" t="b">
        <f aca="false">FALSE()</f>
        <v>0</v>
      </c>
      <c r="J229" s="48" t="n">
        <v>0</v>
      </c>
      <c r="K229" s="13" t="s">
        <v>168</v>
      </c>
      <c r="L229" s="13" t="s">
        <v>228</v>
      </c>
      <c r="M229" s="13"/>
      <c r="N229" s="13"/>
      <c r="O229" s="13"/>
      <c r="P229" s="35" t="n">
        <v>7.61</v>
      </c>
      <c r="Q229" s="35" t="n">
        <v>6.05</v>
      </c>
      <c r="R229" s="46" t="n">
        <f aca="false">INT(B229)</f>
        <v>46168</v>
      </c>
      <c r="S229" s="13" t="n">
        <f aca="false">IF(AND(I229=TRUE(),COUNTIFS($R$5:R229,R229,$I$5:I229,TRUE())=1),1,0)</f>
        <v>0</v>
      </c>
      <c r="T229" s="70" t="n">
        <v>0.5</v>
      </c>
      <c r="U229" s="35" t="n">
        <v>6.72</v>
      </c>
      <c r="V229" s="35" t="n">
        <v>2.809003</v>
      </c>
      <c r="W229" s="35" t="n">
        <v>1.56</v>
      </c>
      <c r="X229" s="13" t="s">
        <v>101</v>
      </c>
      <c r="Y229" s="46" t="n">
        <v>46167</v>
      </c>
    </row>
    <row r="230" customFormat="false" ht="15" hidden="false" customHeight="false" outlineLevel="0" collapsed="false">
      <c r="A230" s="15" t="n">
        <v>5167947661</v>
      </c>
      <c r="B230" s="76" t="n">
        <v>46168.7576851852</v>
      </c>
      <c r="C230" s="76" t="n">
        <v>46168.8196296296</v>
      </c>
      <c r="D230" s="31" t="n">
        <v>1.48666666666667</v>
      </c>
      <c r="E230" s="31" t="n">
        <v>45.2809</v>
      </c>
      <c r="F230" s="31" t="n">
        <v>37.564</v>
      </c>
      <c r="G230" s="15" t="s">
        <v>63</v>
      </c>
      <c r="H230" s="77" t="b">
        <f aca="false">TRUE()</f>
        <v>1</v>
      </c>
      <c r="I230" s="77" t="b">
        <f aca="false">FALSE()</f>
        <v>0</v>
      </c>
      <c r="J230" s="78" t="n">
        <v>1</v>
      </c>
      <c r="K230" s="15" t="s">
        <v>166</v>
      </c>
      <c r="L230" s="15" t="s">
        <v>222</v>
      </c>
      <c r="M230" s="15" t="s">
        <v>328</v>
      </c>
      <c r="N230" s="15"/>
      <c r="O230" s="15" t="s">
        <v>254</v>
      </c>
      <c r="P230" s="37" t="n">
        <v>32.36</v>
      </c>
      <c r="Q230" s="37" t="n">
        <v>27.05</v>
      </c>
      <c r="R230" s="47" t="n">
        <f aca="false">INT(B230)</f>
        <v>46168</v>
      </c>
      <c r="S230" s="15" t="n">
        <f aca="false">IF(AND(I230=TRUE(),COUNTIFS($R$5:R230,R230,$I$5:I230,TRUE())=1),1,0)</f>
        <v>0</v>
      </c>
      <c r="T230" s="69" t="n">
        <v>0.5</v>
      </c>
      <c r="U230" s="37" t="n">
        <v>30.06</v>
      </c>
      <c r="V230" s="37" t="n">
        <v>22.64045</v>
      </c>
      <c r="W230" s="37" t="n">
        <v>5.31</v>
      </c>
      <c r="X230" s="15" t="s">
        <v>101</v>
      </c>
      <c r="Y230" s="47" t="n">
        <v>46167</v>
      </c>
    </row>
    <row r="231" customFormat="false" ht="15" hidden="false" customHeight="false" outlineLevel="0" collapsed="false">
      <c r="A231" s="13" t="n">
        <v>5169051161</v>
      </c>
      <c r="B231" s="74" t="n">
        <v>46169.0019675926</v>
      </c>
      <c r="C231" s="74" t="n">
        <v>46169.0142592593</v>
      </c>
      <c r="D231" s="30" t="n">
        <v>0.295</v>
      </c>
      <c r="E231" s="30" t="n">
        <v>0</v>
      </c>
      <c r="F231" s="30"/>
      <c r="G231" s="13" t="s">
        <v>64</v>
      </c>
      <c r="H231" s="75" t="b">
        <f aca="false">FALSE()</f>
        <v>0</v>
      </c>
      <c r="I231" s="75" t="b">
        <f aca="false">TRUE()</f>
        <v>1</v>
      </c>
      <c r="J231" s="48"/>
      <c r="K231" s="13" t="s">
        <v>166</v>
      </c>
      <c r="L231" s="13" t="s">
        <v>228</v>
      </c>
      <c r="M231" s="13"/>
      <c r="N231" s="13"/>
      <c r="O231" s="13"/>
      <c r="P231" s="35"/>
      <c r="Q231" s="35"/>
      <c r="R231" s="46" t="n">
        <f aca="false">INT(B231)</f>
        <v>46169</v>
      </c>
      <c r="S231" s="13" t="n">
        <f aca="false">IF(AND(I231=TRUE(),COUNTIFS($R$5:R231,R231,$I$5:I231,TRUE())=1),1,0)</f>
        <v>1</v>
      </c>
      <c r="T231" s="70"/>
      <c r="U231" s="35"/>
      <c r="V231" s="35"/>
      <c r="W231" s="35"/>
      <c r="X231" s="13" t="s">
        <v>102</v>
      </c>
      <c r="Y231" s="46" t="n">
        <v>46167</v>
      </c>
    </row>
    <row r="232" customFormat="false" ht="15" hidden="false" customHeight="false" outlineLevel="0" collapsed="false">
      <c r="A232" s="15" t="n">
        <v>5171330811</v>
      </c>
      <c r="B232" s="76" t="n">
        <v>46169.7541550926</v>
      </c>
      <c r="C232" s="76" t="n">
        <v>46169.7704166667</v>
      </c>
      <c r="D232" s="31" t="n">
        <v>0.390277777777778</v>
      </c>
      <c r="E232" s="31" t="n">
        <v>14.0308</v>
      </c>
      <c r="F232" s="31" t="n">
        <v>36.937</v>
      </c>
      <c r="G232" s="15" t="s">
        <v>63</v>
      </c>
      <c r="H232" s="77" t="b">
        <f aca="false">TRUE()</f>
        <v>1</v>
      </c>
      <c r="I232" s="77" t="b">
        <f aca="false">FALSE()</f>
        <v>0</v>
      </c>
      <c r="J232" s="78" t="n">
        <v>1</v>
      </c>
      <c r="K232" s="15" t="s">
        <v>166</v>
      </c>
      <c r="L232" s="15" t="s">
        <v>222</v>
      </c>
      <c r="M232" s="15" t="s">
        <v>288</v>
      </c>
      <c r="N232" s="15" t="s">
        <v>289</v>
      </c>
      <c r="O232" s="15" t="s">
        <v>224</v>
      </c>
      <c r="P232" s="37" t="n">
        <v>10</v>
      </c>
      <c r="Q232" s="37" t="n">
        <v>8.07</v>
      </c>
      <c r="R232" s="47" t="n">
        <f aca="false">INT(B232)</f>
        <v>46169</v>
      </c>
      <c r="S232" s="15" t="n">
        <f aca="false">IF(AND(I232=TRUE(),COUNTIFS($R$5:R232,R232,$I$5:I232,TRUE())=1),1,0)</f>
        <v>0</v>
      </c>
      <c r="T232" s="69" t="n">
        <v>0.5</v>
      </c>
      <c r="U232" s="37" t="n">
        <v>8.97</v>
      </c>
      <c r="V232" s="37" t="n">
        <v>7.0154</v>
      </c>
      <c r="W232" s="37" t="n">
        <v>1.93</v>
      </c>
      <c r="X232" s="15" t="s">
        <v>102</v>
      </c>
      <c r="Y232" s="47" t="n">
        <v>46167</v>
      </c>
    </row>
    <row r="233" customFormat="false" ht="15" hidden="false" customHeight="false" outlineLevel="0" collapsed="false">
      <c r="A233" s="13" t="n">
        <v>5171448441</v>
      </c>
      <c r="B233" s="74" t="n">
        <v>46169.7847337963</v>
      </c>
      <c r="C233" s="74" t="n">
        <v>46169.7964699074</v>
      </c>
      <c r="D233" s="30" t="n">
        <v>0.281666666666667</v>
      </c>
      <c r="E233" s="30" t="n">
        <v>9.588</v>
      </c>
      <c r="F233" s="30" t="n">
        <v>35.58</v>
      </c>
      <c r="G233" s="13" t="s">
        <v>63</v>
      </c>
      <c r="H233" s="75" t="b">
        <f aca="false">TRUE()</f>
        <v>1</v>
      </c>
      <c r="I233" s="75" t="b">
        <f aca="false">FALSE()</f>
        <v>0</v>
      </c>
      <c r="J233" s="48" t="n">
        <v>1</v>
      </c>
      <c r="K233" s="13" t="s">
        <v>166</v>
      </c>
      <c r="L233" s="13" t="s">
        <v>228</v>
      </c>
      <c r="M233" s="13"/>
      <c r="N233" s="13"/>
      <c r="O233" s="13"/>
      <c r="P233" s="35" t="n">
        <v>7.56</v>
      </c>
      <c r="Q233" s="35" t="n">
        <v>5.58</v>
      </c>
      <c r="R233" s="46" t="n">
        <f aca="false">INT(B233)</f>
        <v>46169</v>
      </c>
      <c r="S233" s="13" t="n">
        <f aca="false">IF(AND(I233=TRUE(),COUNTIFS($R$5:R233,R233,$I$5:I233,TRUE())=1),1,0)</f>
        <v>0</v>
      </c>
      <c r="T233" s="70" t="n">
        <v>0.5</v>
      </c>
      <c r="U233" s="35" t="n">
        <v>6.2</v>
      </c>
      <c r="V233" s="35" t="n">
        <v>4.794</v>
      </c>
      <c r="W233" s="35" t="n">
        <v>1.98</v>
      </c>
      <c r="X233" s="13" t="s">
        <v>102</v>
      </c>
      <c r="Y233" s="46" t="n">
        <v>46167</v>
      </c>
    </row>
    <row r="234" customFormat="false" ht="15" hidden="false" customHeight="false" outlineLevel="0" collapsed="false">
      <c r="A234" s="15" t="n">
        <v>5172555211</v>
      </c>
      <c r="B234" s="76" t="n">
        <v>46170.029212963</v>
      </c>
      <c r="C234" s="76" t="n">
        <v>46170.0574421296</v>
      </c>
      <c r="D234" s="31" t="n">
        <v>0.6775</v>
      </c>
      <c r="E234" s="31" t="n">
        <v>14.3979</v>
      </c>
      <c r="F234" s="31" t="n">
        <v>40.031</v>
      </c>
      <c r="G234" s="15" t="s">
        <v>64</v>
      </c>
      <c r="H234" s="77" t="b">
        <f aca="false">TRUE()</f>
        <v>1</v>
      </c>
      <c r="I234" s="77" t="b">
        <f aca="false">TRUE()</f>
        <v>1</v>
      </c>
      <c r="J234" s="78" t="n">
        <v>1</v>
      </c>
      <c r="K234" s="15" t="s">
        <v>166</v>
      </c>
      <c r="L234" s="15" t="s">
        <v>222</v>
      </c>
      <c r="M234" s="15" t="s">
        <v>225</v>
      </c>
      <c r="N234" s="15"/>
      <c r="O234" s="15" t="s">
        <v>224</v>
      </c>
      <c r="P234" s="37" t="n">
        <v>11.62</v>
      </c>
      <c r="Q234" s="37" t="n">
        <v>9.45</v>
      </c>
      <c r="R234" s="47" t="n">
        <f aca="false">INT(B234)</f>
        <v>46170</v>
      </c>
      <c r="S234" s="15" t="n">
        <f aca="false">IF(AND(I234=TRUE(),COUNTIFS($R$5:R234,R234,$I$5:I234,TRUE())=1),1,0)</f>
        <v>1</v>
      </c>
      <c r="T234" s="69" t="n">
        <v>0.5</v>
      </c>
      <c r="U234" s="37" t="n">
        <v>10.5</v>
      </c>
      <c r="V234" s="37" t="n">
        <v>7.19895</v>
      </c>
      <c r="W234" s="37" t="n">
        <v>2.17</v>
      </c>
      <c r="X234" s="15" t="s">
        <v>103</v>
      </c>
      <c r="Y234" s="47" t="n">
        <v>46167</v>
      </c>
    </row>
    <row r="235" customFormat="false" ht="15" hidden="false" customHeight="false" outlineLevel="0" collapsed="false">
      <c r="A235" s="13" t="n">
        <v>5174695001</v>
      </c>
      <c r="B235" s="74" t="n">
        <v>46170.741412037</v>
      </c>
      <c r="C235" s="74" t="n">
        <v>46170.7768518519</v>
      </c>
      <c r="D235" s="30" t="n">
        <v>0.850555555555556</v>
      </c>
      <c r="E235" s="30" t="n">
        <v>27.3478</v>
      </c>
      <c r="F235" s="30" t="n">
        <v>33.883</v>
      </c>
      <c r="G235" s="13" t="s">
        <v>62</v>
      </c>
      <c r="H235" s="75" t="b">
        <f aca="false">TRUE()</f>
        <v>1</v>
      </c>
      <c r="I235" s="75" t="b">
        <f aca="false">FALSE()</f>
        <v>0</v>
      </c>
      <c r="J235" s="48" t="n">
        <v>1</v>
      </c>
      <c r="K235" s="13" t="s">
        <v>166</v>
      </c>
      <c r="L235" s="13" t="s">
        <v>228</v>
      </c>
      <c r="M235" s="13"/>
      <c r="N235" s="13"/>
      <c r="O235" s="13"/>
      <c r="P235" s="35" t="n">
        <v>19.99</v>
      </c>
      <c r="Q235" s="35" t="n">
        <v>16.13</v>
      </c>
      <c r="R235" s="46" t="n">
        <f aca="false">INT(B235)</f>
        <v>46170</v>
      </c>
      <c r="S235" s="13" t="n">
        <f aca="false">IF(AND(I235=TRUE(),COUNTIFS($R$5:R235,R235,$I$5:I235,TRUE())=1),1,0)</f>
        <v>0</v>
      </c>
      <c r="T235" s="70" t="n">
        <v>0.5</v>
      </c>
      <c r="U235" s="35" t="n">
        <v>17.92</v>
      </c>
      <c r="V235" s="35" t="n">
        <v>13.6739</v>
      </c>
      <c r="W235" s="35" t="n">
        <v>3.86</v>
      </c>
      <c r="X235" s="13" t="s">
        <v>103</v>
      </c>
      <c r="Y235" s="46" t="n">
        <v>46167</v>
      </c>
    </row>
    <row r="236" customFormat="false" ht="15" hidden="false" customHeight="false" outlineLevel="0" collapsed="false">
      <c r="A236" s="15" t="n">
        <v>5174836871</v>
      </c>
      <c r="B236" s="76" t="n">
        <v>46170.7772222222</v>
      </c>
      <c r="C236" s="76" t="n">
        <v>46170.7954513889</v>
      </c>
      <c r="D236" s="31" t="n">
        <v>0.4375</v>
      </c>
      <c r="E236" s="31" t="n">
        <v>14.7411</v>
      </c>
      <c r="F236" s="31" t="n">
        <v>35.428</v>
      </c>
      <c r="G236" s="15" t="s">
        <v>63</v>
      </c>
      <c r="H236" s="77" t="b">
        <f aca="false">TRUE()</f>
        <v>1</v>
      </c>
      <c r="I236" s="77" t="b">
        <f aca="false">FALSE()</f>
        <v>0</v>
      </c>
      <c r="J236" s="78" t="n">
        <v>1</v>
      </c>
      <c r="K236" s="15" t="s">
        <v>166</v>
      </c>
      <c r="L236" s="15" t="s">
        <v>228</v>
      </c>
      <c r="M236" s="15"/>
      <c r="N236" s="15"/>
      <c r="O236" s="15"/>
      <c r="P236" s="37" t="n">
        <v>11.11</v>
      </c>
      <c r="Q236" s="37" t="n">
        <v>8.6</v>
      </c>
      <c r="R236" s="47" t="n">
        <f aca="false">INT(B236)</f>
        <v>46170</v>
      </c>
      <c r="S236" s="15" t="n">
        <f aca="false">IF(AND(I236=TRUE(),COUNTIFS($R$5:R236,R236,$I$5:I236,TRUE())=1),1,0)</f>
        <v>0</v>
      </c>
      <c r="T236" s="69" t="n">
        <v>0.5</v>
      </c>
      <c r="U236" s="37" t="n">
        <v>9.55</v>
      </c>
      <c r="V236" s="37" t="n">
        <v>7.37055</v>
      </c>
      <c r="W236" s="37" t="n">
        <v>2.51</v>
      </c>
      <c r="X236" s="15" t="s">
        <v>103</v>
      </c>
      <c r="Y236" s="47" t="n">
        <v>46167</v>
      </c>
    </row>
    <row r="237" customFormat="false" ht="15" hidden="false" customHeight="false" outlineLevel="0" collapsed="false">
      <c r="A237" s="13" t="n">
        <v>5175611031</v>
      </c>
      <c r="B237" s="74" t="n">
        <v>46170.9499537037</v>
      </c>
      <c r="C237" s="74" t="n">
        <v>46170.9639583333</v>
      </c>
      <c r="D237" s="30" t="n">
        <v>0.336111111111111</v>
      </c>
      <c r="E237" s="30" t="n">
        <v>2.325687</v>
      </c>
      <c r="F237" s="30" t="n">
        <v>7.3729</v>
      </c>
      <c r="G237" s="13" t="s">
        <v>64</v>
      </c>
      <c r="H237" s="75" t="b">
        <f aca="false">FALSE()</f>
        <v>0</v>
      </c>
      <c r="I237" s="75" t="b">
        <f aca="false">TRUE()</f>
        <v>1</v>
      </c>
      <c r="J237" s="48" t="n">
        <v>0</v>
      </c>
      <c r="K237" s="13" t="s">
        <v>168</v>
      </c>
      <c r="L237" s="13" t="s">
        <v>228</v>
      </c>
      <c r="M237" s="13"/>
      <c r="N237" s="13"/>
      <c r="O237" s="13"/>
      <c r="P237" s="35" t="n">
        <v>3.5</v>
      </c>
      <c r="Q237" s="35" t="n">
        <v>2.56</v>
      </c>
      <c r="R237" s="46" t="n">
        <f aca="false">INT(B237)</f>
        <v>46170</v>
      </c>
      <c r="S237" s="13" t="n">
        <f aca="false">IF(AND(I237=TRUE(),COUNTIFS($R$5:R237,R237,$I$5:I237,TRUE())=1),1,0)</f>
        <v>0</v>
      </c>
      <c r="T237" s="70" t="n">
        <v>0.5</v>
      </c>
      <c r="U237" s="35" t="n">
        <v>2.84</v>
      </c>
      <c r="V237" s="35" t="n">
        <v>1.1628435</v>
      </c>
      <c r="W237" s="35" t="n">
        <v>0.94</v>
      </c>
      <c r="X237" s="13" t="s">
        <v>103</v>
      </c>
      <c r="Y237" s="46" t="n">
        <v>46167</v>
      </c>
    </row>
    <row r="238" customFormat="false" ht="15" hidden="false" customHeight="false" outlineLevel="0" collapsed="false">
      <c r="A238" s="15" t="n">
        <v>5177603231</v>
      </c>
      <c r="B238" s="76" t="n">
        <v>46171.6423726852</v>
      </c>
      <c r="C238" s="76" t="n">
        <v>46171.6437268519</v>
      </c>
      <c r="D238" s="31" t="n">
        <v>0.0325</v>
      </c>
      <c r="E238" s="31" t="n">
        <v>0</v>
      </c>
      <c r="F238" s="31" t="n">
        <v>0</v>
      </c>
      <c r="G238" s="15" t="s">
        <v>62</v>
      </c>
      <c r="H238" s="77" t="b">
        <f aca="false">FALSE()</f>
        <v>0</v>
      </c>
      <c r="I238" s="77" t="b">
        <f aca="false">FALSE()</f>
        <v>0</v>
      </c>
      <c r="J238" s="78"/>
      <c r="K238" s="15" t="s">
        <v>166</v>
      </c>
      <c r="L238" s="15" t="s">
        <v>228</v>
      </c>
      <c r="M238" s="15"/>
      <c r="N238" s="15"/>
      <c r="O238" s="15"/>
      <c r="P238" s="37"/>
      <c r="Q238" s="37"/>
      <c r="R238" s="47" t="n">
        <f aca="false">INT(B238)</f>
        <v>46171</v>
      </c>
      <c r="S238" s="15" t="n">
        <f aca="false">IF(AND(I238=TRUE(),COUNTIFS($R$5:R238,R238,$I$5:I238,TRUE())=1),1,0)</f>
        <v>0</v>
      </c>
      <c r="T238" s="69"/>
      <c r="U238" s="37"/>
      <c r="V238" s="37"/>
      <c r="W238" s="37"/>
      <c r="X238" s="15" t="s">
        <v>104</v>
      </c>
      <c r="Y238" s="47" t="n">
        <v>46167</v>
      </c>
    </row>
    <row r="239" customFormat="false" ht="15" hidden="false" customHeight="false" outlineLevel="0" collapsed="false">
      <c r="A239" s="13" t="n">
        <v>5177640771</v>
      </c>
      <c r="B239" s="74" t="n">
        <v>46171.6490277778</v>
      </c>
      <c r="C239" s="74" t="n">
        <v>46171.7650694445</v>
      </c>
      <c r="D239" s="30" t="n">
        <v>2.785</v>
      </c>
      <c r="E239" s="30" t="n">
        <v>20.088461</v>
      </c>
      <c r="F239" s="30" t="n">
        <v>7.3399</v>
      </c>
      <c r="G239" s="13" t="s">
        <v>62</v>
      </c>
      <c r="H239" s="75" t="b">
        <f aca="false">FALSE()</f>
        <v>0</v>
      </c>
      <c r="I239" s="75" t="b">
        <f aca="false">FALSE()</f>
        <v>0</v>
      </c>
      <c r="J239" s="48" t="n">
        <v>0</v>
      </c>
      <c r="K239" s="13" t="s">
        <v>168</v>
      </c>
      <c r="L239" s="13" t="s">
        <v>228</v>
      </c>
      <c r="M239" s="13"/>
      <c r="N239" s="13"/>
      <c r="O239" s="13"/>
      <c r="P239" s="35" t="n">
        <v>25.9</v>
      </c>
      <c r="Q239" s="35" t="n">
        <v>21.57</v>
      </c>
      <c r="R239" s="46" t="n">
        <f aca="false">INT(B239)</f>
        <v>46171</v>
      </c>
      <c r="S239" s="13" t="n">
        <f aca="false">IF(AND(I239=TRUE(),COUNTIFS($R$5:R239,R239,$I$5:I239,TRUE())=1),1,0)</f>
        <v>0</v>
      </c>
      <c r="T239" s="70" t="n">
        <v>0.5</v>
      </c>
      <c r="U239" s="35" t="n">
        <v>23.97</v>
      </c>
      <c r="V239" s="35" t="n">
        <v>10.0442305</v>
      </c>
      <c r="W239" s="35" t="n">
        <v>4.33</v>
      </c>
      <c r="X239" s="13" t="s">
        <v>104</v>
      </c>
      <c r="Y239" s="46" t="n">
        <v>46167</v>
      </c>
    </row>
    <row r="240" customFormat="false" ht="15" hidden="false" customHeight="false" outlineLevel="0" collapsed="false">
      <c r="A240" s="15" t="n">
        <v>5192485371</v>
      </c>
      <c r="B240" s="76" t="n">
        <v>46175.9651736111</v>
      </c>
      <c r="C240" s="76" t="n">
        <v>46175.9651736111</v>
      </c>
      <c r="D240" s="31" t="n">
        <v>0</v>
      </c>
      <c r="E240" s="31" t="n">
        <v>0</v>
      </c>
      <c r="F240" s="31" t="n">
        <v>0</v>
      </c>
      <c r="G240" s="15" t="s">
        <v>64</v>
      </c>
      <c r="H240" s="77" t="b">
        <f aca="false">FALSE()</f>
        <v>0</v>
      </c>
      <c r="I240" s="77" t="b">
        <f aca="false">TRUE()</f>
        <v>1</v>
      </c>
      <c r="J240" s="78"/>
      <c r="K240" s="15" t="s">
        <v>166</v>
      </c>
      <c r="L240" s="15" t="s">
        <v>228</v>
      </c>
      <c r="M240" s="15"/>
      <c r="N240" s="15"/>
      <c r="O240" s="15"/>
      <c r="P240" s="37"/>
      <c r="Q240" s="37"/>
      <c r="R240" s="47" t="n">
        <f aca="false">INT(B240)</f>
        <v>46175</v>
      </c>
      <c r="S240" s="15" t="n">
        <f aca="false">IF(AND(I240=TRUE(),COUNTIFS($R$5:R240,R240,$I$5:I240,TRUE())=1),1,0)</f>
        <v>1</v>
      </c>
      <c r="T240" s="69"/>
      <c r="U240" s="37"/>
      <c r="V240" s="37"/>
      <c r="W240" s="37"/>
      <c r="X240" s="15" t="s">
        <v>101</v>
      </c>
      <c r="Y240" s="47" t="n">
        <v>46174</v>
      </c>
    </row>
    <row r="241" customFormat="false" ht="15" hidden="false" customHeight="false" outlineLevel="0" collapsed="false">
      <c r="A241" s="13" t="n">
        <v>5192487431</v>
      </c>
      <c r="B241" s="74" t="n">
        <v>46175.9656712963</v>
      </c>
      <c r="C241" s="74" t="n">
        <v>46175.9670601852</v>
      </c>
      <c r="D241" s="30" t="n">
        <v>0.0333333333333333</v>
      </c>
      <c r="E241" s="30" t="n">
        <v>0</v>
      </c>
      <c r="F241" s="30" t="n">
        <v>0</v>
      </c>
      <c r="G241" s="13" t="s">
        <v>64</v>
      </c>
      <c r="H241" s="75" t="b">
        <f aca="false">FALSE()</f>
        <v>0</v>
      </c>
      <c r="I241" s="75" t="b">
        <f aca="false">TRUE()</f>
        <v>1</v>
      </c>
      <c r="J241" s="48"/>
      <c r="K241" s="13" t="s">
        <v>166</v>
      </c>
      <c r="L241" s="13" t="s">
        <v>228</v>
      </c>
      <c r="M241" s="13"/>
      <c r="N241" s="13"/>
      <c r="O241" s="13"/>
      <c r="P241" s="35"/>
      <c r="Q241" s="35"/>
      <c r="R241" s="46" t="n">
        <f aca="false">INT(B241)</f>
        <v>46175</v>
      </c>
      <c r="S241" s="13" t="n">
        <f aca="false">IF(AND(I241=TRUE(),COUNTIFS($R$5:R241,R241,$I$5:I241,TRUE())=1),1,0)</f>
        <v>0</v>
      </c>
      <c r="T241" s="70"/>
      <c r="U241" s="35"/>
      <c r="V241" s="35"/>
      <c r="W241" s="35"/>
      <c r="X241" s="13" t="s">
        <v>101</v>
      </c>
      <c r="Y241" s="46" t="n">
        <v>46174</v>
      </c>
    </row>
    <row r="242" customFormat="false" ht="15" hidden="false" customHeight="false" outlineLevel="0" collapsed="false">
      <c r="A242" s="15" t="n">
        <v>5194063971</v>
      </c>
      <c r="B242" s="76" t="n">
        <v>46176.5380439815</v>
      </c>
      <c r="C242" s="76" t="n">
        <v>46176.5497916667</v>
      </c>
      <c r="D242" s="31" t="n">
        <v>0.281944444444444</v>
      </c>
      <c r="E242" s="31" t="n">
        <v>8.083</v>
      </c>
      <c r="F242" s="31" t="n">
        <v>30.636</v>
      </c>
      <c r="G242" s="15" t="s">
        <v>62</v>
      </c>
      <c r="H242" s="77" t="b">
        <f aca="false">TRUE()</f>
        <v>1</v>
      </c>
      <c r="I242" s="77" t="b">
        <f aca="false">FALSE()</f>
        <v>0</v>
      </c>
      <c r="J242" s="78" t="n">
        <v>1</v>
      </c>
      <c r="K242" s="15" t="s">
        <v>166</v>
      </c>
      <c r="L242" s="15" t="s">
        <v>222</v>
      </c>
      <c r="M242" s="15" t="s">
        <v>329</v>
      </c>
      <c r="N242" s="15"/>
      <c r="O242" s="15" t="s">
        <v>224</v>
      </c>
      <c r="P242" s="37" t="n">
        <v>6.23</v>
      </c>
      <c r="Q242" s="37" t="n">
        <v>4.88</v>
      </c>
      <c r="R242" s="47" t="n">
        <f aca="false">INT(B242)</f>
        <v>46176</v>
      </c>
      <c r="S242" s="15" t="n">
        <f aca="false">IF(AND(I242=TRUE(),COUNTIFS($R$5:R242,R242,$I$5:I242,TRUE())=1),1,0)</f>
        <v>0</v>
      </c>
      <c r="T242" s="69" t="n">
        <v>0.5</v>
      </c>
      <c r="U242" s="37" t="n">
        <v>5.42</v>
      </c>
      <c r="V242" s="37" t="n">
        <v>4.0415</v>
      </c>
      <c r="W242" s="37" t="n">
        <v>1.35</v>
      </c>
      <c r="X242" s="15" t="s">
        <v>102</v>
      </c>
      <c r="Y242" s="47" t="n">
        <v>46174</v>
      </c>
    </row>
    <row r="243" customFormat="false" ht="15" hidden="false" customHeight="false" outlineLevel="0" collapsed="false">
      <c r="A243" s="13" t="n">
        <v>5195858081</v>
      </c>
      <c r="B243" s="74" t="n">
        <v>46176.9353819444</v>
      </c>
      <c r="C243" s="74" t="n">
        <v>46176.9623263889</v>
      </c>
      <c r="D243" s="30" t="n">
        <v>0.646666666666667</v>
      </c>
      <c r="E243" s="30" t="n">
        <v>23.9124</v>
      </c>
      <c r="F243" s="30" t="n">
        <v>39.517</v>
      </c>
      <c r="G243" s="13" t="s">
        <v>64</v>
      </c>
      <c r="H243" s="75" t="b">
        <f aca="false">TRUE()</f>
        <v>1</v>
      </c>
      <c r="I243" s="75" t="b">
        <f aca="false">TRUE()</f>
        <v>1</v>
      </c>
      <c r="J243" s="48" t="n">
        <v>1</v>
      </c>
      <c r="K243" s="13" t="s">
        <v>166</v>
      </c>
      <c r="L243" s="13" t="s">
        <v>228</v>
      </c>
      <c r="M243" s="13"/>
      <c r="N243" s="13"/>
      <c r="O243" s="13"/>
      <c r="P243" s="35" t="n">
        <v>17.01</v>
      </c>
      <c r="Q243" s="35" t="n">
        <v>13.6</v>
      </c>
      <c r="R243" s="46" t="n">
        <f aca="false">INT(B243)</f>
        <v>46176</v>
      </c>
      <c r="S243" s="13" t="n">
        <f aca="false">IF(AND(I243=TRUE(),COUNTIFS($R$5:R243,R243,$I$5:I243,TRUE())=1),1,0)</f>
        <v>1</v>
      </c>
      <c r="T243" s="70" t="n">
        <v>0.5</v>
      </c>
      <c r="U243" s="35" t="n">
        <v>15.11</v>
      </c>
      <c r="V243" s="35" t="n">
        <v>11.9562</v>
      </c>
      <c r="W243" s="35" t="n">
        <v>3.41</v>
      </c>
      <c r="X243" s="13" t="s">
        <v>102</v>
      </c>
      <c r="Y243" s="46" t="n">
        <v>46174</v>
      </c>
    </row>
    <row r="244" customFormat="false" ht="15" hidden="false" customHeight="false" outlineLevel="0" collapsed="false">
      <c r="A244" s="15" t="n">
        <v>5196580591</v>
      </c>
      <c r="B244" s="76" t="n">
        <v>46177.0930439815</v>
      </c>
      <c r="C244" s="76" t="n">
        <v>46177.094375</v>
      </c>
      <c r="D244" s="31" t="n">
        <v>0.0319444444444444</v>
      </c>
      <c r="E244" s="31" t="n">
        <v>0</v>
      </c>
      <c r="F244" s="31" t="n">
        <v>0</v>
      </c>
      <c r="G244" s="15" t="s">
        <v>64</v>
      </c>
      <c r="H244" s="77" t="b">
        <f aca="false">FALSE()</f>
        <v>0</v>
      </c>
      <c r="I244" s="77" t="b">
        <f aca="false">TRUE()</f>
        <v>1</v>
      </c>
      <c r="J244" s="78"/>
      <c r="K244" s="15" t="s">
        <v>168</v>
      </c>
      <c r="L244" s="15" t="s">
        <v>222</v>
      </c>
      <c r="M244" s="15"/>
      <c r="N244" s="15"/>
      <c r="O244" s="15"/>
      <c r="P244" s="37"/>
      <c r="Q244" s="37"/>
      <c r="R244" s="47" t="n">
        <f aca="false">INT(B244)</f>
        <v>46177</v>
      </c>
      <c r="S244" s="15" t="n">
        <f aca="false">IF(AND(I244=TRUE(),COUNTIFS($R$5:R244,R244,$I$5:I244,TRUE())=1),1,0)</f>
        <v>1</v>
      </c>
      <c r="T244" s="69"/>
      <c r="U244" s="37"/>
      <c r="V244" s="37"/>
      <c r="W244" s="37"/>
      <c r="X244" s="15" t="s">
        <v>103</v>
      </c>
      <c r="Y244" s="47" t="n">
        <v>46174</v>
      </c>
    </row>
    <row r="245" customFormat="false" ht="15" hidden="false" customHeight="false" outlineLevel="0" collapsed="false">
      <c r="A245" s="13" t="n">
        <v>5196580841</v>
      </c>
      <c r="B245" s="74" t="n">
        <v>46177.0944907407</v>
      </c>
      <c r="C245" s="74" t="n">
        <v>46177.1422800926</v>
      </c>
      <c r="D245" s="30" t="n">
        <v>1.14694444444444</v>
      </c>
      <c r="E245" s="30" t="n">
        <v>25.6493</v>
      </c>
      <c r="F245" s="30" t="n">
        <v>26.462</v>
      </c>
      <c r="G245" s="13" t="s">
        <v>64</v>
      </c>
      <c r="H245" s="75" t="b">
        <f aca="false">TRUE()</f>
        <v>1</v>
      </c>
      <c r="I245" s="75" t="b">
        <f aca="false">TRUE()</f>
        <v>1</v>
      </c>
      <c r="J245" s="48" t="n">
        <v>1</v>
      </c>
      <c r="K245" s="13" t="s">
        <v>166</v>
      </c>
      <c r="L245" s="13" t="s">
        <v>222</v>
      </c>
      <c r="M245" s="13" t="s">
        <v>330</v>
      </c>
      <c r="N245" s="13" t="s">
        <v>331</v>
      </c>
      <c r="O245" s="13" t="s">
        <v>254</v>
      </c>
      <c r="P245" s="35" t="n">
        <v>20.15</v>
      </c>
      <c r="Q245" s="35" t="n">
        <v>16.7</v>
      </c>
      <c r="R245" s="46" t="n">
        <f aca="false">INT(B245)</f>
        <v>46177</v>
      </c>
      <c r="S245" s="13" t="n">
        <f aca="false">IF(AND(I245=TRUE(),COUNTIFS($R$5:R245,R245,$I$5:I245,TRUE())=1),1,0)</f>
        <v>0</v>
      </c>
      <c r="T245" s="70" t="n">
        <v>0.5</v>
      </c>
      <c r="U245" s="35" t="n">
        <v>18.55</v>
      </c>
      <c r="V245" s="35" t="n">
        <v>12.82465</v>
      </c>
      <c r="W245" s="35" t="n">
        <v>3.45</v>
      </c>
      <c r="X245" s="13" t="s">
        <v>103</v>
      </c>
      <c r="Y245" s="46" t="n">
        <v>46174</v>
      </c>
    </row>
    <row r="246" customFormat="false" ht="15" hidden="false" customHeight="false" outlineLevel="0" collapsed="false">
      <c r="A246" s="15" t="n">
        <v>5202167201</v>
      </c>
      <c r="B246" s="76" t="n">
        <v>46178.8040972222</v>
      </c>
      <c r="C246" s="76" t="n">
        <v>46178.8042708333</v>
      </c>
      <c r="D246" s="31" t="n">
        <v>0.0041666666666666</v>
      </c>
      <c r="E246" s="31" t="n">
        <v>0</v>
      </c>
      <c r="F246" s="31" t="n">
        <v>0</v>
      </c>
      <c r="G246" s="15" t="s">
        <v>63</v>
      </c>
      <c r="H246" s="77" t="b">
        <f aca="false">FALSE()</f>
        <v>0</v>
      </c>
      <c r="I246" s="77" t="b">
        <f aca="false">FALSE()</f>
        <v>0</v>
      </c>
      <c r="J246" s="78"/>
      <c r="K246" s="15" t="s">
        <v>166</v>
      </c>
      <c r="L246" s="15" t="s">
        <v>222</v>
      </c>
      <c r="M246" s="15"/>
      <c r="N246" s="15"/>
      <c r="O246" s="15"/>
      <c r="P246" s="37"/>
      <c r="Q246" s="37"/>
      <c r="R246" s="47" t="n">
        <f aca="false">INT(B246)</f>
        <v>46178</v>
      </c>
      <c r="S246" s="15" t="n">
        <f aca="false">IF(AND(I246=TRUE(),COUNTIFS($R$5:R246,R246,$I$5:I246,TRUE())=1),1,0)</f>
        <v>0</v>
      </c>
      <c r="T246" s="69"/>
      <c r="U246" s="37"/>
      <c r="V246" s="37"/>
      <c r="W246" s="37"/>
      <c r="X246" s="15" t="s">
        <v>104</v>
      </c>
      <c r="Y246" s="47" t="n">
        <v>46174</v>
      </c>
    </row>
    <row r="247" customFormat="false" ht="15" hidden="false" customHeight="false" outlineLevel="0" collapsed="false">
      <c r="A247" s="13" t="n">
        <v>5202182981</v>
      </c>
      <c r="B247" s="74" t="n">
        <v>46178.8075925926</v>
      </c>
      <c r="C247" s="74" t="n">
        <v>46178.8077199074</v>
      </c>
      <c r="D247" s="30" t="n">
        <v>0.0030555555555555</v>
      </c>
      <c r="E247" s="30" t="n">
        <v>0</v>
      </c>
      <c r="F247" s="30"/>
      <c r="G247" s="13" t="s">
        <v>63</v>
      </c>
      <c r="H247" s="75" t="b">
        <f aca="false">FALSE()</f>
        <v>0</v>
      </c>
      <c r="I247" s="75" t="b">
        <f aca="false">FALSE()</f>
        <v>0</v>
      </c>
      <c r="J247" s="48"/>
      <c r="K247" s="13" t="s">
        <v>168</v>
      </c>
      <c r="L247" s="13" t="s">
        <v>222</v>
      </c>
      <c r="M247" s="13"/>
      <c r="N247" s="13"/>
      <c r="O247" s="13"/>
      <c r="P247" s="35"/>
      <c r="Q247" s="35"/>
      <c r="R247" s="46" t="n">
        <f aca="false">INT(B247)</f>
        <v>46178</v>
      </c>
      <c r="S247" s="13" t="n">
        <f aca="false">IF(AND(I247=TRUE(),COUNTIFS($R$5:R247,R247,$I$5:I247,TRUE())=1),1,0)</f>
        <v>0</v>
      </c>
      <c r="T247" s="70"/>
      <c r="U247" s="35"/>
      <c r="V247" s="35"/>
      <c r="W247" s="35"/>
      <c r="X247" s="13" t="s">
        <v>104</v>
      </c>
      <c r="Y247" s="46" t="n">
        <v>46174</v>
      </c>
    </row>
    <row r="248" customFormat="false" ht="15" hidden="false" customHeight="false" outlineLevel="0" collapsed="false">
      <c r="A248" s="15" t="n">
        <v>5203103321</v>
      </c>
      <c r="B248" s="76" t="n">
        <v>46179.0221759259</v>
      </c>
      <c r="C248" s="76" t="n">
        <v>46179.0221759259</v>
      </c>
      <c r="D248" s="31" t="n">
        <v>0</v>
      </c>
      <c r="E248" s="31" t="n">
        <v>0</v>
      </c>
      <c r="F248" s="31" t="n">
        <v>0</v>
      </c>
      <c r="G248" s="15" t="s">
        <v>64</v>
      </c>
      <c r="H248" s="77" t="b">
        <f aca="false">FALSE()</f>
        <v>0</v>
      </c>
      <c r="I248" s="77" t="b">
        <f aca="false">TRUE()</f>
        <v>1</v>
      </c>
      <c r="J248" s="78"/>
      <c r="K248" s="15" t="s">
        <v>166</v>
      </c>
      <c r="L248" s="15" t="s">
        <v>228</v>
      </c>
      <c r="M248" s="15"/>
      <c r="N248" s="15"/>
      <c r="O248" s="15"/>
      <c r="P248" s="37"/>
      <c r="Q248" s="37"/>
      <c r="R248" s="47" t="n">
        <f aca="false">INT(B248)</f>
        <v>46179</v>
      </c>
      <c r="S248" s="15" t="n">
        <f aca="false">IF(AND(I248=TRUE(),COUNTIFS($R$5:R248,R248,$I$5:I248,TRUE())=1),1,0)</f>
        <v>1</v>
      </c>
      <c r="T248" s="69"/>
      <c r="U248" s="37"/>
      <c r="V248" s="37"/>
      <c r="W248" s="37"/>
      <c r="X248" s="15" t="s">
        <v>105</v>
      </c>
      <c r="Y248" s="47" t="n">
        <v>46174</v>
      </c>
    </row>
    <row r="249" customFormat="false" ht="15" hidden="false" customHeight="false" outlineLevel="0" collapsed="false">
      <c r="A249" s="13" t="n">
        <v>5203125761</v>
      </c>
      <c r="B249" s="74" t="n">
        <v>46179.0280787037</v>
      </c>
      <c r="C249" s="74" t="n">
        <v>46179.0624305556</v>
      </c>
      <c r="D249" s="30" t="n">
        <v>0.824444444444444</v>
      </c>
      <c r="E249" s="30" t="n">
        <v>28.4904</v>
      </c>
      <c r="F249" s="30" t="n">
        <v>36.636</v>
      </c>
      <c r="G249" s="13" t="s">
        <v>64</v>
      </c>
      <c r="H249" s="75" t="b">
        <f aca="false">TRUE()</f>
        <v>1</v>
      </c>
      <c r="I249" s="75" t="b">
        <f aca="false">TRUE()</f>
        <v>1</v>
      </c>
      <c r="J249" s="48" t="n">
        <v>1</v>
      </c>
      <c r="K249" s="13" t="s">
        <v>166</v>
      </c>
      <c r="L249" s="13" t="s">
        <v>222</v>
      </c>
      <c r="M249" s="13" t="s">
        <v>332</v>
      </c>
      <c r="N249" s="13"/>
      <c r="O249" s="13" t="s">
        <v>254</v>
      </c>
      <c r="P249" s="35" t="n">
        <v>19.48</v>
      </c>
      <c r="Q249" s="35" t="n">
        <v>16.53</v>
      </c>
      <c r="R249" s="46" t="n">
        <f aca="false">INT(B249)</f>
        <v>46179</v>
      </c>
      <c r="S249" s="13" t="n">
        <f aca="false">IF(AND(I249=TRUE(),COUNTIFS($R$5:R249,R249,$I$5:I249,TRUE())=1),1,0)</f>
        <v>0</v>
      </c>
      <c r="T249" s="70" t="n">
        <v>0.5</v>
      </c>
      <c r="U249" s="35" t="n">
        <v>18.37</v>
      </c>
      <c r="V249" s="35" t="n">
        <v>14.2452</v>
      </c>
      <c r="W249" s="35" t="n">
        <v>2.95</v>
      </c>
      <c r="X249" s="13" t="s">
        <v>105</v>
      </c>
      <c r="Y249" s="46" t="n">
        <v>46174</v>
      </c>
    </row>
    <row r="250" customFormat="false" ht="15" hidden="false" customHeight="false" outlineLevel="0" collapsed="false">
      <c r="A250" s="15" t="n">
        <v>5206764511</v>
      </c>
      <c r="B250" s="76" t="n">
        <v>46180.5681828704</v>
      </c>
      <c r="C250" s="76" t="n">
        <v>46180.5681828704</v>
      </c>
      <c r="D250" s="31" t="n">
        <v>0</v>
      </c>
      <c r="E250" s="31" t="n">
        <v>0</v>
      </c>
      <c r="F250" s="31" t="n">
        <v>0</v>
      </c>
      <c r="G250" s="15" t="s">
        <v>62</v>
      </c>
      <c r="H250" s="77" t="b">
        <f aca="false">FALSE()</f>
        <v>0</v>
      </c>
      <c r="I250" s="77" t="b">
        <f aca="false">FALSE()</f>
        <v>0</v>
      </c>
      <c r="J250" s="78"/>
      <c r="K250" s="15" t="s">
        <v>166</v>
      </c>
      <c r="L250" s="15" t="s">
        <v>228</v>
      </c>
      <c r="M250" s="15"/>
      <c r="N250" s="15"/>
      <c r="O250" s="15"/>
      <c r="P250" s="37"/>
      <c r="Q250" s="37"/>
      <c r="R250" s="47" t="n">
        <f aca="false">INT(B250)</f>
        <v>46180</v>
      </c>
      <c r="S250" s="15" t="n">
        <f aca="false">IF(AND(I250=TRUE(),COUNTIFS($R$5:R250,R250,$I$5:I250,TRUE())=1),1,0)</f>
        <v>0</v>
      </c>
      <c r="T250" s="69"/>
      <c r="U250" s="37"/>
      <c r="V250" s="37"/>
      <c r="W250" s="37"/>
      <c r="X250" s="15" t="s">
        <v>106</v>
      </c>
      <c r="Y250" s="47" t="n">
        <v>46174</v>
      </c>
    </row>
    <row r="251" customFormat="false" ht="15" hidden="false" customHeight="false" outlineLevel="0" collapsed="false">
      <c r="A251" s="13" t="n">
        <v>5206770341</v>
      </c>
      <c r="B251" s="74" t="n">
        <v>46180.5717939815</v>
      </c>
      <c r="C251" s="74" t="n">
        <v>46180.5938657407</v>
      </c>
      <c r="D251" s="30" t="n">
        <v>0.529722222222222</v>
      </c>
      <c r="E251" s="30" t="n">
        <v>15.1865</v>
      </c>
      <c r="F251" s="30" t="n">
        <v>30.527</v>
      </c>
      <c r="G251" s="13" t="s">
        <v>62</v>
      </c>
      <c r="H251" s="75" t="b">
        <f aca="false">TRUE()</f>
        <v>1</v>
      </c>
      <c r="I251" s="75" t="b">
        <f aca="false">FALSE()</f>
        <v>0</v>
      </c>
      <c r="J251" s="48" t="n">
        <v>1</v>
      </c>
      <c r="K251" s="13" t="s">
        <v>166</v>
      </c>
      <c r="L251" s="13" t="s">
        <v>222</v>
      </c>
      <c r="M251" s="13" t="s">
        <v>236</v>
      </c>
      <c r="N251" s="13"/>
      <c r="O251" s="13" t="s">
        <v>224</v>
      </c>
      <c r="P251" s="35" t="n">
        <v>11.33</v>
      </c>
      <c r="Q251" s="35" t="n">
        <v>9.2</v>
      </c>
      <c r="R251" s="46" t="n">
        <f aca="false">INT(B251)</f>
        <v>46180</v>
      </c>
      <c r="S251" s="13" t="n">
        <f aca="false">IF(AND(I251=TRUE(),COUNTIFS($R$5:R251,R251,$I$5:I251,TRUE())=1),1,0)</f>
        <v>0</v>
      </c>
      <c r="T251" s="70" t="n">
        <v>0.5</v>
      </c>
      <c r="U251" s="35" t="n">
        <v>10.22</v>
      </c>
      <c r="V251" s="35" t="n">
        <v>7.59325</v>
      </c>
      <c r="W251" s="35" t="n">
        <v>2.13</v>
      </c>
      <c r="X251" s="13" t="s">
        <v>106</v>
      </c>
      <c r="Y251" s="46" t="n">
        <v>46174</v>
      </c>
    </row>
    <row r="252" customFormat="false" ht="15" hidden="false" customHeight="false" outlineLevel="0" collapsed="false">
      <c r="A252" s="15" t="n">
        <v>5207818951</v>
      </c>
      <c r="B252" s="76" t="n">
        <v>46180.9207986111</v>
      </c>
      <c r="C252" s="76" t="n">
        <v>46180.9630324074</v>
      </c>
      <c r="D252" s="31" t="n">
        <v>1.01361111111111</v>
      </c>
      <c r="E252" s="31" t="n">
        <v>40.2111</v>
      </c>
      <c r="F252" s="31" t="n">
        <v>40.634</v>
      </c>
      <c r="G252" s="15" t="s">
        <v>64</v>
      </c>
      <c r="H252" s="77" t="b">
        <f aca="false">TRUE()</f>
        <v>1</v>
      </c>
      <c r="I252" s="77" t="b">
        <f aca="false">TRUE()</f>
        <v>1</v>
      </c>
      <c r="J252" s="78" t="n">
        <v>1</v>
      </c>
      <c r="K252" s="15" t="s">
        <v>166</v>
      </c>
      <c r="L252" s="15" t="s">
        <v>228</v>
      </c>
      <c r="M252" s="15"/>
      <c r="N252" s="15"/>
      <c r="O252" s="15"/>
      <c r="P252" s="37" t="n">
        <v>27.68</v>
      </c>
      <c r="Q252" s="37" t="n">
        <v>22.66</v>
      </c>
      <c r="R252" s="47" t="n">
        <f aca="false">INT(B252)</f>
        <v>46180</v>
      </c>
      <c r="S252" s="15" t="n">
        <f aca="false">IF(AND(I252=TRUE(),COUNTIFS($R$5:R252,R252,$I$5:I252,TRUE())=1),1,0)</f>
        <v>1</v>
      </c>
      <c r="T252" s="69" t="n">
        <v>0.5</v>
      </c>
      <c r="U252" s="37" t="n">
        <v>25.18</v>
      </c>
      <c r="V252" s="37" t="n">
        <v>20.10555</v>
      </c>
      <c r="W252" s="37" t="n">
        <v>5.02</v>
      </c>
      <c r="X252" s="15" t="s">
        <v>106</v>
      </c>
      <c r="Y252" s="47" t="n">
        <v>46174</v>
      </c>
    </row>
    <row r="253" customFormat="false" ht="15" hidden="false" customHeight="false" outlineLevel="0" collapsed="false">
      <c r="A253" s="13" t="n">
        <v>5214149161</v>
      </c>
      <c r="B253" s="74" t="n">
        <v>46182.8896064815</v>
      </c>
      <c r="C253" s="74" t="n">
        <v>46182.8897800926</v>
      </c>
      <c r="D253" s="30" t="n">
        <v>0.0041666666666666</v>
      </c>
      <c r="E253" s="30" t="n">
        <v>0</v>
      </c>
      <c r="F253" s="30" t="n">
        <v>0</v>
      </c>
      <c r="G253" s="13" t="s">
        <v>63</v>
      </c>
      <c r="H253" s="75" t="b">
        <f aca="false">FALSE()</f>
        <v>0</v>
      </c>
      <c r="I253" s="75" t="b">
        <f aca="false">FALSE()</f>
        <v>0</v>
      </c>
      <c r="J253" s="48"/>
      <c r="K253" s="13" t="s">
        <v>166</v>
      </c>
      <c r="L253" s="13" t="s">
        <v>222</v>
      </c>
      <c r="M253" s="13"/>
      <c r="N253" s="13"/>
      <c r="O253" s="13"/>
      <c r="P253" s="35"/>
      <c r="Q253" s="35"/>
      <c r="R253" s="46" t="n">
        <f aca="false">INT(B253)</f>
        <v>46182</v>
      </c>
      <c r="S253" s="13" t="n">
        <f aca="false">IF(AND(I253=TRUE(),COUNTIFS($R$5:R253,R253,$I$5:I253,TRUE())=1),1,0)</f>
        <v>0</v>
      </c>
      <c r="T253" s="70"/>
      <c r="U253" s="35"/>
      <c r="V253" s="35"/>
      <c r="W253" s="35"/>
      <c r="X253" s="13" t="s">
        <v>101</v>
      </c>
      <c r="Y253" s="46" t="n">
        <v>46181</v>
      </c>
    </row>
    <row r="254" customFormat="false" ht="15" hidden="false" customHeight="false" outlineLevel="0" collapsed="false">
      <c r="A254" s="15" t="n">
        <v>5214152431</v>
      </c>
      <c r="B254" s="76" t="n">
        <v>46182.8903703704</v>
      </c>
      <c r="C254" s="76" t="n">
        <v>46182.9425578704</v>
      </c>
      <c r="D254" s="31" t="n">
        <v>1.2525</v>
      </c>
      <c r="E254" s="31" t="n">
        <v>40.2134</v>
      </c>
      <c r="F254" s="31" t="n">
        <v>40.013</v>
      </c>
      <c r="G254" s="15" t="s">
        <v>63</v>
      </c>
      <c r="H254" s="77" t="b">
        <f aca="false">TRUE()</f>
        <v>1</v>
      </c>
      <c r="I254" s="77" t="b">
        <f aca="false">FALSE()</f>
        <v>0</v>
      </c>
      <c r="J254" s="78" t="n">
        <v>1</v>
      </c>
      <c r="K254" s="15" t="s">
        <v>166</v>
      </c>
      <c r="L254" s="15" t="s">
        <v>222</v>
      </c>
      <c r="M254" s="15" t="s">
        <v>332</v>
      </c>
      <c r="N254" s="15"/>
      <c r="O254" s="15" t="s">
        <v>254</v>
      </c>
      <c r="P254" s="37" t="n">
        <v>27.96</v>
      </c>
      <c r="Q254" s="37" t="n">
        <v>23.73</v>
      </c>
      <c r="R254" s="47" t="n">
        <f aca="false">INT(B254)</f>
        <v>46182</v>
      </c>
      <c r="S254" s="15" t="n">
        <f aca="false">IF(AND(I254=TRUE(),COUNTIFS($R$5:R254,R254,$I$5:I254,TRUE())=1),1,0)</f>
        <v>0</v>
      </c>
      <c r="T254" s="69" t="n">
        <v>0.5</v>
      </c>
      <c r="U254" s="37" t="n">
        <v>26.37</v>
      </c>
      <c r="V254" s="37" t="n">
        <v>20.1067</v>
      </c>
      <c r="W254" s="37" t="n">
        <v>4.23</v>
      </c>
      <c r="X254" s="15" t="s">
        <v>101</v>
      </c>
      <c r="Y254" s="47" t="n">
        <v>46181</v>
      </c>
    </row>
    <row r="255" customFormat="false" ht="15" hidden="false" customHeight="false" outlineLevel="0" collapsed="false">
      <c r="A255" s="13" t="n">
        <v>5220021311</v>
      </c>
      <c r="B255" s="74" t="n">
        <v>46184.6548148148</v>
      </c>
      <c r="C255" s="74" t="n">
        <v>46184.682349537</v>
      </c>
      <c r="D255" s="30" t="n">
        <v>0.660833333333333</v>
      </c>
      <c r="E255" s="30" t="n">
        <v>18.8299</v>
      </c>
      <c r="F255" s="30" t="n">
        <v>29.672</v>
      </c>
      <c r="G255" s="13" t="s">
        <v>62</v>
      </c>
      <c r="H255" s="75" t="b">
        <f aca="false">TRUE()</f>
        <v>1</v>
      </c>
      <c r="I255" s="75" t="b">
        <f aca="false">FALSE()</f>
        <v>0</v>
      </c>
      <c r="J255" s="48" t="n">
        <v>1</v>
      </c>
      <c r="K255" s="13" t="s">
        <v>166</v>
      </c>
      <c r="L255" s="13" t="s">
        <v>222</v>
      </c>
      <c r="M255" s="13" t="s">
        <v>333</v>
      </c>
      <c r="N255" s="13" t="s">
        <v>309</v>
      </c>
      <c r="O255" s="13" t="s">
        <v>246</v>
      </c>
      <c r="P255" s="35" t="n">
        <v>13.94</v>
      </c>
      <c r="Q255" s="35" t="n">
        <v>11.42</v>
      </c>
      <c r="R255" s="46" t="n">
        <f aca="false">INT(B255)</f>
        <v>46184</v>
      </c>
      <c r="S255" s="13" t="n">
        <f aca="false">IF(AND(I255=TRUE(),COUNTIFS($R$5:R255,R255,$I$5:I255,TRUE())=1),1,0)</f>
        <v>0</v>
      </c>
      <c r="T255" s="70" t="n">
        <v>0.5</v>
      </c>
      <c r="U255" s="35" t="n">
        <v>12.69</v>
      </c>
      <c r="V255" s="35" t="n">
        <v>9.41495</v>
      </c>
      <c r="W255" s="35" t="n">
        <v>2.52</v>
      </c>
      <c r="X255" s="13" t="s">
        <v>103</v>
      </c>
      <c r="Y255" s="46" t="n">
        <v>46181</v>
      </c>
    </row>
    <row r="256" customFormat="false" ht="15" hidden="false" customHeight="false" outlineLevel="0" collapsed="false">
      <c r="A256" s="15" t="n">
        <v>5220527731</v>
      </c>
      <c r="B256" s="76" t="n">
        <v>46184.7665740741</v>
      </c>
      <c r="C256" s="76" t="n">
        <v>46184.7669444445</v>
      </c>
      <c r="D256" s="31" t="n">
        <v>0.0088888888888888</v>
      </c>
      <c r="E256" s="31" t="n">
        <v>0.0698</v>
      </c>
      <c r="F256" s="31" t="n">
        <v>31.267</v>
      </c>
      <c r="G256" s="15" t="s">
        <v>63</v>
      </c>
      <c r="H256" s="77" t="b">
        <f aca="false">TRUE()</f>
        <v>1</v>
      </c>
      <c r="I256" s="77" t="b">
        <f aca="false">FALSE()</f>
        <v>0</v>
      </c>
      <c r="J256" s="78"/>
      <c r="K256" s="15" t="s">
        <v>166</v>
      </c>
      <c r="L256" s="15" t="s">
        <v>228</v>
      </c>
      <c r="M256" s="15"/>
      <c r="N256" s="15"/>
      <c r="O256" s="15"/>
      <c r="P256" s="37" t="n">
        <v>0.03</v>
      </c>
      <c r="Q256" s="37" t="n">
        <v>0.03</v>
      </c>
      <c r="R256" s="47" t="n">
        <f aca="false">INT(B256)</f>
        <v>46184</v>
      </c>
      <c r="S256" s="15" t="n">
        <f aca="false">IF(AND(I256=TRUE(),COUNTIFS($R$5:R256,R256,$I$5:I256,TRUE())=1),1,0)</f>
        <v>0</v>
      </c>
      <c r="T256" s="69" t="n">
        <v>0.5</v>
      </c>
      <c r="U256" s="37" t="n">
        <v>0.03</v>
      </c>
      <c r="V256" s="37" t="n">
        <v>0.0349</v>
      </c>
      <c r="W256" s="37" t="n">
        <v>0</v>
      </c>
      <c r="X256" s="15" t="s">
        <v>103</v>
      </c>
      <c r="Y256" s="47" t="n">
        <v>46181</v>
      </c>
    </row>
    <row r="257" customFormat="false" ht="15" hidden="false" customHeight="false" outlineLevel="0" collapsed="false">
      <c r="A257" s="13" t="n">
        <v>5220532091</v>
      </c>
      <c r="B257" s="74" t="n">
        <v>46184.7677199074</v>
      </c>
      <c r="C257" s="74" t="n">
        <v>46184.7846180556</v>
      </c>
      <c r="D257" s="30" t="n">
        <v>0.405555555555556</v>
      </c>
      <c r="E257" s="30" t="n">
        <v>15.9549</v>
      </c>
      <c r="F257" s="30" t="n">
        <v>40.541</v>
      </c>
      <c r="G257" s="13" t="s">
        <v>63</v>
      </c>
      <c r="H257" s="75" t="b">
        <f aca="false">TRUE()</f>
        <v>1</v>
      </c>
      <c r="I257" s="75" t="b">
        <f aca="false">FALSE()</f>
        <v>0</v>
      </c>
      <c r="J257" s="48" t="n">
        <v>1</v>
      </c>
      <c r="K257" s="13" t="s">
        <v>166</v>
      </c>
      <c r="L257" s="13" t="s">
        <v>228</v>
      </c>
      <c r="M257" s="13"/>
      <c r="N257" s="13"/>
      <c r="O257" s="13"/>
      <c r="P257" s="35" t="n">
        <v>11.6</v>
      </c>
      <c r="Q257" s="35" t="n">
        <v>9.01</v>
      </c>
      <c r="R257" s="46" t="n">
        <f aca="false">INT(B257)</f>
        <v>46184</v>
      </c>
      <c r="S257" s="13" t="n">
        <f aca="false">IF(AND(I257=TRUE(),COUNTIFS($R$5:R257,R257,$I$5:I257,TRUE())=1),1,0)</f>
        <v>0</v>
      </c>
      <c r="T257" s="70" t="n">
        <v>0.5</v>
      </c>
      <c r="U257" s="35" t="n">
        <v>10.01</v>
      </c>
      <c r="V257" s="35" t="n">
        <v>7.97745</v>
      </c>
      <c r="W257" s="35" t="n">
        <v>2.59</v>
      </c>
      <c r="X257" s="13" t="s">
        <v>103</v>
      </c>
      <c r="Y257" s="46" t="n">
        <v>46181</v>
      </c>
    </row>
    <row r="258" customFormat="false" ht="15" hidden="false" customHeight="false" outlineLevel="0" collapsed="false">
      <c r="A258" s="15" t="n">
        <v>5220819931</v>
      </c>
      <c r="B258" s="76" t="n">
        <v>46184.832962963</v>
      </c>
      <c r="C258" s="76" t="n">
        <v>46184.8509490741</v>
      </c>
      <c r="D258" s="31" t="n">
        <v>0.431666666666667</v>
      </c>
      <c r="E258" s="31" t="n">
        <v>15.5354</v>
      </c>
      <c r="F258" s="31" t="n">
        <v>38.662</v>
      </c>
      <c r="G258" s="15" t="s">
        <v>63</v>
      </c>
      <c r="H258" s="77" t="b">
        <f aca="false">TRUE()</f>
        <v>1</v>
      </c>
      <c r="I258" s="77" t="b">
        <f aca="false">FALSE()</f>
        <v>0</v>
      </c>
      <c r="J258" s="78" t="n">
        <v>0.965665236051502</v>
      </c>
      <c r="K258" s="15" t="s">
        <v>166</v>
      </c>
      <c r="L258" s="15" t="s">
        <v>222</v>
      </c>
      <c r="M258" s="15" t="s">
        <v>334</v>
      </c>
      <c r="N258" s="15" t="s">
        <v>335</v>
      </c>
      <c r="O258" s="15" t="s">
        <v>336</v>
      </c>
      <c r="P258" s="37" t="n">
        <v>11.01</v>
      </c>
      <c r="Q258" s="37" t="n">
        <v>8.93</v>
      </c>
      <c r="R258" s="47" t="n">
        <f aca="false">INT(B258)</f>
        <v>46184</v>
      </c>
      <c r="S258" s="15" t="n">
        <f aca="false">IF(AND(I258=TRUE(),COUNTIFS($R$5:R258,R258,$I$5:I258,TRUE())=1),1,0)</f>
        <v>0</v>
      </c>
      <c r="T258" s="69" t="n">
        <v>0.5</v>
      </c>
      <c r="U258" s="37" t="n">
        <v>9.92</v>
      </c>
      <c r="V258" s="37" t="n">
        <v>7.7677</v>
      </c>
      <c r="W258" s="37" t="n">
        <v>2.08</v>
      </c>
      <c r="X258" s="15" t="s">
        <v>103</v>
      </c>
      <c r="Y258" s="47" t="n">
        <v>46181</v>
      </c>
    </row>
    <row r="259" customFormat="false" ht="15" hidden="false" customHeight="false" outlineLevel="0" collapsed="false">
      <c r="A259" s="13" t="n">
        <v>5223513971</v>
      </c>
      <c r="B259" s="74" t="n">
        <v>46185.6721990741</v>
      </c>
      <c r="C259" s="74" t="n">
        <v>46185.714375</v>
      </c>
      <c r="D259" s="30" t="n">
        <v>1.01222222222222</v>
      </c>
      <c r="E259" s="30" t="n">
        <v>37.6015</v>
      </c>
      <c r="F259" s="30" t="n">
        <v>40.582</v>
      </c>
      <c r="G259" s="13" t="s">
        <v>62</v>
      </c>
      <c r="H259" s="75" t="b">
        <f aca="false">TRUE()</f>
        <v>1</v>
      </c>
      <c r="I259" s="75" t="b">
        <f aca="false">FALSE()</f>
        <v>0</v>
      </c>
      <c r="J259" s="48" t="n">
        <v>1</v>
      </c>
      <c r="K259" s="13" t="s">
        <v>166</v>
      </c>
      <c r="L259" s="13" t="s">
        <v>222</v>
      </c>
      <c r="M259" s="13" t="s">
        <v>337</v>
      </c>
      <c r="N259" s="13"/>
      <c r="O259" s="13" t="s">
        <v>227</v>
      </c>
      <c r="P259" s="35" t="n">
        <v>25.78</v>
      </c>
      <c r="Q259" s="35" t="n">
        <v>21.47</v>
      </c>
      <c r="R259" s="46" t="n">
        <f aca="false">INT(B259)</f>
        <v>46185</v>
      </c>
      <c r="S259" s="13" t="n">
        <f aca="false">IF(AND(I259=TRUE(),COUNTIFS($R$5:R259,R259,$I$5:I259,TRUE())=1),1,0)</f>
        <v>0</v>
      </c>
      <c r="T259" s="70" t="n">
        <v>0.5</v>
      </c>
      <c r="U259" s="35" t="n">
        <v>23.86</v>
      </c>
      <c r="V259" s="35" t="n">
        <v>18.80075</v>
      </c>
      <c r="W259" s="35" t="n">
        <v>4.31</v>
      </c>
      <c r="X259" s="13" t="s">
        <v>104</v>
      </c>
      <c r="Y259" s="46" t="n">
        <v>46181</v>
      </c>
    </row>
    <row r="260" customFormat="false" ht="15" hidden="false" customHeight="false" outlineLevel="0" collapsed="false">
      <c r="A260" s="15" t="n">
        <v>5224570431</v>
      </c>
      <c r="B260" s="76" t="n">
        <v>46185.9173148148</v>
      </c>
      <c r="C260" s="76" t="n">
        <v>46185.9467592593</v>
      </c>
      <c r="D260" s="31" t="n">
        <v>0.706666666666667</v>
      </c>
      <c r="E260" s="31" t="n">
        <v>20.8099</v>
      </c>
      <c r="F260" s="31" t="n">
        <v>31.205</v>
      </c>
      <c r="G260" s="15" t="s">
        <v>64</v>
      </c>
      <c r="H260" s="77" t="b">
        <f aca="false">TRUE()</f>
        <v>1</v>
      </c>
      <c r="I260" s="77" t="b">
        <f aca="false">TRUE()</f>
        <v>1</v>
      </c>
      <c r="J260" s="78" t="n">
        <v>1</v>
      </c>
      <c r="K260" s="15" t="s">
        <v>166</v>
      </c>
      <c r="L260" s="15" t="s">
        <v>222</v>
      </c>
      <c r="M260" s="15" t="s">
        <v>236</v>
      </c>
      <c r="N260" s="15"/>
      <c r="O260" s="15" t="s">
        <v>224</v>
      </c>
      <c r="P260" s="37" t="n">
        <v>15.22</v>
      </c>
      <c r="Q260" s="37" t="n">
        <v>12.51</v>
      </c>
      <c r="R260" s="47" t="n">
        <f aca="false">INT(B260)</f>
        <v>46185</v>
      </c>
      <c r="S260" s="15" t="n">
        <f aca="false">IF(AND(I260=TRUE(),COUNTIFS($R$5:R260,R260,$I$5:I260,TRUE())=1),1,0)</f>
        <v>1</v>
      </c>
      <c r="T260" s="69" t="n">
        <v>0.5</v>
      </c>
      <c r="U260" s="37" t="n">
        <v>13.9</v>
      </c>
      <c r="V260" s="37" t="n">
        <v>10.40495</v>
      </c>
      <c r="W260" s="37" t="n">
        <v>2.71</v>
      </c>
      <c r="X260" s="15" t="s">
        <v>104</v>
      </c>
      <c r="Y260" s="47" t="n">
        <v>46181</v>
      </c>
    </row>
    <row r="261" customFormat="false" ht="15" hidden="false" customHeight="false" outlineLevel="0" collapsed="false">
      <c r="A261" s="13" t="n">
        <v>5226248341</v>
      </c>
      <c r="B261" s="74" t="n">
        <v>46186.6043634259</v>
      </c>
      <c r="C261" s="74" t="n">
        <v>46186.6345023148</v>
      </c>
      <c r="D261" s="30" t="n">
        <v>0.723333333333333</v>
      </c>
      <c r="E261" s="30" t="n">
        <v>27.5466</v>
      </c>
      <c r="F261" s="30" t="n">
        <v>40.198</v>
      </c>
      <c r="G261" s="13" t="s">
        <v>62</v>
      </c>
      <c r="H261" s="75" t="b">
        <f aca="false">TRUE()</f>
        <v>1</v>
      </c>
      <c r="I261" s="75" t="b">
        <f aca="false">FALSE()</f>
        <v>0</v>
      </c>
      <c r="J261" s="48" t="n">
        <v>1</v>
      </c>
      <c r="K261" s="13" t="s">
        <v>166</v>
      </c>
      <c r="L261" s="13" t="s">
        <v>222</v>
      </c>
      <c r="M261" s="13" t="s">
        <v>249</v>
      </c>
      <c r="N261" s="13" t="s">
        <v>230</v>
      </c>
      <c r="O261" s="13" t="s">
        <v>224</v>
      </c>
      <c r="P261" s="35" t="n">
        <v>18.42</v>
      </c>
      <c r="Q261" s="35" t="n">
        <v>15.63</v>
      </c>
      <c r="R261" s="46" t="n">
        <f aca="false">INT(B261)</f>
        <v>46186</v>
      </c>
      <c r="S261" s="13" t="n">
        <f aca="false">IF(AND(I261=TRUE(),COUNTIFS($R$5:R261,R261,$I$5:I261,TRUE())=1),1,0)</f>
        <v>0</v>
      </c>
      <c r="T261" s="70" t="n">
        <v>0.5</v>
      </c>
      <c r="U261" s="35" t="n">
        <v>17.37</v>
      </c>
      <c r="V261" s="35" t="n">
        <v>13.7733</v>
      </c>
      <c r="W261" s="35" t="n">
        <v>2.79</v>
      </c>
      <c r="X261" s="13" t="s">
        <v>105</v>
      </c>
      <c r="Y261" s="46" t="n">
        <v>46181</v>
      </c>
    </row>
    <row r="262" customFormat="false" ht="15" hidden="false" customHeight="false" outlineLevel="0" collapsed="false">
      <c r="A262" s="15" t="n">
        <v>5228900601</v>
      </c>
      <c r="B262" s="76" t="n">
        <v>46187.7034375</v>
      </c>
      <c r="C262" s="76" t="n">
        <v>46187.7061689815</v>
      </c>
      <c r="D262" s="31" t="n">
        <v>0.0655555555555555</v>
      </c>
      <c r="E262" s="31" t="n">
        <v>0</v>
      </c>
      <c r="F262" s="31" t="n">
        <v>0</v>
      </c>
      <c r="G262" s="15" t="s">
        <v>62</v>
      </c>
      <c r="H262" s="77" t="b">
        <f aca="false">FALSE()</f>
        <v>0</v>
      </c>
      <c r="I262" s="77" t="b">
        <f aca="false">FALSE()</f>
        <v>0</v>
      </c>
      <c r="J262" s="78"/>
      <c r="K262" s="15" t="s">
        <v>166</v>
      </c>
      <c r="L262" s="15" t="s">
        <v>222</v>
      </c>
      <c r="M262" s="15" t="s">
        <v>338</v>
      </c>
      <c r="N262" s="15"/>
      <c r="O262" s="15" t="s">
        <v>227</v>
      </c>
      <c r="P262" s="37" t="n">
        <v>0.25</v>
      </c>
      <c r="Q262" s="37" t="n">
        <v>0.22</v>
      </c>
      <c r="R262" s="47" t="n">
        <f aca="false">INT(B262)</f>
        <v>46187</v>
      </c>
      <c r="S262" s="15" t="n">
        <f aca="false">IF(AND(I262=TRUE(),COUNTIFS($R$5:R262,R262,$I$5:I262,TRUE())=1),1,0)</f>
        <v>0</v>
      </c>
      <c r="T262" s="69" t="n">
        <v>0.5</v>
      </c>
      <c r="U262" s="37" t="n">
        <v>0.24</v>
      </c>
      <c r="V262" s="37" t="n">
        <v>0</v>
      </c>
      <c r="W262" s="37" t="n">
        <v>0.03</v>
      </c>
      <c r="X262" s="15" t="s">
        <v>106</v>
      </c>
      <c r="Y262" s="47" t="n">
        <v>46181</v>
      </c>
    </row>
    <row r="263" customFormat="false" ht="15" hidden="false" customHeight="false" outlineLevel="0" collapsed="false">
      <c r="A263" s="13" t="n">
        <v>5229836451</v>
      </c>
      <c r="B263" s="74" t="n">
        <v>46187.9803587963</v>
      </c>
      <c r="C263" s="74" t="n">
        <v>46188.0138194444</v>
      </c>
      <c r="D263" s="30" t="n">
        <v>0.803055555555556</v>
      </c>
      <c r="E263" s="30" t="n">
        <v>16.1638</v>
      </c>
      <c r="F263" s="30" t="n">
        <v>39.881</v>
      </c>
      <c r="G263" s="13" t="s">
        <v>64</v>
      </c>
      <c r="H263" s="75" t="b">
        <f aca="false">TRUE()</f>
        <v>1</v>
      </c>
      <c r="I263" s="75" t="b">
        <f aca="false">TRUE()</f>
        <v>1</v>
      </c>
      <c r="J263" s="48" t="n">
        <v>1</v>
      </c>
      <c r="K263" s="13" t="s">
        <v>166</v>
      </c>
      <c r="L263" s="13" t="s">
        <v>228</v>
      </c>
      <c r="M263" s="13"/>
      <c r="N263" s="13"/>
      <c r="O263" s="13"/>
      <c r="P263" s="35" t="n">
        <v>13.78</v>
      </c>
      <c r="Q263" s="35" t="n">
        <v>10.86</v>
      </c>
      <c r="R263" s="46" t="n">
        <f aca="false">INT(B263)</f>
        <v>46187</v>
      </c>
      <c r="S263" s="13" t="n">
        <f aca="false">IF(AND(I263=TRUE(),COUNTIFS($R$5:R263,R263,$I$5:I263,TRUE())=1),1,0)</f>
        <v>1</v>
      </c>
      <c r="T263" s="70" t="n">
        <v>0.5</v>
      </c>
      <c r="U263" s="35" t="n">
        <v>12.07</v>
      </c>
      <c r="V263" s="35" t="n">
        <v>8.0819</v>
      </c>
      <c r="W263" s="35" t="n">
        <v>2.92</v>
      </c>
      <c r="X263" s="13" t="s">
        <v>106</v>
      </c>
      <c r="Y263" s="46" t="n">
        <v>46181</v>
      </c>
    </row>
    <row r="264" customFormat="false" ht="15" hidden="false" customHeight="false" outlineLevel="0" collapsed="false">
      <c r="A264" s="15" t="n">
        <v>5232460471</v>
      </c>
      <c r="B264" s="76" t="n">
        <v>46188.8676388889</v>
      </c>
      <c r="C264" s="76" t="n">
        <v>46188.9330787037</v>
      </c>
      <c r="D264" s="31" t="n">
        <v>1.57055555555556</v>
      </c>
      <c r="E264" s="31" t="n">
        <v>46.2622</v>
      </c>
      <c r="F264" s="31" t="n">
        <v>31.897</v>
      </c>
      <c r="G264" s="15" t="s">
        <v>63</v>
      </c>
      <c r="H264" s="77" t="b">
        <f aca="false">TRUE()</f>
        <v>1</v>
      </c>
      <c r="I264" s="77" t="b">
        <f aca="false">FALSE()</f>
        <v>0</v>
      </c>
      <c r="J264" s="78" t="n">
        <v>1</v>
      </c>
      <c r="K264" s="15" t="s">
        <v>166</v>
      </c>
      <c r="L264" s="15" t="s">
        <v>228</v>
      </c>
      <c r="M264" s="15"/>
      <c r="N264" s="15"/>
      <c r="O264" s="15"/>
      <c r="P264" s="37" t="n">
        <v>33.8</v>
      </c>
      <c r="Q264" s="37" t="n">
        <v>27.86</v>
      </c>
      <c r="R264" s="47" t="n">
        <f aca="false">INT(B264)</f>
        <v>46188</v>
      </c>
      <c r="S264" s="15" t="n">
        <f aca="false">IF(AND(I264=TRUE(),COUNTIFS($R$5:R264,R264,$I$5:I264,TRUE())=1),1,0)</f>
        <v>0</v>
      </c>
      <c r="T264" s="69" t="n">
        <v>0.5</v>
      </c>
      <c r="U264" s="37" t="n">
        <v>30.95</v>
      </c>
      <c r="V264" s="37" t="n">
        <v>23.1311</v>
      </c>
      <c r="W264" s="37" t="n">
        <v>5.94</v>
      </c>
      <c r="X264" s="15" t="s">
        <v>100</v>
      </c>
      <c r="Y264" s="47" t="n">
        <v>46188</v>
      </c>
    </row>
    <row r="265" customFormat="false" ht="15" hidden="false" customHeight="false" outlineLevel="0" collapsed="false">
      <c r="A265" s="13" t="n">
        <v>5241344421</v>
      </c>
      <c r="B265" s="74" t="n">
        <v>46191.6104861111</v>
      </c>
      <c r="C265" s="74" t="n">
        <v>46191.6468055556</v>
      </c>
      <c r="D265" s="30" t="n">
        <v>0.871666666666667</v>
      </c>
      <c r="E265" s="30" t="n">
        <v>33.7246</v>
      </c>
      <c r="F265" s="30" t="n">
        <v>40.617</v>
      </c>
      <c r="G265" s="13" t="s">
        <v>62</v>
      </c>
      <c r="H265" s="75" t="b">
        <f aca="false">TRUE()</f>
        <v>1</v>
      </c>
      <c r="I265" s="75" t="b">
        <f aca="false">FALSE()</f>
        <v>0</v>
      </c>
      <c r="J265" s="48" t="n">
        <v>1</v>
      </c>
      <c r="K265" s="13" t="s">
        <v>166</v>
      </c>
      <c r="L265" s="13" t="s">
        <v>222</v>
      </c>
      <c r="M265" s="13" t="s">
        <v>288</v>
      </c>
      <c r="N265" s="13" t="s">
        <v>289</v>
      </c>
      <c r="O265" s="13" t="s">
        <v>224</v>
      </c>
      <c r="P265" s="35" t="n">
        <v>22.95</v>
      </c>
      <c r="Q265" s="35" t="n">
        <v>19.07</v>
      </c>
      <c r="R265" s="46" t="n">
        <f aca="false">INT(B265)</f>
        <v>46191</v>
      </c>
      <c r="S265" s="13" t="n">
        <f aca="false">IF(AND(I265=TRUE(),COUNTIFS($R$5:R265,R265,$I$5:I265,TRUE())=1),1,0)</f>
        <v>0</v>
      </c>
      <c r="T265" s="70" t="n">
        <v>0.5</v>
      </c>
      <c r="U265" s="35" t="n">
        <v>21.19</v>
      </c>
      <c r="V265" s="35" t="n">
        <v>16.8623</v>
      </c>
      <c r="W265" s="35" t="n">
        <v>3.88</v>
      </c>
      <c r="X265" s="13" t="s">
        <v>103</v>
      </c>
      <c r="Y265" s="46" t="n">
        <v>46188</v>
      </c>
    </row>
    <row r="266" customFormat="false" ht="15" hidden="false" customHeight="false" outlineLevel="0" collapsed="false">
      <c r="A266" s="15" t="n">
        <v>5242944321</v>
      </c>
      <c r="B266" s="76" t="n">
        <v>46191.9431597222</v>
      </c>
      <c r="C266" s="76" t="n">
        <v>46191.9720833333</v>
      </c>
      <c r="D266" s="31" t="n">
        <v>0.694166666666667</v>
      </c>
      <c r="E266" s="31" t="n">
        <v>26.944</v>
      </c>
      <c r="F266" s="31" t="n">
        <v>40.579</v>
      </c>
      <c r="G266" s="15" t="s">
        <v>64</v>
      </c>
      <c r="H266" s="77" t="b">
        <f aca="false">TRUE()</f>
        <v>1</v>
      </c>
      <c r="I266" s="77" t="b">
        <f aca="false">TRUE()</f>
        <v>1</v>
      </c>
      <c r="J266" s="78" t="n">
        <v>1</v>
      </c>
      <c r="K266" s="15" t="s">
        <v>166</v>
      </c>
      <c r="L266" s="15" t="s">
        <v>222</v>
      </c>
      <c r="M266" s="15" t="s">
        <v>339</v>
      </c>
      <c r="N266" s="15" t="s">
        <v>340</v>
      </c>
      <c r="O266" s="15" t="s">
        <v>224</v>
      </c>
      <c r="P266" s="37" t="n">
        <v>18.42</v>
      </c>
      <c r="Q266" s="37" t="n">
        <v>15.22</v>
      </c>
      <c r="R266" s="47" t="n">
        <f aca="false">INT(B266)</f>
        <v>46191</v>
      </c>
      <c r="S266" s="15" t="n">
        <f aca="false">IF(AND(I266=TRUE(),COUNTIFS($R$5:R266,R266,$I$5:I266,TRUE())=1),1,0)</f>
        <v>1</v>
      </c>
      <c r="T266" s="69" t="n">
        <v>0.5</v>
      </c>
      <c r="U266" s="37" t="n">
        <v>16.91</v>
      </c>
      <c r="V266" s="37" t="n">
        <v>13.472</v>
      </c>
      <c r="W266" s="37" t="n">
        <v>3.2</v>
      </c>
      <c r="X266" s="15" t="s">
        <v>103</v>
      </c>
      <c r="Y266" s="47" t="n">
        <v>46188</v>
      </c>
    </row>
    <row r="267" customFormat="false" ht="15" hidden="false" customHeight="false" outlineLevel="0" collapsed="false">
      <c r="A267" s="13" t="n">
        <v>5259491611</v>
      </c>
      <c r="B267" s="74" t="n">
        <v>46195.8410069444</v>
      </c>
      <c r="C267" s="74" t="n">
        <v>46195.8868287037</v>
      </c>
      <c r="D267" s="30" t="n">
        <v>1.09972222222222</v>
      </c>
      <c r="E267" s="30" t="n">
        <v>39.3949</v>
      </c>
      <c r="F267" s="30" t="n">
        <v>38.648</v>
      </c>
      <c r="G267" s="13" t="s">
        <v>63</v>
      </c>
      <c r="H267" s="75" t="b">
        <f aca="false">TRUE()</f>
        <v>1</v>
      </c>
      <c r="I267" s="75" t="b">
        <f aca="false">FALSE()</f>
        <v>0</v>
      </c>
      <c r="J267" s="48" t="n">
        <v>1</v>
      </c>
      <c r="K267" s="13" t="s">
        <v>166</v>
      </c>
      <c r="L267" s="13" t="s">
        <v>222</v>
      </c>
      <c r="M267" s="13" t="s">
        <v>341</v>
      </c>
      <c r="N267" s="13" t="s">
        <v>342</v>
      </c>
      <c r="O267" s="13" t="s">
        <v>343</v>
      </c>
      <c r="P267" s="35" t="n">
        <v>26.7</v>
      </c>
      <c r="Q267" s="35" t="n">
        <v>22.67</v>
      </c>
      <c r="R267" s="46" t="n">
        <f aca="false">INT(B267)</f>
        <v>46195</v>
      </c>
      <c r="S267" s="13" t="n">
        <f aca="false">IF(AND(I267=TRUE(),COUNTIFS($R$5:R267,R267,$I$5:I267,TRUE())=1),1,0)</f>
        <v>0</v>
      </c>
      <c r="T267" s="70" t="n">
        <v>0.5</v>
      </c>
      <c r="U267" s="35" t="n">
        <v>25.19</v>
      </c>
      <c r="V267" s="35" t="n">
        <v>19.69745</v>
      </c>
      <c r="W267" s="35" t="n">
        <v>4.03</v>
      </c>
      <c r="X267" s="13" t="s">
        <v>100</v>
      </c>
      <c r="Y267" s="46" t="n">
        <v>46195</v>
      </c>
    </row>
    <row r="268" customFormat="false" ht="15" hidden="false" customHeight="false" outlineLevel="0" collapsed="false">
      <c r="A268" s="15" t="n">
        <v>5259865251</v>
      </c>
      <c r="B268" s="76" t="n">
        <v>46195.9278935185</v>
      </c>
      <c r="C268" s="76" t="n">
        <v>46195.9395486111</v>
      </c>
      <c r="D268" s="31" t="n">
        <v>0.279722222222222</v>
      </c>
      <c r="E268" s="31" t="n">
        <v>8.4955</v>
      </c>
      <c r="F268" s="31" t="n">
        <v>39.853</v>
      </c>
      <c r="G268" s="15" t="s">
        <v>64</v>
      </c>
      <c r="H268" s="77" t="b">
        <f aca="false">TRUE()</f>
        <v>1</v>
      </c>
      <c r="I268" s="77" t="b">
        <f aca="false">TRUE()</f>
        <v>1</v>
      </c>
      <c r="J268" s="78" t="n">
        <v>1</v>
      </c>
      <c r="K268" s="15" t="s">
        <v>166</v>
      </c>
      <c r="L268" s="15" t="s">
        <v>222</v>
      </c>
      <c r="M268" s="15" t="s">
        <v>225</v>
      </c>
      <c r="N268" s="15"/>
      <c r="O268" s="15" t="s">
        <v>224</v>
      </c>
      <c r="P268" s="37" t="n">
        <v>6.44</v>
      </c>
      <c r="Q268" s="37" t="n">
        <v>5.05</v>
      </c>
      <c r="R268" s="47" t="n">
        <f aca="false">INT(B268)</f>
        <v>46195</v>
      </c>
      <c r="S268" s="15" t="n">
        <f aca="false">IF(AND(I268=TRUE(),COUNTIFS($R$5:R268,R268,$I$5:I268,TRUE())=1),1,0)</f>
        <v>1</v>
      </c>
      <c r="T268" s="69" t="n">
        <v>0.5</v>
      </c>
      <c r="U268" s="37" t="n">
        <v>5.61</v>
      </c>
      <c r="V268" s="37" t="n">
        <v>4.24775</v>
      </c>
      <c r="W268" s="37" t="n">
        <v>1.39</v>
      </c>
      <c r="X268" s="15" t="s">
        <v>100</v>
      </c>
      <c r="Y268" s="47" t="n">
        <v>46195</v>
      </c>
    </row>
    <row r="269" customFormat="false" ht="15" hidden="false" customHeight="false" outlineLevel="0" collapsed="false">
      <c r="A269" s="13" t="n">
        <v>5262893371</v>
      </c>
      <c r="B269" s="74" t="n">
        <v>46196.8599768519</v>
      </c>
      <c r="C269" s="74" t="n">
        <v>46196.8947453704</v>
      </c>
      <c r="D269" s="30" t="n">
        <v>0.834444444444444</v>
      </c>
      <c r="E269" s="30" t="n">
        <v>27.8244</v>
      </c>
      <c r="F269" s="30" t="n">
        <v>38.057</v>
      </c>
      <c r="G269" s="13" t="s">
        <v>63</v>
      </c>
      <c r="H269" s="75" t="b">
        <f aca="false">TRUE()</f>
        <v>1</v>
      </c>
      <c r="I269" s="75" t="b">
        <f aca="false">FALSE()</f>
        <v>0</v>
      </c>
      <c r="J269" s="48" t="n">
        <v>1</v>
      </c>
      <c r="K269" s="13" t="s">
        <v>166</v>
      </c>
      <c r="L269" s="13" t="s">
        <v>222</v>
      </c>
      <c r="M269" s="13" t="s">
        <v>344</v>
      </c>
      <c r="N269" s="13" t="s">
        <v>345</v>
      </c>
      <c r="O269" s="13" t="s">
        <v>346</v>
      </c>
      <c r="P269" s="35" t="n">
        <v>19.14</v>
      </c>
      <c r="Q269" s="35" t="n">
        <v>16.25</v>
      </c>
      <c r="R269" s="46" t="n">
        <f aca="false">INT(B269)</f>
        <v>46196</v>
      </c>
      <c r="S269" s="13" t="n">
        <f aca="false">IF(AND(I269=TRUE(),COUNTIFS($R$5:R269,R269,$I$5:I269,TRUE())=1),1,0)</f>
        <v>0</v>
      </c>
      <c r="T269" s="70" t="n">
        <v>0.5</v>
      </c>
      <c r="U269" s="35" t="n">
        <v>18.06</v>
      </c>
      <c r="V269" s="35" t="n">
        <v>13.9122</v>
      </c>
      <c r="W269" s="35" t="n">
        <v>2.89</v>
      </c>
      <c r="X269" s="13" t="s">
        <v>101</v>
      </c>
      <c r="Y269" s="46" t="n">
        <v>46195</v>
      </c>
    </row>
    <row r="270" customFormat="false" ht="15" hidden="false" customHeight="false" outlineLevel="0" collapsed="false">
      <c r="A270" s="15" t="n">
        <v>5269187201</v>
      </c>
      <c r="B270" s="76" t="n">
        <v>46198.7217361111</v>
      </c>
      <c r="C270" s="76" t="n">
        <v>46198.7543171296</v>
      </c>
      <c r="D270" s="31" t="n">
        <v>0.781944444444444</v>
      </c>
      <c r="E270" s="31" t="n">
        <v>29.5188</v>
      </c>
      <c r="F270" s="31" t="n">
        <v>40.393</v>
      </c>
      <c r="G270" s="15" t="s">
        <v>62</v>
      </c>
      <c r="H270" s="77" t="b">
        <f aca="false">TRUE()</f>
        <v>1</v>
      </c>
      <c r="I270" s="77" t="b">
        <f aca="false">FALSE()</f>
        <v>0</v>
      </c>
      <c r="J270" s="78" t="n">
        <v>1</v>
      </c>
      <c r="K270" s="15" t="s">
        <v>166</v>
      </c>
      <c r="L270" s="15" t="s">
        <v>222</v>
      </c>
      <c r="M270" s="15" t="s">
        <v>347</v>
      </c>
      <c r="N270" s="15" t="s">
        <v>348</v>
      </c>
      <c r="O270" s="15" t="s">
        <v>349</v>
      </c>
      <c r="P270" s="37" t="n">
        <v>20.28</v>
      </c>
      <c r="Q270" s="37" t="n">
        <v>16.8</v>
      </c>
      <c r="R270" s="47" t="n">
        <f aca="false">INT(B270)</f>
        <v>46198</v>
      </c>
      <c r="S270" s="15" t="n">
        <f aca="false">IF(AND(I270=TRUE(),COUNTIFS($R$5:R270,R270,$I$5:I270,TRUE())=1),1,0)</f>
        <v>0</v>
      </c>
      <c r="T270" s="69" t="n">
        <v>0.5</v>
      </c>
      <c r="U270" s="37" t="n">
        <v>18.67</v>
      </c>
      <c r="V270" s="37" t="n">
        <v>14.7594</v>
      </c>
      <c r="W270" s="37" t="n">
        <v>3.48</v>
      </c>
      <c r="X270" s="15" t="s">
        <v>103</v>
      </c>
      <c r="Y270" s="47" t="n">
        <v>46195</v>
      </c>
    </row>
    <row r="271" customFormat="false" ht="15" hidden="false" customHeight="false" outlineLevel="0" collapsed="false">
      <c r="A271" s="13" t="n">
        <v>5269709731</v>
      </c>
      <c r="B271" s="74" t="n">
        <v>46198.845787037</v>
      </c>
      <c r="C271" s="74" t="n">
        <v>46198.8471643519</v>
      </c>
      <c r="D271" s="30" t="n">
        <v>0.0330555555555555</v>
      </c>
      <c r="E271" s="30" t="n">
        <v>0</v>
      </c>
      <c r="F271" s="30" t="n">
        <v>0</v>
      </c>
      <c r="G271" s="13" t="s">
        <v>63</v>
      </c>
      <c r="H271" s="75" t="b">
        <f aca="false">FALSE()</f>
        <v>0</v>
      </c>
      <c r="I271" s="75" t="b">
        <f aca="false">FALSE()</f>
        <v>0</v>
      </c>
      <c r="J271" s="48"/>
      <c r="K271" s="13" t="s">
        <v>166</v>
      </c>
      <c r="L271" s="13" t="s">
        <v>222</v>
      </c>
      <c r="M271" s="13"/>
      <c r="N271" s="13"/>
      <c r="O271" s="13"/>
      <c r="P271" s="35"/>
      <c r="Q271" s="35"/>
      <c r="R271" s="46" t="n">
        <f aca="false">INT(B271)</f>
        <v>46198</v>
      </c>
      <c r="S271" s="13" t="n">
        <f aca="false">IF(AND(I271=TRUE(),COUNTIFS($R$5:R271,R271,$I$5:I271,TRUE())=1),1,0)</f>
        <v>0</v>
      </c>
      <c r="T271" s="70"/>
      <c r="U271" s="35"/>
      <c r="V271" s="35"/>
      <c r="W271" s="35"/>
      <c r="X271" s="13" t="s">
        <v>103</v>
      </c>
      <c r="Y271" s="46" t="n">
        <v>46195</v>
      </c>
    </row>
    <row r="272" customFormat="false" ht="15" hidden="false" customHeight="false" outlineLevel="0" collapsed="false">
      <c r="A272" s="15" t="n">
        <v>5273882451</v>
      </c>
      <c r="B272" s="76" t="n">
        <v>46200.0428703704</v>
      </c>
      <c r="C272" s="76" t="n">
        <v>46200.0436111111</v>
      </c>
      <c r="D272" s="31" t="n">
        <v>0.0177777777777777</v>
      </c>
      <c r="E272" s="31" t="n">
        <v>0</v>
      </c>
      <c r="F272" s="31" t="n">
        <v>0</v>
      </c>
      <c r="G272" s="15" t="s">
        <v>64</v>
      </c>
      <c r="H272" s="77" t="b">
        <f aca="false">FALSE()</f>
        <v>0</v>
      </c>
      <c r="I272" s="77" t="b">
        <f aca="false">TRUE()</f>
        <v>1</v>
      </c>
      <c r="J272" s="78"/>
      <c r="K272" s="15" t="s">
        <v>166</v>
      </c>
      <c r="L272" s="15" t="s">
        <v>222</v>
      </c>
      <c r="M272" s="15"/>
      <c r="N272" s="15"/>
      <c r="O272" s="15"/>
      <c r="P272" s="37"/>
      <c r="Q272" s="37"/>
      <c r="R272" s="47" t="n">
        <f aca="false">INT(B272)</f>
        <v>46200</v>
      </c>
      <c r="S272" s="15" t="n">
        <f aca="false">IF(AND(I272=TRUE(),COUNTIFS($R$5:R272,R272,$I$5:I272,TRUE())=1),1,0)</f>
        <v>1</v>
      </c>
      <c r="T272" s="69"/>
      <c r="U272" s="37"/>
      <c r="V272" s="37"/>
      <c r="W272" s="37"/>
      <c r="X272" s="15" t="s">
        <v>105</v>
      </c>
      <c r="Y272" s="47" t="n">
        <v>46195</v>
      </c>
    </row>
    <row r="273" customFormat="false" ht="15" hidden="false" customHeight="false" outlineLevel="0" collapsed="false">
      <c r="A273" s="13" t="n">
        <v>5273887981</v>
      </c>
      <c r="B273" s="74" t="n">
        <v>46200.0442013889</v>
      </c>
      <c r="C273" s="74" t="n">
        <v>46200.0461921296</v>
      </c>
      <c r="D273" s="30" t="n">
        <v>0.0477777777777777</v>
      </c>
      <c r="E273" s="30" t="n">
        <v>0</v>
      </c>
      <c r="F273" s="30" t="n">
        <v>0</v>
      </c>
      <c r="G273" s="13" t="s">
        <v>64</v>
      </c>
      <c r="H273" s="75" t="b">
        <f aca="false">FALSE()</f>
        <v>0</v>
      </c>
      <c r="I273" s="75" t="b">
        <f aca="false">TRUE()</f>
        <v>1</v>
      </c>
      <c r="J273" s="48"/>
      <c r="K273" s="13" t="s">
        <v>166</v>
      </c>
      <c r="L273" s="13" t="s">
        <v>222</v>
      </c>
      <c r="M273" s="13" t="s">
        <v>350</v>
      </c>
      <c r="N273" s="13"/>
      <c r="O273" s="13" t="s">
        <v>224</v>
      </c>
      <c r="P273" s="35" t="n">
        <v>0.29</v>
      </c>
      <c r="Q273" s="35" t="n">
        <v>0.24</v>
      </c>
      <c r="R273" s="46" t="n">
        <f aca="false">INT(B273)</f>
        <v>46200</v>
      </c>
      <c r="S273" s="13" t="n">
        <f aca="false">IF(AND(I273=TRUE(),COUNTIFS($R$5:R273,R273,$I$5:I273,TRUE())=1),1,0)</f>
        <v>0</v>
      </c>
      <c r="T273" s="70" t="n">
        <v>0.5</v>
      </c>
      <c r="U273" s="35" t="n">
        <v>0.27</v>
      </c>
      <c r="V273" s="35" t="n">
        <v>0</v>
      </c>
      <c r="W273" s="35" t="n">
        <v>0.05</v>
      </c>
      <c r="X273" s="13" t="s">
        <v>105</v>
      </c>
      <c r="Y273" s="46" t="n">
        <v>46195</v>
      </c>
    </row>
    <row r="274" customFormat="false" ht="15" hidden="false" customHeight="false" outlineLevel="0" collapsed="false">
      <c r="A274" s="15" t="n">
        <v>5273905191</v>
      </c>
      <c r="B274" s="76" t="n">
        <v>46200.0485300926</v>
      </c>
      <c r="C274" s="76" t="n">
        <v>46200.0504513889</v>
      </c>
      <c r="D274" s="31" t="n">
        <v>0.0461111111111111</v>
      </c>
      <c r="E274" s="31" t="n">
        <v>0</v>
      </c>
      <c r="F274" s="31" t="n">
        <v>0</v>
      </c>
      <c r="G274" s="15" t="s">
        <v>64</v>
      </c>
      <c r="H274" s="77" t="b">
        <f aca="false">FALSE()</f>
        <v>0</v>
      </c>
      <c r="I274" s="77" t="b">
        <f aca="false">TRUE()</f>
        <v>1</v>
      </c>
      <c r="J274" s="78"/>
      <c r="K274" s="15" t="s">
        <v>166</v>
      </c>
      <c r="L274" s="15" t="s">
        <v>222</v>
      </c>
      <c r="M274" s="15" t="s">
        <v>350</v>
      </c>
      <c r="N274" s="15"/>
      <c r="O274" s="15" t="s">
        <v>224</v>
      </c>
      <c r="P274" s="37" t="n">
        <v>0.21</v>
      </c>
      <c r="Q274" s="37" t="n">
        <v>0.18</v>
      </c>
      <c r="R274" s="47" t="n">
        <f aca="false">INT(B274)</f>
        <v>46200</v>
      </c>
      <c r="S274" s="15" t="n">
        <f aca="false">IF(AND(I274=TRUE(),COUNTIFS($R$5:R274,R274,$I$5:I274,TRUE())=1),1,0)</f>
        <v>0</v>
      </c>
      <c r="T274" s="69" t="n">
        <v>0.5</v>
      </c>
      <c r="U274" s="37" t="n">
        <v>0.2</v>
      </c>
      <c r="V274" s="37" t="n">
        <v>0</v>
      </c>
      <c r="W274" s="37" t="n">
        <v>0.03</v>
      </c>
      <c r="X274" s="15" t="s">
        <v>105</v>
      </c>
      <c r="Y274" s="47" t="n">
        <v>46195</v>
      </c>
    </row>
    <row r="275" customFormat="false" ht="15" hidden="false" customHeight="false" outlineLevel="0" collapsed="false">
      <c r="A275" s="13" t="n">
        <v>5273930701</v>
      </c>
      <c r="B275" s="74" t="n">
        <v>46200.0547453704</v>
      </c>
      <c r="C275" s="74" t="n">
        <v>46200.0556712963</v>
      </c>
      <c r="D275" s="30" t="n">
        <v>0.0222222222222222</v>
      </c>
      <c r="E275" s="30" t="n">
        <v>0</v>
      </c>
      <c r="F275" s="30" t="n">
        <v>0</v>
      </c>
      <c r="G275" s="13" t="s">
        <v>64</v>
      </c>
      <c r="H275" s="75" t="b">
        <f aca="false">FALSE()</f>
        <v>0</v>
      </c>
      <c r="I275" s="75" t="b">
        <f aca="false">TRUE()</f>
        <v>1</v>
      </c>
      <c r="J275" s="48"/>
      <c r="K275" s="13" t="s">
        <v>166</v>
      </c>
      <c r="L275" s="13" t="s">
        <v>222</v>
      </c>
      <c r="M275" s="13"/>
      <c r="N275" s="13"/>
      <c r="O275" s="13"/>
      <c r="P275" s="35"/>
      <c r="Q275" s="35"/>
      <c r="R275" s="46" t="n">
        <f aca="false">INT(B275)</f>
        <v>46200</v>
      </c>
      <c r="S275" s="13" t="n">
        <f aca="false">IF(AND(I275=TRUE(),COUNTIFS($R$5:R275,R275,$I$5:I275,TRUE())=1),1,0)</f>
        <v>0</v>
      </c>
      <c r="T275" s="70"/>
      <c r="U275" s="35"/>
      <c r="V275" s="35"/>
      <c r="W275" s="35"/>
      <c r="X275" s="13" t="s">
        <v>105</v>
      </c>
      <c r="Y275" s="46" t="n">
        <v>46195</v>
      </c>
    </row>
    <row r="276" customFormat="false" ht="15" hidden="false" customHeight="false" outlineLevel="0" collapsed="false">
      <c r="A276" s="15" t="n">
        <v>5273937091</v>
      </c>
      <c r="B276" s="76" t="n">
        <v>46200.0565393519</v>
      </c>
      <c r="C276" s="76" t="n">
        <v>46200.0584606482</v>
      </c>
      <c r="D276" s="31" t="n">
        <v>0.0461111111111111</v>
      </c>
      <c r="E276" s="31" t="n">
        <v>0</v>
      </c>
      <c r="F276" s="31" t="n">
        <v>0</v>
      </c>
      <c r="G276" s="15" t="s">
        <v>64</v>
      </c>
      <c r="H276" s="77" t="b">
        <f aca="false">FALSE()</f>
        <v>0</v>
      </c>
      <c r="I276" s="77" t="b">
        <f aca="false">TRUE()</f>
        <v>1</v>
      </c>
      <c r="J276" s="78"/>
      <c r="K276" s="15" t="s">
        <v>166</v>
      </c>
      <c r="L276" s="15" t="s">
        <v>222</v>
      </c>
      <c r="M276" s="15" t="s">
        <v>350</v>
      </c>
      <c r="N276" s="15"/>
      <c r="O276" s="15" t="s">
        <v>224</v>
      </c>
      <c r="P276" s="37" t="n">
        <v>0.23</v>
      </c>
      <c r="Q276" s="37" t="n">
        <v>0.2</v>
      </c>
      <c r="R276" s="47" t="n">
        <f aca="false">INT(B276)</f>
        <v>46200</v>
      </c>
      <c r="S276" s="15" t="n">
        <f aca="false">IF(AND(I276=TRUE(),COUNTIFS($R$5:R276,R276,$I$5:I276,TRUE())=1),1,0)</f>
        <v>0</v>
      </c>
      <c r="T276" s="69" t="n">
        <v>0.5</v>
      </c>
      <c r="U276" s="37" t="n">
        <v>0.22</v>
      </c>
      <c r="V276" s="37" t="n">
        <v>0</v>
      </c>
      <c r="W276" s="37" t="n">
        <v>0.03</v>
      </c>
      <c r="X276" s="15" t="s">
        <v>105</v>
      </c>
      <c r="Y276" s="47" t="n">
        <v>46195</v>
      </c>
    </row>
    <row r="277" customFormat="false" ht="15" hidden="false" customHeight="false" outlineLevel="0" collapsed="false">
      <c r="A277" s="13" t="n">
        <v>5273957681</v>
      </c>
      <c r="B277" s="74" t="n">
        <v>46200.062349537</v>
      </c>
      <c r="C277" s="74" t="n">
        <v>46200.0647569444</v>
      </c>
      <c r="D277" s="30" t="n">
        <v>0.0577777777777777</v>
      </c>
      <c r="E277" s="30" t="n">
        <v>0</v>
      </c>
      <c r="F277" s="30" t="n">
        <v>0</v>
      </c>
      <c r="G277" s="13" t="s">
        <v>64</v>
      </c>
      <c r="H277" s="75" t="b">
        <f aca="false">FALSE()</f>
        <v>0</v>
      </c>
      <c r="I277" s="75" t="b">
        <f aca="false">TRUE()</f>
        <v>1</v>
      </c>
      <c r="J277" s="48" t="n">
        <v>0</v>
      </c>
      <c r="K277" s="13" t="s">
        <v>166</v>
      </c>
      <c r="L277" s="13" t="s">
        <v>222</v>
      </c>
      <c r="M277" s="13" t="s">
        <v>350</v>
      </c>
      <c r="N277" s="13"/>
      <c r="O277" s="13" t="s">
        <v>224</v>
      </c>
      <c r="P277" s="35" t="n">
        <v>0.3</v>
      </c>
      <c r="Q277" s="35" t="n">
        <v>0.25</v>
      </c>
      <c r="R277" s="46" t="n">
        <f aca="false">INT(B277)</f>
        <v>46200</v>
      </c>
      <c r="S277" s="13" t="n">
        <f aca="false">IF(AND(I277=TRUE(),COUNTIFS($R$5:R277,R277,$I$5:I277,TRUE())=1),1,0)</f>
        <v>0</v>
      </c>
      <c r="T277" s="70" t="n">
        <v>0.5</v>
      </c>
      <c r="U277" s="35" t="n">
        <v>0.28</v>
      </c>
      <c r="V277" s="35" t="n">
        <v>0</v>
      </c>
      <c r="W277" s="35" t="n">
        <v>0.05</v>
      </c>
      <c r="X277" s="13" t="s">
        <v>105</v>
      </c>
      <c r="Y277" s="46" t="n">
        <v>46195</v>
      </c>
    </row>
    <row r="278" customFormat="false" ht="15" hidden="false" customHeight="false" outlineLevel="0" collapsed="false">
      <c r="A278" s="15" t="n">
        <v>5274000771</v>
      </c>
      <c r="B278" s="76" t="n">
        <v>46200.0744212963</v>
      </c>
      <c r="C278" s="76" t="n">
        <v>46200.0833912037</v>
      </c>
      <c r="D278" s="31" t="n">
        <v>0.215277777777778</v>
      </c>
      <c r="E278" s="31" t="n">
        <v>1.450754</v>
      </c>
      <c r="F278" s="31" t="n">
        <v>7.3287</v>
      </c>
      <c r="G278" s="15" t="s">
        <v>64</v>
      </c>
      <c r="H278" s="77" t="b">
        <f aca="false">FALSE()</f>
        <v>0</v>
      </c>
      <c r="I278" s="77" t="b">
        <f aca="false">TRUE()</f>
        <v>1</v>
      </c>
      <c r="J278" s="78" t="n">
        <v>0</v>
      </c>
      <c r="K278" s="15" t="s">
        <v>168</v>
      </c>
      <c r="L278" s="15" t="s">
        <v>222</v>
      </c>
      <c r="M278" s="15" t="s">
        <v>350</v>
      </c>
      <c r="N278" s="15"/>
      <c r="O278" s="15" t="s">
        <v>224</v>
      </c>
      <c r="P278" s="37" t="n">
        <v>2.16</v>
      </c>
      <c r="Q278" s="37" t="n">
        <v>1.63</v>
      </c>
      <c r="R278" s="47" t="n">
        <f aca="false">INT(B278)</f>
        <v>46200</v>
      </c>
      <c r="S278" s="15" t="n">
        <f aca="false">IF(AND(I278=TRUE(),COUNTIFS($R$5:R278,R278,$I$5:I278,TRUE())=1),1,0)</f>
        <v>0</v>
      </c>
      <c r="T278" s="69" t="n">
        <v>0.5</v>
      </c>
      <c r="U278" s="37" t="n">
        <v>1.81</v>
      </c>
      <c r="V278" s="37" t="n">
        <v>0.725377</v>
      </c>
      <c r="W278" s="37" t="n">
        <v>0.53</v>
      </c>
      <c r="X278" s="15" t="s">
        <v>105</v>
      </c>
      <c r="Y278" s="47" t="n">
        <v>46195</v>
      </c>
    </row>
    <row r="279" customFormat="false" ht="15" hidden="false" customHeight="false" outlineLevel="0" collapsed="false">
      <c r="A279" s="13" t="n">
        <v>5275318291</v>
      </c>
      <c r="B279" s="74" t="n">
        <v>46200.7051736111</v>
      </c>
      <c r="C279" s="74" t="n">
        <v>46200.7060416667</v>
      </c>
      <c r="D279" s="30" t="n">
        <v>0.0208333333333333</v>
      </c>
      <c r="E279" s="30" t="n">
        <v>0</v>
      </c>
      <c r="F279" s="30" t="n">
        <v>0</v>
      </c>
      <c r="G279" s="13" t="s">
        <v>62</v>
      </c>
      <c r="H279" s="75" t="b">
        <f aca="false">FALSE()</f>
        <v>0</v>
      </c>
      <c r="I279" s="75" t="b">
        <f aca="false">FALSE()</f>
        <v>0</v>
      </c>
      <c r="J279" s="48"/>
      <c r="K279" s="13" t="s">
        <v>166</v>
      </c>
      <c r="L279" s="13" t="s">
        <v>222</v>
      </c>
      <c r="M279" s="13"/>
      <c r="N279" s="13"/>
      <c r="O279" s="13"/>
      <c r="P279" s="35"/>
      <c r="Q279" s="35"/>
      <c r="R279" s="46" t="n">
        <f aca="false">INT(B279)</f>
        <v>46200</v>
      </c>
      <c r="S279" s="13" t="n">
        <f aca="false">IF(AND(I279=TRUE(),COUNTIFS($R$5:R279,R279,$I$5:I279,TRUE())=1),1,0)</f>
        <v>0</v>
      </c>
      <c r="T279" s="70"/>
      <c r="U279" s="35"/>
      <c r="V279" s="35"/>
      <c r="W279" s="35"/>
      <c r="X279" s="13" t="s">
        <v>105</v>
      </c>
      <c r="Y279" s="46" t="n">
        <v>46195</v>
      </c>
    </row>
    <row r="280" customFormat="false" ht="15" hidden="false" customHeight="false" outlineLevel="0" collapsed="false">
      <c r="A280" s="15" t="n">
        <v>5278273731</v>
      </c>
      <c r="B280" s="76" t="n">
        <v>46201.8817361111</v>
      </c>
      <c r="C280" s="76" t="n">
        <v>46201.8988310185</v>
      </c>
      <c r="D280" s="31" t="n">
        <v>0.410277777777778</v>
      </c>
      <c r="E280" s="31" t="n">
        <v>11.8481</v>
      </c>
      <c r="F280" s="31" t="n">
        <v>29.687</v>
      </c>
      <c r="G280" s="15" t="s">
        <v>63</v>
      </c>
      <c r="H280" s="77" t="b">
        <f aca="false">TRUE()</f>
        <v>1</v>
      </c>
      <c r="I280" s="77" t="b">
        <f aca="false">FALSE()</f>
        <v>0</v>
      </c>
      <c r="J280" s="78" t="n">
        <v>1</v>
      </c>
      <c r="K280" s="15" t="s">
        <v>166</v>
      </c>
      <c r="L280" s="15" t="s">
        <v>222</v>
      </c>
      <c r="M280" s="15" t="s">
        <v>351</v>
      </c>
      <c r="N280" s="15"/>
      <c r="O280" s="15" t="s">
        <v>352</v>
      </c>
      <c r="P280" s="37" t="n">
        <v>8.45</v>
      </c>
      <c r="Q280" s="37" t="n">
        <v>7.17</v>
      </c>
      <c r="R280" s="47" t="n">
        <f aca="false">INT(B280)</f>
        <v>46201</v>
      </c>
      <c r="S280" s="15" t="n">
        <f aca="false">IF(AND(I280=TRUE(),COUNTIFS($R$5:R280,R280,$I$5:I280,TRUE())=1),1,0)</f>
        <v>0</v>
      </c>
      <c r="T280" s="69" t="n">
        <v>0.5</v>
      </c>
      <c r="U280" s="37" t="n">
        <v>7.97</v>
      </c>
      <c r="V280" s="37" t="n">
        <v>5.92405</v>
      </c>
      <c r="W280" s="37" t="n">
        <v>1.28</v>
      </c>
      <c r="X280" s="15" t="s">
        <v>106</v>
      </c>
      <c r="Y280" s="47" t="n">
        <v>46195</v>
      </c>
    </row>
    <row r="281" customFormat="false" ht="15" hidden="false" customHeight="false" outlineLevel="0" collapsed="false">
      <c r="A281" s="13" t="n">
        <v>5280836741</v>
      </c>
      <c r="B281" s="74" t="n">
        <v>46202.7554976852</v>
      </c>
      <c r="C281" s="74" t="n">
        <v>46202.7697569444</v>
      </c>
      <c r="D281" s="30" t="n">
        <v>0.342222222222222</v>
      </c>
      <c r="E281" s="30" t="n">
        <v>9.7997</v>
      </c>
      <c r="F281" s="30" t="n">
        <v>30.458</v>
      </c>
      <c r="G281" s="13" t="s">
        <v>63</v>
      </c>
      <c r="H281" s="75" t="b">
        <f aca="false">TRUE()</f>
        <v>1</v>
      </c>
      <c r="I281" s="75" t="b">
        <f aca="false">FALSE()</f>
        <v>0</v>
      </c>
      <c r="J281" s="48" t="n">
        <v>1</v>
      </c>
      <c r="K281" s="13" t="s">
        <v>166</v>
      </c>
      <c r="L281" s="13" t="s">
        <v>228</v>
      </c>
      <c r="M281" s="13"/>
      <c r="N281" s="13"/>
      <c r="O281" s="13"/>
      <c r="P281" s="35" t="n">
        <v>7.97</v>
      </c>
      <c r="Q281" s="35" t="n">
        <v>5.93</v>
      </c>
      <c r="R281" s="46" t="n">
        <f aca="false">INT(B281)</f>
        <v>46202</v>
      </c>
      <c r="S281" s="13" t="n">
        <f aca="false">IF(AND(I281=TRUE(),COUNTIFS($R$5:R281,R281,$I$5:I281,TRUE())=1),1,0)</f>
        <v>0</v>
      </c>
      <c r="T281" s="70" t="n">
        <v>0.5</v>
      </c>
      <c r="U281" s="35" t="n">
        <v>6.59</v>
      </c>
      <c r="V281" s="35" t="n">
        <v>4.89985</v>
      </c>
      <c r="W281" s="35" t="n">
        <v>2.04</v>
      </c>
      <c r="X281" s="13" t="s">
        <v>100</v>
      </c>
      <c r="Y281" s="46" t="n">
        <v>46202</v>
      </c>
    </row>
    <row r="282" customFormat="false" ht="15" hidden="false" customHeight="false" outlineLevel="0" collapsed="false">
      <c r="A282" s="15" t="n">
        <v>5284525031</v>
      </c>
      <c r="B282" s="76" t="n">
        <v>46203.8389236111</v>
      </c>
      <c r="C282" s="76" t="n">
        <v>46203.8560069444</v>
      </c>
      <c r="D282" s="31" t="n">
        <v>0.41</v>
      </c>
      <c r="E282" s="31" t="n">
        <v>2.828075</v>
      </c>
      <c r="F282" s="31" t="n">
        <v>7.2436</v>
      </c>
      <c r="G282" s="15" t="s">
        <v>63</v>
      </c>
      <c r="H282" s="77" t="b">
        <f aca="false">FALSE()</f>
        <v>0</v>
      </c>
      <c r="I282" s="77" t="b">
        <f aca="false">FALSE()</f>
        <v>0</v>
      </c>
      <c r="J282" s="78" t="n">
        <v>0</v>
      </c>
      <c r="K282" s="15" t="s">
        <v>168</v>
      </c>
      <c r="L282" s="15" t="s">
        <v>228</v>
      </c>
      <c r="M282" s="15"/>
      <c r="N282" s="15"/>
      <c r="O282" s="15"/>
      <c r="P282" s="37" t="n">
        <v>4.15</v>
      </c>
      <c r="Q282" s="37" t="n">
        <v>3.11</v>
      </c>
      <c r="R282" s="47" t="n">
        <f aca="false">INT(B282)</f>
        <v>46203</v>
      </c>
      <c r="S282" s="15" t="n">
        <f aca="false">IF(AND(I282=TRUE(),COUNTIFS($R$5:R282,R282,$I$5:I282,TRUE())=1),1,0)</f>
        <v>0</v>
      </c>
      <c r="T282" s="69" t="n">
        <v>0.5</v>
      </c>
      <c r="U282" s="37" t="n">
        <v>3.46</v>
      </c>
      <c r="V282" s="37" t="n">
        <v>1.4140375</v>
      </c>
      <c r="W282" s="37" t="n">
        <v>1.04</v>
      </c>
      <c r="X282" s="15" t="s">
        <v>101</v>
      </c>
      <c r="Y282" s="47" t="n">
        <v>46202</v>
      </c>
    </row>
    <row r="283" customFormat="false" ht="15" hidden="false" customHeight="false" outlineLevel="0" collapsed="false">
      <c r="A283" s="13" t="n">
        <v>5285094601</v>
      </c>
      <c r="B283" s="74" t="n">
        <v>46203.9655671296</v>
      </c>
      <c r="C283" s="74" t="n">
        <v>46203.9664351852</v>
      </c>
      <c r="D283" s="30" t="n">
        <v>0.0208333333333333</v>
      </c>
      <c r="E283" s="30" t="n">
        <v>0</v>
      </c>
      <c r="F283" s="30" t="n">
        <v>0</v>
      </c>
      <c r="G283" s="13" t="s">
        <v>64</v>
      </c>
      <c r="H283" s="75" t="b">
        <f aca="false">FALSE()</f>
        <v>0</v>
      </c>
      <c r="I283" s="75" t="b">
        <f aca="false">TRUE()</f>
        <v>1</v>
      </c>
      <c r="J283" s="48"/>
      <c r="K283" s="13" t="s">
        <v>166</v>
      </c>
      <c r="L283" s="13" t="s">
        <v>222</v>
      </c>
      <c r="M283" s="13"/>
      <c r="N283" s="13"/>
      <c r="O283" s="13"/>
      <c r="P283" s="35"/>
      <c r="Q283" s="35"/>
      <c r="R283" s="46" t="n">
        <f aca="false">INT(B283)</f>
        <v>46203</v>
      </c>
      <c r="S283" s="13" t="n">
        <f aca="false">IF(AND(I283=TRUE(),COUNTIFS($R$5:R283,R283,$I$5:I283,TRUE())=1),1,0)</f>
        <v>1</v>
      </c>
      <c r="T283" s="70"/>
      <c r="U283" s="35"/>
      <c r="V283" s="35"/>
      <c r="W283" s="35"/>
      <c r="X283" s="13" t="s">
        <v>101</v>
      </c>
      <c r="Y283" s="46" t="n">
        <v>46202</v>
      </c>
    </row>
    <row r="284" customFormat="false" ht="15" hidden="false" customHeight="false" outlineLevel="0" collapsed="false">
      <c r="A284" s="15" t="n">
        <v>5285115921</v>
      </c>
      <c r="B284" s="76" t="n">
        <v>46203.9690856482</v>
      </c>
      <c r="C284" s="76" t="n">
        <v>46203.9704166667</v>
      </c>
      <c r="D284" s="31" t="n">
        <v>0.0319444444444444</v>
      </c>
      <c r="E284" s="31" t="n">
        <v>0</v>
      </c>
      <c r="F284" s="31" t="n">
        <v>0</v>
      </c>
      <c r="G284" s="15" t="s">
        <v>64</v>
      </c>
      <c r="H284" s="77" t="b">
        <f aca="false">FALSE()</f>
        <v>0</v>
      </c>
      <c r="I284" s="77" t="b">
        <f aca="false">TRUE()</f>
        <v>1</v>
      </c>
      <c r="J284" s="78"/>
      <c r="K284" s="15" t="s">
        <v>168</v>
      </c>
      <c r="L284" s="15" t="s">
        <v>222</v>
      </c>
      <c r="M284" s="15"/>
      <c r="N284" s="15"/>
      <c r="O284" s="15"/>
      <c r="P284" s="37"/>
      <c r="Q284" s="37"/>
      <c r="R284" s="47" t="n">
        <f aca="false">INT(B284)</f>
        <v>46203</v>
      </c>
      <c r="S284" s="15" t="n">
        <f aca="false">IF(AND(I284=TRUE(),COUNTIFS($R$5:R284,R284,$I$5:I284,TRUE())=1),1,0)</f>
        <v>0</v>
      </c>
      <c r="T284" s="69"/>
      <c r="U284" s="37"/>
      <c r="V284" s="37"/>
      <c r="W284" s="37"/>
      <c r="X284" s="15" t="s">
        <v>101</v>
      </c>
      <c r="Y284" s="47" t="n">
        <v>46202</v>
      </c>
    </row>
    <row r="285" customFormat="false" ht="15" hidden="false" customHeight="false" outlineLevel="0" collapsed="false">
      <c r="A285" s="13" t="n">
        <v>5285117891</v>
      </c>
      <c r="B285" s="74" t="n">
        <v>46203.9708564815</v>
      </c>
      <c r="C285" s="74" t="n">
        <v>46204.0424074074</v>
      </c>
      <c r="D285" s="30" t="n">
        <v>1.71722222222222</v>
      </c>
      <c r="E285" s="30" t="n">
        <v>9.448799</v>
      </c>
      <c r="F285" s="30" t="n">
        <v>6.4264</v>
      </c>
      <c r="G285" s="13" t="s">
        <v>64</v>
      </c>
      <c r="H285" s="75" t="b">
        <f aca="false">FALSE()</f>
        <v>0</v>
      </c>
      <c r="I285" s="75" t="b">
        <f aca="false">TRUE()</f>
        <v>1</v>
      </c>
      <c r="J285" s="48" t="n">
        <v>0</v>
      </c>
      <c r="K285" s="13" t="s">
        <v>168</v>
      </c>
      <c r="L285" s="13" t="s">
        <v>222</v>
      </c>
      <c r="M285" s="13" t="s">
        <v>225</v>
      </c>
      <c r="N285" s="13"/>
      <c r="O285" s="13" t="s">
        <v>224</v>
      </c>
      <c r="P285" s="35" t="n">
        <v>14.36</v>
      </c>
      <c r="Q285" s="35" t="n">
        <v>11.98</v>
      </c>
      <c r="R285" s="46" t="n">
        <f aca="false">INT(B285)</f>
        <v>46203</v>
      </c>
      <c r="S285" s="13" t="n">
        <f aca="false">IF(AND(I285=TRUE(),COUNTIFS($R$5:R285,R285,$I$5:I285,TRUE())=1),1,0)</f>
        <v>0</v>
      </c>
      <c r="T285" s="70" t="n">
        <v>0.5</v>
      </c>
      <c r="U285" s="35" t="n">
        <v>13.31</v>
      </c>
      <c r="V285" s="35" t="n">
        <v>4.7243995</v>
      </c>
      <c r="W285" s="35" t="n">
        <v>2.38</v>
      </c>
      <c r="X285" s="13" t="s">
        <v>101</v>
      </c>
      <c r="Y285" s="46" t="n">
        <v>46202</v>
      </c>
    </row>
    <row r="286" customFormat="false" ht="15" hidden="false" customHeight="false" outlineLevel="0" collapsed="false">
      <c r="A286" s="15" t="n">
        <v>5291586711</v>
      </c>
      <c r="B286" s="76" t="n">
        <v>46205.8866319444</v>
      </c>
      <c r="C286" s="76" t="n">
        <v>46205.9165856482</v>
      </c>
      <c r="D286" s="31" t="n">
        <v>0.718888888888889</v>
      </c>
      <c r="E286" s="31" t="n">
        <v>24.9589</v>
      </c>
      <c r="F286" s="31" t="n">
        <v>35.921</v>
      </c>
      <c r="G286" s="15" t="s">
        <v>63</v>
      </c>
      <c r="H286" s="77" t="b">
        <f aca="false">TRUE()</f>
        <v>1</v>
      </c>
      <c r="I286" s="77" t="b">
        <f aca="false">FALSE()</f>
        <v>0</v>
      </c>
      <c r="J286" s="78" t="n">
        <v>1</v>
      </c>
      <c r="K286" s="15" t="s">
        <v>166</v>
      </c>
      <c r="L286" s="15" t="s">
        <v>228</v>
      </c>
      <c r="M286" s="15"/>
      <c r="N286" s="15"/>
      <c r="O286" s="15"/>
      <c r="P286" s="37" t="n">
        <v>18.03</v>
      </c>
      <c r="Q286" s="37" t="n">
        <v>14.46</v>
      </c>
      <c r="R286" s="47" t="n">
        <f aca="false">INT(B286)</f>
        <v>46205</v>
      </c>
      <c r="S286" s="15" t="n">
        <f aca="false">IF(AND(I286=TRUE(),COUNTIFS($R$5:R286,R286,$I$5:I286,TRUE())=1),1,0)</f>
        <v>0</v>
      </c>
      <c r="T286" s="69" t="n">
        <v>0.5</v>
      </c>
      <c r="U286" s="37" t="n">
        <v>16.07</v>
      </c>
      <c r="V286" s="37" t="n">
        <v>12.47945</v>
      </c>
      <c r="W286" s="37" t="n">
        <v>3.57</v>
      </c>
      <c r="X286" s="15" t="s">
        <v>103</v>
      </c>
      <c r="Y286" s="47" t="n">
        <v>46202</v>
      </c>
    </row>
    <row r="287" customFormat="false" ht="15" hidden="false" customHeight="false" outlineLevel="0" collapsed="false">
      <c r="A287" s="13" t="n">
        <v>5294369691</v>
      </c>
      <c r="B287" s="74" t="n">
        <v>46206.8680787037</v>
      </c>
      <c r="C287" s="74" t="n">
        <v>46206.8746296296</v>
      </c>
      <c r="D287" s="30" t="n">
        <v>0.157222222222222</v>
      </c>
      <c r="E287" s="30" t="n">
        <v>5.3948</v>
      </c>
      <c r="F287" s="30" t="n">
        <v>36.831</v>
      </c>
      <c r="G287" s="13" t="s">
        <v>63</v>
      </c>
      <c r="H287" s="75" t="b">
        <f aca="false">TRUE()</f>
        <v>1</v>
      </c>
      <c r="I287" s="75" t="b">
        <f aca="false">FALSE()</f>
        <v>0</v>
      </c>
      <c r="J287" s="48"/>
      <c r="K287" s="13" t="s">
        <v>166</v>
      </c>
      <c r="L287" s="13" t="s">
        <v>228</v>
      </c>
      <c r="M287" s="13"/>
      <c r="N287" s="13"/>
      <c r="O287" s="13"/>
      <c r="P287" s="35" t="n">
        <v>4.68</v>
      </c>
      <c r="Q287" s="35" t="n">
        <v>3.13</v>
      </c>
      <c r="R287" s="46" t="n">
        <f aca="false">INT(B287)</f>
        <v>46206</v>
      </c>
      <c r="S287" s="13" t="n">
        <f aca="false">IF(AND(I287=TRUE(),COUNTIFS($R$5:R287,R287,$I$5:I287,TRUE())=1),1,0)</f>
        <v>0</v>
      </c>
      <c r="T287" s="70" t="n">
        <v>0.5</v>
      </c>
      <c r="U287" s="35" t="n">
        <v>3.48</v>
      </c>
      <c r="V287" s="35" t="n">
        <v>2.6974</v>
      </c>
      <c r="W287" s="35" t="n">
        <v>1.55</v>
      </c>
      <c r="X287" s="13" t="s">
        <v>104</v>
      </c>
      <c r="Y287" s="46" t="n">
        <v>46202</v>
      </c>
    </row>
    <row r="288" customFormat="false" ht="15" hidden="false" customHeight="false" outlineLevel="0" collapsed="false">
      <c r="A288" s="15" t="n">
        <v>5294457821</v>
      </c>
      <c r="B288" s="76" t="n">
        <v>46206.8921412037</v>
      </c>
      <c r="C288" s="76" t="n">
        <v>46206.9141666667</v>
      </c>
      <c r="D288" s="31" t="n">
        <v>0.528611111111111</v>
      </c>
      <c r="E288" s="31" t="n">
        <v>18.0934</v>
      </c>
      <c r="F288" s="31" t="n">
        <v>35.833</v>
      </c>
      <c r="G288" s="15" t="s">
        <v>63</v>
      </c>
      <c r="H288" s="77" t="b">
        <f aca="false">TRUE()</f>
        <v>1</v>
      </c>
      <c r="I288" s="77" t="b">
        <f aca="false">FALSE()</f>
        <v>0</v>
      </c>
      <c r="J288" s="78" t="n">
        <v>1</v>
      </c>
      <c r="K288" s="15" t="s">
        <v>166</v>
      </c>
      <c r="L288" s="15" t="s">
        <v>222</v>
      </c>
      <c r="M288" s="15" t="s">
        <v>353</v>
      </c>
      <c r="N288" s="15"/>
      <c r="O288" s="15" t="s">
        <v>227</v>
      </c>
      <c r="P288" s="37" t="n">
        <v>12.88</v>
      </c>
      <c r="Q288" s="37" t="n">
        <v>10.52</v>
      </c>
      <c r="R288" s="47" t="n">
        <f aca="false">INT(B288)</f>
        <v>46206</v>
      </c>
      <c r="S288" s="15" t="n">
        <f aca="false">IF(AND(I288=TRUE(),COUNTIFS($R$5:R288,R288,$I$5:I288,TRUE())=1),1,0)</f>
        <v>0</v>
      </c>
      <c r="T288" s="69" t="n">
        <v>0.5</v>
      </c>
      <c r="U288" s="37" t="n">
        <v>11.69</v>
      </c>
      <c r="V288" s="37" t="n">
        <v>9.0467</v>
      </c>
      <c r="W288" s="37" t="n">
        <v>2.36</v>
      </c>
      <c r="X288" s="15" t="s">
        <v>104</v>
      </c>
      <c r="Y288" s="47" t="n">
        <v>46202</v>
      </c>
    </row>
    <row r="289" customFormat="false" ht="15" hidden="false" customHeight="false" outlineLevel="0" collapsed="false">
      <c r="A289" s="13" t="n">
        <v>5300107181</v>
      </c>
      <c r="B289" s="74" t="n">
        <v>46208.6490625</v>
      </c>
      <c r="C289" s="74" t="n">
        <v>46208.6687037037</v>
      </c>
      <c r="D289" s="30" t="n">
        <v>0.471388888888889</v>
      </c>
      <c r="E289" s="30" t="n">
        <v>16.0578</v>
      </c>
      <c r="F289" s="30" t="n">
        <v>36.544</v>
      </c>
      <c r="G289" s="13" t="s">
        <v>62</v>
      </c>
      <c r="H289" s="75" t="b">
        <f aca="false">TRUE()</f>
        <v>1</v>
      </c>
      <c r="I289" s="75" t="b">
        <f aca="false">FALSE()</f>
        <v>0</v>
      </c>
      <c r="J289" s="48" t="n">
        <v>1</v>
      </c>
      <c r="K289" s="13" t="s">
        <v>166</v>
      </c>
      <c r="L289" s="13" t="s">
        <v>222</v>
      </c>
      <c r="M289" s="13" t="s">
        <v>354</v>
      </c>
      <c r="N289" s="13" t="s">
        <v>355</v>
      </c>
      <c r="O289" s="13" t="s">
        <v>292</v>
      </c>
      <c r="P289" s="35" t="n">
        <v>11.5</v>
      </c>
      <c r="Q289" s="35" t="n">
        <v>9.35</v>
      </c>
      <c r="R289" s="46" t="n">
        <f aca="false">INT(B289)</f>
        <v>46208</v>
      </c>
      <c r="S289" s="13" t="n">
        <f aca="false">IF(AND(I289=TRUE(),COUNTIFS($R$5:R289,R289,$I$5:I289,TRUE())=1),1,0)</f>
        <v>0</v>
      </c>
      <c r="T289" s="70" t="n">
        <v>0.5</v>
      </c>
      <c r="U289" s="35" t="n">
        <v>10.39</v>
      </c>
      <c r="V289" s="35" t="n">
        <v>8.0289</v>
      </c>
      <c r="W289" s="35" t="n">
        <v>2.15</v>
      </c>
      <c r="X289" s="13" t="s">
        <v>106</v>
      </c>
      <c r="Y289" s="46" t="n">
        <v>46202</v>
      </c>
    </row>
    <row r="290" customFormat="false" ht="15" hidden="false" customHeight="false" outlineLevel="0" collapsed="false">
      <c r="A290" s="15" t="n">
        <v>5300880821</v>
      </c>
      <c r="B290" s="76" t="n">
        <v>46208.8991782407</v>
      </c>
      <c r="C290" s="76" t="n">
        <v>46208.8996296296</v>
      </c>
      <c r="D290" s="31" t="n">
        <v>0.0108333333333333</v>
      </c>
      <c r="E290" s="31" t="n">
        <v>0</v>
      </c>
      <c r="F290" s="31" t="n">
        <v>0</v>
      </c>
      <c r="G290" s="15" t="s">
        <v>63</v>
      </c>
      <c r="H290" s="77" t="b">
        <f aca="false">FALSE()</f>
        <v>0</v>
      </c>
      <c r="I290" s="77" t="b">
        <f aca="false">FALSE()</f>
        <v>0</v>
      </c>
      <c r="J290" s="78"/>
      <c r="K290" s="15" t="s">
        <v>166</v>
      </c>
      <c r="L290" s="15" t="s">
        <v>228</v>
      </c>
      <c r="M290" s="15"/>
      <c r="N290" s="15"/>
      <c r="O290" s="15"/>
      <c r="P290" s="37"/>
      <c r="Q290" s="37"/>
      <c r="R290" s="47" t="n">
        <f aca="false">INT(B290)</f>
        <v>46208</v>
      </c>
      <c r="S290" s="15" t="n">
        <f aca="false">IF(AND(I290=TRUE(),COUNTIFS($R$5:R290,R290,$I$5:I290,TRUE())=1),1,0)</f>
        <v>0</v>
      </c>
      <c r="T290" s="69"/>
      <c r="U290" s="37"/>
      <c r="V290" s="37"/>
      <c r="W290" s="37"/>
      <c r="X290" s="15" t="s">
        <v>106</v>
      </c>
      <c r="Y290" s="47" t="n">
        <v>46202</v>
      </c>
    </row>
    <row r="291" customFormat="false" ht="15" hidden="false" customHeight="false" outlineLevel="0" collapsed="false">
      <c r="A291" s="13" t="n">
        <v>5306718701</v>
      </c>
      <c r="B291" s="74" t="n">
        <v>46210.7636342593</v>
      </c>
      <c r="C291" s="74" t="n">
        <v>46210.7960185185</v>
      </c>
      <c r="D291" s="30" t="n">
        <v>0.777222222222222</v>
      </c>
      <c r="E291" s="30" t="n">
        <v>29.0876</v>
      </c>
      <c r="F291" s="30" t="n">
        <v>39.583</v>
      </c>
      <c r="G291" s="13" t="s">
        <v>63</v>
      </c>
      <c r="H291" s="75" t="b">
        <f aca="false">TRUE()</f>
        <v>1</v>
      </c>
      <c r="I291" s="75" t="b">
        <f aca="false">FALSE()</f>
        <v>0</v>
      </c>
      <c r="J291" s="48" t="n">
        <v>1</v>
      </c>
      <c r="K291" s="13" t="s">
        <v>166</v>
      </c>
      <c r="L291" s="13" t="s">
        <v>222</v>
      </c>
      <c r="M291" s="13" t="s">
        <v>225</v>
      </c>
      <c r="N291" s="13"/>
      <c r="O291" s="13" t="s">
        <v>224</v>
      </c>
      <c r="P291" s="35" t="n">
        <v>19.47</v>
      </c>
      <c r="Q291" s="35" t="n">
        <v>16.53</v>
      </c>
      <c r="R291" s="46" t="n">
        <f aca="false">INT(B291)</f>
        <v>46210</v>
      </c>
      <c r="S291" s="13" t="n">
        <f aca="false">IF(AND(I291=TRUE(),COUNTIFS($R$5:R291,R291,$I$5:I291,TRUE())=1),1,0)</f>
        <v>0</v>
      </c>
      <c r="T291" s="70" t="n">
        <v>0.5</v>
      </c>
      <c r="U291" s="35" t="n">
        <v>18.37</v>
      </c>
      <c r="V291" s="35" t="n">
        <v>14.5438</v>
      </c>
      <c r="W291" s="35" t="n">
        <v>2.94</v>
      </c>
      <c r="X291" s="13" t="s">
        <v>101</v>
      </c>
      <c r="Y291" s="46" t="n">
        <v>46209</v>
      </c>
    </row>
    <row r="292" customFormat="false" ht="15" hidden="false" customHeight="false" outlineLevel="0" collapsed="false">
      <c r="A292" s="15" t="n">
        <v>5312043551</v>
      </c>
      <c r="B292" s="76" t="n">
        <v>46212.1677199074</v>
      </c>
      <c r="C292" s="76" t="n">
        <v>46212.3225347222</v>
      </c>
      <c r="D292" s="31" t="n">
        <v>3.71555555555556</v>
      </c>
      <c r="E292" s="31" t="n">
        <v>12.304789</v>
      </c>
      <c r="F292" s="31" t="n">
        <v>3.3526</v>
      </c>
      <c r="G292" s="15" t="s">
        <v>64</v>
      </c>
      <c r="H292" s="77" t="b">
        <f aca="false">FALSE()</f>
        <v>0</v>
      </c>
      <c r="I292" s="77" t="b">
        <f aca="false">TRUE()</f>
        <v>1</v>
      </c>
      <c r="J292" s="78" t="n">
        <v>0</v>
      </c>
      <c r="K292" s="15" t="s">
        <v>168</v>
      </c>
      <c r="L292" s="15" t="s">
        <v>228</v>
      </c>
      <c r="M292" s="15"/>
      <c r="N292" s="15"/>
      <c r="O292" s="15"/>
      <c r="P292" s="37" t="n">
        <v>26.7</v>
      </c>
      <c r="Q292" s="37" t="n">
        <v>22.26</v>
      </c>
      <c r="R292" s="47" t="n">
        <f aca="false">INT(B292)</f>
        <v>46212</v>
      </c>
      <c r="S292" s="15" t="n">
        <f aca="false">IF(AND(I292=TRUE(),COUNTIFS($R$5:R292,R292,$I$5:I292,TRUE())=1),1,0)</f>
        <v>1</v>
      </c>
      <c r="T292" s="69" t="n">
        <v>0.5</v>
      </c>
      <c r="U292" s="37" t="n">
        <v>24.73</v>
      </c>
      <c r="V292" s="37" t="n">
        <v>6.1523945</v>
      </c>
      <c r="W292" s="37" t="n">
        <v>4.44</v>
      </c>
      <c r="X292" s="15" t="s">
        <v>103</v>
      </c>
      <c r="Y292" s="47" t="n">
        <v>46209</v>
      </c>
    </row>
    <row r="293" customFormat="false" ht="15" hidden="false" customHeight="false" outlineLevel="0" collapsed="false">
      <c r="B293" s="79"/>
      <c r="C293" s="7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43" t="s">
        <v>356</v>
      </c>
    </row>
    <row r="2" customFormat="false" ht="15" hidden="false" customHeight="false" outlineLevel="0" collapsed="false">
      <c r="A2" s="22" t="s">
        <v>357</v>
      </c>
    </row>
    <row r="4" customFormat="false" ht="23.85" hidden="false" customHeight="false" outlineLevel="0" collapsed="false">
      <c r="A4" s="72" t="s">
        <v>81</v>
      </c>
      <c r="B4" s="72" t="s">
        <v>358</v>
      </c>
    </row>
    <row r="5" customFormat="false" ht="15" hidden="false" customHeight="false" outlineLevel="0" collapsed="false">
      <c r="A5" s="46" t="n">
        <v>45850</v>
      </c>
      <c r="B5" s="30" t="n">
        <v>0</v>
      </c>
    </row>
    <row r="6" customFormat="false" ht="15" hidden="false" customHeight="false" outlineLevel="0" collapsed="false">
      <c r="A6" s="47" t="n">
        <v>45851</v>
      </c>
      <c r="B6" s="31" t="n">
        <v>0</v>
      </c>
    </row>
    <row r="7" customFormat="false" ht="15" hidden="false" customHeight="false" outlineLevel="0" collapsed="false">
      <c r="A7" s="46" t="n">
        <v>45852</v>
      </c>
      <c r="B7" s="30" t="n">
        <v>0</v>
      </c>
    </row>
    <row r="8" customFormat="false" ht="15" hidden="false" customHeight="false" outlineLevel="0" collapsed="false">
      <c r="A8" s="47" t="n">
        <v>45853</v>
      </c>
      <c r="B8" s="31" t="n">
        <v>0</v>
      </c>
    </row>
    <row r="9" customFormat="false" ht="15" hidden="false" customHeight="false" outlineLevel="0" collapsed="false">
      <c r="A9" s="46" t="n">
        <v>45854</v>
      </c>
      <c r="B9" s="30" t="n">
        <v>0</v>
      </c>
    </row>
    <row r="10" customFormat="false" ht="15" hidden="false" customHeight="false" outlineLevel="0" collapsed="false">
      <c r="A10" s="47" t="n">
        <v>45855</v>
      </c>
      <c r="B10" s="31" t="n">
        <v>0</v>
      </c>
    </row>
    <row r="11" customFormat="false" ht="15" hidden="false" customHeight="false" outlineLevel="0" collapsed="false">
      <c r="A11" s="46" t="n">
        <v>45856</v>
      </c>
      <c r="B11" s="30" t="n">
        <v>0</v>
      </c>
    </row>
    <row r="12" customFormat="false" ht="15" hidden="false" customHeight="false" outlineLevel="0" collapsed="false">
      <c r="A12" s="47" t="n">
        <v>45857</v>
      </c>
      <c r="B12" s="31" t="n">
        <v>0</v>
      </c>
    </row>
    <row r="13" customFormat="false" ht="15" hidden="false" customHeight="false" outlineLevel="0" collapsed="false">
      <c r="A13" s="46" t="n">
        <v>45858</v>
      </c>
      <c r="B13" s="30" t="n">
        <v>0</v>
      </c>
    </row>
    <row r="14" customFormat="false" ht="15" hidden="false" customHeight="false" outlineLevel="0" collapsed="false">
      <c r="A14" s="47" t="n">
        <v>45859</v>
      </c>
      <c r="B14" s="31" t="n">
        <v>0</v>
      </c>
    </row>
    <row r="15" customFormat="false" ht="15" hidden="false" customHeight="false" outlineLevel="0" collapsed="false">
      <c r="A15" s="46" t="n">
        <v>45860</v>
      </c>
      <c r="B15" s="30" t="n">
        <v>0</v>
      </c>
    </row>
    <row r="16" customFormat="false" ht="15" hidden="false" customHeight="false" outlineLevel="0" collapsed="false">
      <c r="A16" s="47" t="n">
        <v>45861</v>
      </c>
      <c r="B16" s="31" t="n">
        <v>0</v>
      </c>
    </row>
    <row r="17" customFormat="false" ht="15" hidden="false" customHeight="false" outlineLevel="0" collapsed="false">
      <c r="A17" s="46" t="n">
        <v>45862</v>
      </c>
      <c r="B17" s="30" t="n">
        <v>0</v>
      </c>
    </row>
    <row r="18" customFormat="false" ht="15" hidden="false" customHeight="false" outlineLevel="0" collapsed="false">
      <c r="A18" s="47" t="n">
        <v>45863</v>
      </c>
      <c r="B18" s="31" t="n">
        <v>0</v>
      </c>
    </row>
    <row r="19" customFormat="false" ht="15" hidden="false" customHeight="false" outlineLevel="0" collapsed="false">
      <c r="A19" s="46" t="n">
        <v>45864</v>
      </c>
      <c r="B19" s="30" t="n">
        <v>0</v>
      </c>
    </row>
    <row r="20" customFormat="false" ht="15" hidden="false" customHeight="false" outlineLevel="0" collapsed="false">
      <c r="A20" s="47" t="n">
        <v>45865</v>
      </c>
      <c r="B20" s="31" t="n">
        <v>0</v>
      </c>
    </row>
    <row r="21" customFormat="false" ht="15" hidden="false" customHeight="false" outlineLevel="0" collapsed="false">
      <c r="A21" s="46" t="n">
        <v>45866</v>
      </c>
      <c r="B21" s="30" t="n">
        <v>0</v>
      </c>
    </row>
    <row r="22" customFormat="false" ht="15" hidden="false" customHeight="false" outlineLevel="0" collapsed="false">
      <c r="A22" s="47" t="n">
        <v>45867</v>
      </c>
      <c r="B22" s="31" t="n">
        <v>0</v>
      </c>
    </row>
    <row r="23" customFormat="false" ht="15" hidden="false" customHeight="false" outlineLevel="0" collapsed="false">
      <c r="A23" s="46" t="n">
        <v>45868</v>
      </c>
      <c r="B23" s="30" t="n">
        <v>0</v>
      </c>
    </row>
    <row r="24" customFormat="false" ht="15" hidden="false" customHeight="false" outlineLevel="0" collapsed="false">
      <c r="A24" s="47" t="n">
        <v>45869</v>
      </c>
      <c r="B24" s="31" t="n">
        <v>0</v>
      </c>
    </row>
    <row r="25" customFormat="false" ht="15" hidden="false" customHeight="false" outlineLevel="0" collapsed="false">
      <c r="A25" s="46" t="n">
        <v>45870</v>
      </c>
      <c r="B25" s="30" t="n">
        <v>0</v>
      </c>
    </row>
    <row r="26" customFormat="false" ht="15" hidden="false" customHeight="false" outlineLevel="0" collapsed="false">
      <c r="A26" s="47" t="n">
        <v>45871</v>
      </c>
      <c r="B26" s="31" t="n">
        <v>0</v>
      </c>
    </row>
    <row r="27" customFormat="false" ht="15" hidden="false" customHeight="false" outlineLevel="0" collapsed="false">
      <c r="A27" s="46" t="n">
        <v>45872</v>
      </c>
      <c r="B27" s="30" t="n">
        <v>0</v>
      </c>
    </row>
    <row r="28" customFormat="false" ht="15" hidden="false" customHeight="false" outlineLevel="0" collapsed="false">
      <c r="A28" s="47" t="n">
        <v>45873</v>
      </c>
      <c r="B28" s="31" t="n">
        <v>0</v>
      </c>
    </row>
    <row r="29" customFormat="false" ht="15" hidden="false" customHeight="false" outlineLevel="0" collapsed="false">
      <c r="A29" s="46" t="n">
        <v>45874</v>
      </c>
      <c r="B29" s="30" t="n">
        <v>0</v>
      </c>
    </row>
    <row r="30" customFormat="false" ht="15" hidden="false" customHeight="false" outlineLevel="0" collapsed="false">
      <c r="A30" s="47" t="n">
        <v>45875</v>
      </c>
      <c r="B30" s="31" t="n">
        <v>0</v>
      </c>
    </row>
    <row r="31" customFormat="false" ht="15" hidden="false" customHeight="false" outlineLevel="0" collapsed="false">
      <c r="A31" s="46" t="n">
        <v>45876</v>
      </c>
      <c r="B31" s="30" t="n">
        <v>0</v>
      </c>
    </row>
    <row r="32" customFormat="false" ht="15" hidden="false" customHeight="false" outlineLevel="0" collapsed="false">
      <c r="A32" s="47" t="n">
        <v>45877</v>
      </c>
      <c r="B32" s="31" t="n">
        <v>0</v>
      </c>
    </row>
    <row r="33" customFormat="false" ht="15" hidden="false" customHeight="false" outlineLevel="0" collapsed="false">
      <c r="A33" s="46" t="n">
        <v>45878</v>
      </c>
      <c r="B33" s="30" t="n">
        <v>0</v>
      </c>
    </row>
    <row r="34" customFormat="false" ht="15" hidden="false" customHeight="false" outlineLevel="0" collapsed="false">
      <c r="A34" s="47" t="n">
        <v>45879</v>
      </c>
      <c r="B34" s="31" t="n">
        <v>0</v>
      </c>
    </row>
    <row r="35" customFormat="false" ht="15" hidden="false" customHeight="false" outlineLevel="0" collapsed="false">
      <c r="A35" s="46" t="n">
        <v>45880</v>
      </c>
      <c r="B35" s="30" t="n">
        <v>0</v>
      </c>
    </row>
    <row r="36" customFormat="false" ht="15" hidden="false" customHeight="false" outlineLevel="0" collapsed="false">
      <c r="A36" s="47" t="n">
        <v>45881</v>
      </c>
      <c r="B36" s="31" t="n">
        <v>0</v>
      </c>
    </row>
    <row r="37" customFormat="false" ht="15" hidden="false" customHeight="false" outlineLevel="0" collapsed="false">
      <c r="A37" s="46" t="n">
        <v>45882</v>
      </c>
      <c r="B37" s="30" t="n">
        <v>0</v>
      </c>
    </row>
    <row r="38" customFormat="false" ht="15" hidden="false" customHeight="false" outlineLevel="0" collapsed="false">
      <c r="A38" s="47" t="n">
        <v>45883</v>
      </c>
      <c r="B38" s="31" t="n">
        <v>0</v>
      </c>
    </row>
    <row r="39" customFormat="false" ht="15" hidden="false" customHeight="false" outlineLevel="0" collapsed="false">
      <c r="A39" s="46" t="n">
        <v>45884</v>
      </c>
      <c r="B39" s="30" t="n">
        <v>0</v>
      </c>
    </row>
    <row r="40" customFormat="false" ht="15" hidden="false" customHeight="false" outlineLevel="0" collapsed="false">
      <c r="A40" s="47" t="n">
        <v>45885</v>
      </c>
      <c r="B40" s="31" t="n">
        <v>0</v>
      </c>
    </row>
    <row r="41" customFormat="false" ht="15" hidden="false" customHeight="false" outlineLevel="0" collapsed="false">
      <c r="A41" s="46" t="n">
        <v>45886</v>
      </c>
      <c r="B41" s="30" t="n">
        <v>0</v>
      </c>
    </row>
    <row r="42" customFormat="false" ht="15" hidden="false" customHeight="false" outlineLevel="0" collapsed="false">
      <c r="A42" s="47" t="n">
        <v>45887</v>
      </c>
      <c r="B42" s="31" t="n">
        <v>0</v>
      </c>
    </row>
    <row r="43" customFormat="false" ht="15" hidden="false" customHeight="false" outlineLevel="0" collapsed="false">
      <c r="A43" s="46" t="n">
        <v>45888</v>
      </c>
      <c r="B43" s="30" t="n">
        <v>0</v>
      </c>
    </row>
    <row r="44" customFormat="false" ht="15" hidden="false" customHeight="false" outlineLevel="0" collapsed="false">
      <c r="A44" s="47" t="n">
        <v>45889</v>
      </c>
      <c r="B44" s="31" t="n">
        <v>0</v>
      </c>
    </row>
    <row r="45" customFormat="false" ht="15" hidden="false" customHeight="false" outlineLevel="0" collapsed="false">
      <c r="A45" s="46" t="n">
        <v>45890</v>
      </c>
      <c r="B45" s="30" t="n">
        <v>0</v>
      </c>
    </row>
    <row r="46" customFormat="false" ht="15" hidden="false" customHeight="false" outlineLevel="0" collapsed="false">
      <c r="A46" s="47" t="n">
        <v>45891</v>
      </c>
      <c r="B46" s="31" t="n">
        <v>0</v>
      </c>
    </row>
    <row r="47" customFormat="false" ht="15" hidden="false" customHeight="false" outlineLevel="0" collapsed="false">
      <c r="A47" s="46" t="n">
        <v>45892</v>
      </c>
      <c r="B47" s="30" t="n">
        <v>0</v>
      </c>
    </row>
    <row r="48" customFormat="false" ht="15" hidden="false" customHeight="false" outlineLevel="0" collapsed="false">
      <c r="A48" s="47" t="n">
        <v>45893</v>
      </c>
      <c r="B48" s="31" t="n">
        <v>0</v>
      </c>
    </row>
    <row r="49" customFormat="false" ht="15" hidden="false" customHeight="false" outlineLevel="0" collapsed="false">
      <c r="A49" s="46" t="n">
        <v>45894</v>
      </c>
      <c r="B49" s="30" t="n">
        <v>0</v>
      </c>
    </row>
    <row r="50" customFormat="false" ht="15" hidden="false" customHeight="false" outlineLevel="0" collapsed="false">
      <c r="A50" s="47" t="n">
        <v>45895</v>
      </c>
      <c r="B50" s="31" t="n">
        <v>0</v>
      </c>
    </row>
    <row r="51" customFormat="false" ht="15" hidden="false" customHeight="false" outlineLevel="0" collapsed="false">
      <c r="A51" s="46" t="n">
        <v>45896</v>
      </c>
      <c r="B51" s="30" t="n">
        <v>0</v>
      </c>
    </row>
    <row r="52" customFormat="false" ht="15" hidden="false" customHeight="false" outlineLevel="0" collapsed="false">
      <c r="A52" s="47" t="n">
        <v>45897</v>
      </c>
      <c r="B52" s="31" t="n">
        <v>0</v>
      </c>
    </row>
    <row r="53" customFormat="false" ht="15" hidden="false" customHeight="false" outlineLevel="0" collapsed="false">
      <c r="A53" s="46" t="n">
        <v>45898</v>
      </c>
      <c r="B53" s="30" t="n">
        <v>0</v>
      </c>
    </row>
    <row r="54" customFormat="false" ht="15" hidden="false" customHeight="false" outlineLevel="0" collapsed="false">
      <c r="A54" s="47" t="n">
        <v>45899</v>
      </c>
      <c r="B54" s="31" t="n">
        <v>0</v>
      </c>
    </row>
    <row r="55" customFormat="false" ht="15" hidden="false" customHeight="false" outlineLevel="0" collapsed="false">
      <c r="A55" s="46" t="n">
        <v>45900</v>
      </c>
      <c r="B55" s="30" t="n">
        <v>0</v>
      </c>
    </row>
    <row r="56" customFormat="false" ht="15" hidden="false" customHeight="false" outlineLevel="0" collapsed="false">
      <c r="A56" s="47" t="n">
        <v>45901</v>
      </c>
      <c r="B56" s="31" t="n">
        <v>0</v>
      </c>
    </row>
    <row r="57" customFormat="false" ht="15" hidden="false" customHeight="false" outlineLevel="0" collapsed="false">
      <c r="A57" s="46" t="n">
        <v>45902</v>
      </c>
      <c r="B57" s="30" t="n">
        <v>0</v>
      </c>
    </row>
    <row r="58" customFormat="false" ht="15" hidden="false" customHeight="false" outlineLevel="0" collapsed="false">
      <c r="A58" s="47" t="n">
        <v>45903</v>
      </c>
      <c r="B58" s="31" t="n">
        <v>0</v>
      </c>
    </row>
    <row r="59" customFormat="false" ht="15" hidden="false" customHeight="false" outlineLevel="0" collapsed="false">
      <c r="A59" s="46" t="n">
        <v>45904</v>
      </c>
      <c r="B59" s="30" t="n">
        <v>0</v>
      </c>
    </row>
    <row r="60" customFormat="false" ht="15" hidden="false" customHeight="false" outlineLevel="0" collapsed="false">
      <c r="A60" s="47" t="n">
        <v>45905</v>
      </c>
      <c r="B60" s="31" t="n">
        <v>0</v>
      </c>
    </row>
    <row r="61" customFormat="false" ht="15" hidden="false" customHeight="false" outlineLevel="0" collapsed="false">
      <c r="A61" s="46" t="n">
        <v>45906</v>
      </c>
      <c r="B61" s="30" t="n">
        <v>0</v>
      </c>
    </row>
    <row r="62" customFormat="false" ht="15" hidden="false" customHeight="false" outlineLevel="0" collapsed="false">
      <c r="A62" s="47" t="n">
        <v>45907</v>
      </c>
      <c r="B62" s="31" t="n">
        <v>0</v>
      </c>
    </row>
    <row r="63" customFormat="false" ht="15" hidden="false" customHeight="false" outlineLevel="0" collapsed="false">
      <c r="A63" s="46" t="n">
        <v>45908</v>
      </c>
      <c r="B63" s="30" t="n">
        <v>0</v>
      </c>
    </row>
    <row r="64" customFormat="false" ht="15" hidden="false" customHeight="false" outlineLevel="0" collapsed="false">
      <c r="A64" s="47" t="n">
        <v>45909</v>
      </c>
      <c r="B64" s="31" t="n">
        <v>0</v>
      </c>
    </row>
    <row r="65" customFormat="false" ht="15" hidden="false" customHeight="false" outlineLevel="0" collapsed="false">
      <c r="A65" s="46" t="n">
        <v>45910</v>
      </c>
      <c r="B65" s="30" t="n">
        <v>0</v>
      </c>
    </row>
    <row r="66" customFormat="false" ht="15" hidden="false" customHeight="false" outlineLevel="0" collapsed="false">
      <c r="A66" s="47" t="n">
        <v>45911</v>
      </c>
      <c r="B66" s="31" t="n">
        <v>0</v>
      </c>
    </row>
    <row r="67" customFormat="false" ht="15" hidden="false" customHeight="false" outlineLevel="0" collapsed="false">
      <c r="A67" s="46" t="n">
        <v>45912</v>
      </c>
      <c r="B67" s="30" t="n">
        <v>0</v>
      </c>
    </row>
    <row r="68" customFormat="false" ht="15" hidden="false" customHeight="false" outlineLevel="0" collapsed="false">
      <c r="A68" s="47" t="n">
        <v>45913</v>
      </c>
      <c r="B68" s="31" t="n">
        <v>0</v>
      </c>
    </row>
    <row r="69" customFormat="false" ht="15" hidden="false" customHeight="false" outlineLevel="0" collapsed="false">
      <c r="A69" s="46" t="n">
        <v>45914</v>
      </c>
      <c r="B69" s="30" t="n">
        <v>0</v>
      </c>
    </row>
    <row r="70" customFormat="false" ht="15" hidden="false" customHeight="false" outlineLevel="0" collapsed="false">
      <c r="A70" s="47" t="n">
        <v>45915</v>
      </c>
      <c r="B70" s="31" t="n">
        <v>0</v>
      </c>
    </row>
    <row r="71" customFormat="false" ht="15" hidden="false" customHeight="false" outlineLevel="0" collapsed="false">
      <c r="A71" s="46" t="n">
        <v>45916</v>
      </c>
      <c r="B71" s="30" t="n">
        <v>0</v>
      </c>
    </row>
    <row r="72" customFormat="false" ht="15" hidden="false" customHeight="false" outlineLevel="0" collapsed="false">
      <c r="A72" s="47" t="n">
        <v>45917</v>
      </c>
      <c r="B72" s="31" t="n">
        <v>0</v>
      </c>
    </row>
    <row r="73" customFormat="false" ht="15" hidden="false" customHeight="false" outlineLevel="0" collapsed="false">
      <c r="A73" s="46" t="n">
        <v>45918</v>
      </c>
      <c r="B73" s="30" t="n">
        <v>0</v>
      </c>
    </row>
    <row r="74" customFormat="false" ht="15" hidden="false" customHeight="false" outlineLevel="0" collapsed="false">
      <c r="A74" s="47" t="n">
        <v>45919</v>
      </c>
      <c r="B74" s="31" t="n">
        <v>0</v>
      </c>
    </row>
    <row r="75" customFormat="false" ht="15" hidden="false" customHeight="false" outlineLevel="0" collapsed="false">
      <c r="A75" s="46" t="n">
        <v>45920</v>
      </c>
      <c r="B75" s="30" t="n">
        <v>0</v>
      </c>
    </row>
    <row r="76" customFormat="false" ht="15" hidden="false" customHeight="false" outlineLevel="0" collapsed="false">
      <c r="A76" s="47" t="n">
        <v>45921</v>
      </c>
      <c r="B76" s="31" t="n">
        <v>0</v>
      </c>
    </row>
    <row r="77" customFormat="false" ht="15" hidden="false" customHeight="false" outlineLevel="0" collapsed="false">
      <c r="A77" s="46" t="n">
        <v>45922</v>
      </c>
      <c r="B77" s="30" t="n">
        <v>0</v>
      </c>
    </row>
    <row r="78" customFormat="false" ht="15" hidden="false" customHeight="false" outlineLevel="0" collapsed="false">
      <c r="A78" s="47" t="n">
        <v>45923</v>
      </c>
      <c r="B78" s="31" t="n">
        <v>0</v>
      </c>
    </row>
    <row r="79" customFormat="false" ht="15" hidden="false" customHeight="false" outlineLevel="0" collapsed="false">
      <c r="A79" s="46" t="n">
        <v>45924</v>
      </c>
      <c r="B79" s="30" t="n">
        <v>0</v>
      </c>
    </row>
    <row r="80" customFormat="false" ht="15" hidden="false" customHeight="false" outlineLevel="0" collapsed="false">
      <c r="A80" s="47" t="n">
        <v>45925</v>
      </c>
      <c r="B80" s="31" t="n">
        <v>0</v>
      </c>
    </row>
    <row r="81" customFormat="false" ht="15" hidden="false" customHeight="false" outlineLevel="0" collapsed="false">
      <c r="A81" s="46" t="n">
        <v>45926</v>
      </c>
      <c r="B81" s="30" t="n">
        <v>0</v>
      </c>
    </row>
    <row r="82" customFormat="false" ht="15" hidden="false" customHeight="false" outlineLevel="0" collapsed="false">
      <c r="A82" s="47" t="n">
        <v>45927</v>
      </c>
      <c r="B82" s="31" t="n">
        <v>0</v>
      </c>
    </row>
    <row r="83" customFormat="false" ht="15" hidden="false" customHeight="false" outlineLevel="0" collapsed="false">
      <c r="A83" s="46" t="n">
        <v>45928</v>
      </c>
      <c r="B83" s="30" t="n">
        <v>0</v>
      </c>
    </row>
    <row r="84" customFormat="false" ht="15" hidden="false" customHeight="false" outlineLevel="0" collapsed="false">
      <c r="A84" s="47" t="n">
        <v>45929</v>
      </c>
      <c r="B84" s="31" t="n">
        <v>0</v>
      </c>
    </row>
    <row r="85" customFormat="false" ht="15" hidden="false" customHeight="false" outlineLevel="0" collapsed="false">
      <c r="A85" s="46" t="n">
        <v>45930</v>
      </c>
      <c r="B85" s="30" t="n">
        <v>0</v>
      </c>
    </row>
    <row r="86" customFormat="false" ht="15" hidden="false" customHeight="false" outlineLevel="0" collapsed="false">
      <c r="A86" s="47" t="n">
        <v>45931</v>
      </c>
      <c r="B86" s="31" t="n">
        <v>0</v>
      </c>
    </row>
    <row r="87" customFormat="false" ht="15" hidden="false" customHeight="false" outlineLevel="0" collapsed="false">
      <c r="A87" s="46" t="n">
        <v>45932</v>
      </c>
      <c r="B87" s="30" t="n">
        <v>0</v>
      </c>
    </row>
    <row r="88" customFormat="false" ht="15" hidden="false" customHeight="false" outlineLevel="0" collapsed="false">
      <c r="A88" s="47" t="n">
        <v>45933</v>
      </c>
      <c r="B88" s="31" t="n">
        <v>0</v>
      </c>
    </row>
    <row r="89" customFormat="false" ht="15" hidden="false" customHeight="false" outlineLevel="0" collapsed="false">
      <c r="A89" s="46" t="n">
        <v>45934</v>
      </c>
      <c r="B89" s="30" t="n">
        <v>0</v>
      </c>
    </row>
    <row r="90" customFormat="false" ht="15" hidden="false" customHeight="false" outlineLevel="0" collapsed="false">
      <c r="A90" s="47" t="n">
        <v>45935</v>
      </c>
      <c r="B90" s="31" t="n">
        <v>0</v>
      </c>
    </row>
    <row r="91" customFormat="false" ht="15" hidden="false" customHeight="false" outlineLevel="0" collapsed="false">
      <c r="A91" s="46" t="n">
        <v>45936</v>
      </c>
      <c r="B91" s="30" t="n">
        <v>0</v>
      </c>
    </row>
    <row r="92" customFormat="false" ht="15" hidden="false" customHeight="false" outlineLevel="0" collapsed="false">
      <c r="A92" s="47" t="n">
        <v>45937</v>
      </c>
      <c r="B92" s="31" t="n">
        <v>0</v>
      </c>
    </row>
    <row r="93" customFormat="false" ht="15" hidden="false" customHeight="false" outlineLevel="0" collapsed="false">
      <c r="A93" s="46" t="n">
        <v>45938</v>
      </c>
      <c r="B93" s="30" t="n">
        <v>0</v>
      </c>
    </row>
    <row r="94" customFormat="false" ht="15" hidden="false" customHeight="false" outlineLevel="0" collapsed="false">
      <c r="A94" s="47" t="n">
        <v>45939</v>
      </c>
      <c r="B94" s="31" t="n">
        <v>0</v>
      </c>
    </row>
    <row r="95" customFormat="false" ht="15" hidden="false" customHeight="false" outlineLevel="0" collapsed="false">
      <c r="A95" s="46" t="n">
        <v>45940</v>
      </c>
      <c r="B95" s="30" t="n">
        <v>0</v>
      </c>
    </row>
    <row r="96" customFormat="false" ht="15" hidden="false" customHeight="false" outlineLevel="0" collapsed="false">
      <c r="A96" s="47" t="n">
        <v>45941</v>
      </c>
      <c r="B96" s="31" t="n">
        <v>0</v>
      </c>
    </row>
    <row r="97" customFormat="false" ht="15" hidden="false" customHeight="false" outlineLevel="0" collapsed="false">
      <c r="A97" s="46" t="n">
        <v>45942</v>
      </c>
      <c r="B97" s="30" t="n">
        <v>0</v>
      </c>
    </row>
    <row r="98" customFormat="false" ht="15" hidden="false" customHeight="false" outlineLevel="0" collapsed="false">
      <c r="A98" s="47" t="n">
        <v>45943</v>
      </c>
      <c r="B98" s="31" t="n">
        <v>0</v>
      </c>
    </row>
    <row r="99" customFormat="false" ht="15" hidden="false" customHeight="false" outlineLevel="0" collapsed="false">
      <c r="A99" s="46" t="n">
        <v>45944</v>
      </c>
      <c r="B99" s="30" t="n">
        <v>0</v>
      </c>
    </row>
    <row r="100" customFormat="false" ht="15" hidden="false" customHeight="false" outlineLevel="0" collapsed="false">
      <c r="A100" s="47" t="n">
        <v>45945</v>
      </c>
      <c r="B100" s="31" t="n">
        <v>8.484</v>
      </c>
    </row>
    <row r="101" customFormat="false" ht="15" hidden="false" customHeight="false" outlineLevel="0" collapsed="false">
      <c r="A101" s="46" t="n">
        <v>45946</v>
      </c>
      <c r="B101" s="30" t="n">
        <v>0</v>
      </c>
    </row>
    <row r="102" customFormat="false" ht="15" hidden="false" customHeight="false" outlineLevel="0" collapsed="false">
      <c r="A102" s="47" t="n">
        <v>45947</v>
      </c>
      <c r="B102" s="31" t="n">
        <v>0</v>
      </c>
    </row>
    <row r="103" customFormat="false" ht="15" hidden="false" customHeight="false" outlineLevel="0" collapsed="false">
      <c r="A103" s="46" t="n">
        <v>45948</v>
      </c>
      <c r="B103" s="30" t="n">
        <v>0</v>
      </c>
    </row>
    <row r="104" customFormat="false" ht="15" hidden="false" customHeight="false" outlineLevel="0" collapsed="false">
      <c r="A104" s="47" t="n">
        <v>45949</v>
      </c>
      <c r="B104" s="31" t="n">
        <v>14.088</v>
      </c>
    </row>
    <row r="105" customFormat="false" ht="15" hidden="false" customHeight="false" outlineLevel="0" collapsed="false">
      <c r="A105" s="46" t="n">
        <v>45950</v>
      </c>
      <c r="B105" s="30" t="n">
        <v>26.118</v>
      </c>
    </row>
    <row r="106" customFormat="false" ht="15" hidden="false" customHeight="false" outlineLevel="0" collapsed="false">
      <c r="A106" s="47" t="n">
        <v>45951</v>
      </c>
      <c r="B106" s="31" t="n">
        <v>55.605</v>
      </c>
    </row>
    <row r="107" customFormat="false" ht="15" hidden="false" customHeight="false" outlineLevel="0" collapsed="false">
      <c r="A107" s="46" t="n">
        <v>45952</v>
      </c>
      <c r="B107" s="30" t="n">
        <v>42.079</v>
      </c>
    </row>
    <row r="108" customFormat="false" ht="15" hidden="false" customHeight="false" outlineLevel="0" collapsed="false">
      <c r="A108" s="47" t="n">
        <v>45953</v>
      </c>
      <c r="B108" s="31" t="n">
        <v>0</v>
      </c>
    </row>
    <row r="109" customFormat="false" ht="15" hidden="false" customHeight="false" outlineLevel="0" collapsed="false">
      <c r="A109" s="46" t="n">
        <v>45954</v>
      </c>
      <c r="B109" s="30" t="n">
        <v>90.459</v>
      </c>
    </row>
    <row r="110" customFormat="false" ht="15" hidden="false" customHeight="false" outlineLevel="0" collapsed="false">
      <c r="A110" s="47" t="n">
        <v>45955</v>
      </c>
      <c r="B110" s="31" t="n">
        <v>5.303</v>
      </c>
    </row>
    <row r="111" customFormat="false" ht="15" hidden="false" customHeight="false" outlineLevel="0" collapsed="false">
      <c r="A111" s="46" t="n">
        <v>45956</v>
      </c>
      <c r="B111" s="30" t="n">
        <v>5.497</v>
      </c>
    </row>
    <row r="112" customFormat="false" ht="15" hidden="false" customHeight="false" outlineLevel="0" collapsed="false">
      <c r="A112" s="47" t="n">
        <v>45957</v>
      </c>
      <c r="B112" s="31" t="n">
        <v>50.316</v>
      </c>
    </row>
    <row r="113" customFormat="false" ht="15" hidden="false" customHeight="false" outlineLevel="0" collapsed="false">
      <c r="A113" s="46" t="n">
        <v>45958</v>
      </c>
      <c r="B113" s="30" t="n">
        <v>66.15</v>
      </c>
    </row>
    <row r="114" customFormat="false" ht="15" hidden="false" customHeight="false" outlineLevel="0" collapsed="false">
      <c r="A114" s="47" t="n">
        <v>45959</v>
      </c>
      <c r="B114" s="31" t="n">
        <v>0</v>
      </c>
    </row>
    <row r="115" customFormat="false" ht="15" hidden="false" customHeight="false" outlineLevel="0" collapsed="false">
      <c r="A115" s="46" t="n">
        <v>45960</v>
      </c>
      <c r="B115" s="30" t="n">
        <v>20.042</v>
      </c>
    </row>
    <row r="116" customFormat="false" ht="15" hidden="false" customHeight="false" outlineLevel="0" collapsed="false">
      <c r="A116" s="47" t="n">
        <v>45961</v>
      </c>
      <c r="B116" s="31" t="n">
        <v>87.582</v>
      </c>
    </row>
    <row r="117" customFormat="false" ht="15" hidden="false" customHeight="false" outlineLevel="0" collapsed="false">
      <c r="A117" s="46" t="n">
        <v>45962</v>
      </c>
      <c r="B117" s="30" t="n">
        <v>11.201</v>
      </c>
    </row>
    <row r="118" customFormat="false" ht="15" hidden="false" customHeight="false" outlineLevel="0" collapsed="false">
      <c r="A118" s="47" t="n">
        <v>45963</v>
      </c>
      <c r="B118" s="31" t="n">
        <v>0</v>
      </c>
    </row>
    <row r="119" customFormat="false" ht="15" hidden="false" customHeight="false" outlineLevel="0" collapsed="false">
      <c r="A119" s="46" t="n">
        <v>45964</v>
      </c>
      <c r="B119" s="30" t="n">
        <v>0</v>
      </c>
    </row>
    <row r="120" customFormat="false" ht="15" hidden="false" customHeight="false" outlineLevel="0" collapsed="false">
      <c r="A120" s="47" t="n">
        <v>45965</v>
      </c>
      <c r="B120" s="31" t="n">
        <v>41.458</v>
      </c>
    </row>
    <row r="121" customFormat="false" ht="15" hidden="false" customHeight="false" outlineLevel="0" collapsed="false">
      <c r="A121" s="46" t="n">
        <v>45966</v>
      </c>
      <c r="B121" s="30" t="n">
        <v>0</v>
      </c>
    </row>
    <row r="122" customFormat="false" ht="15" hidden="false" customHeight="false" outlineLevel="0" collapsed="false">
      <c r="A122" s="47" t="n">
        <v>45967</v>
      </c>
      <c r="B122" s="31" t="n">
        <v>0</v>
      </c>
    </row>
    <row r="123" customFormat="false" ht="15" hidden="false" customHeight="false" outlineLevel="0" collapsed="false">
      <c r="A123" s="46" t="n">
        <v>45968</v>
      </c>
      <c r="B123" s="30" t="n">
        <v>64.848</v>
      </c>
    </row>
    <row r="124" customFormat="false" ht="15" hidden="false" customHeight="false" outlineLevel="0" collapsed="false">
      <c r="A124" s="47" t="n">
        <v>45969</v>
      </c>
      <c r="B124" s="31" t="n">
        <v>16.564</v>
      </c>
    </row>
    <row r="125" customFormat="false" ht="15" hidden="false" customHeight="false" outlineLevel="0" collapsed="false">
      <c r="A125" s="46" t="n">
        <v>45970</v>
      </c>
      <c r="B125" s="30" t="n">
        <v>63.374</v>
      </c>
    </row>
    <row r="126" customFormat="false" ht="15" hidden="false" customHeight="false" outlineLevel="0" collapsed="false">
      <c r="A126" s="47" t="n">
        <v>45971</v>
      </c>
      <c r="B126" s="31" t="n">
        <v>36.359</v>
      </c>
    </row>
    <row r="127" customFormat="false" ht="15" hidden="false" customHeight="false" outlineLevel="0" collapsed="false">
      <c r="A127" s="46" t="n">
        <v>45972</v>
      </c>
      <c r="B127" s="30" t="n">
        <v>0</v>
      </c>
    </row>
    <row r="128" customFormat="false" ht="15" hidden="false" customHeight="false" outlineLevel="0" collapsed="false">
      <c r="A128" s="47" t="n">
        <v>45973</v>
      </c>
      <c r="B128" s="31" t="n">
        <v>0</v>
      </c>
    </row>
    <row r="129" customFormat="false" ht="15" hidden="false" customHeight="false" outlineLevel="0" collapsed="false">
      <c r="A129" s="46" t="n">
        <v>45974</v>
      </c>
      <c r="B129" s="30" t="n">
        <v>0</v>
      </c>
    </row>
    <row r="130" customFormat="false" ht="15" hidden="false" customHeight="false" outlineLevel="0" collapsed="false">
      <c r="A130" s="47" t="n">
        <v>45975</v>
      </c>
      <c r="B130" s="31" t="n">
        <v>62.974</v>
      </c>
    </row>
    <row r="131" customFormat="false" ht="15" hidden="false" customHeight="false" outlineLevel="0" collapsed="false">
      <c r="A131" s="46" t="n">
        <v>45976</v>
      </c>
      <c r="B131" s="30" t="n">
        <v>48.507</v>
      </c>
    </row>
    <row r="132" customFormat="false" ht="15" hidden="false" customHeight="false" outlineLevel="0" collapsed="false">
      <c r="A132" s="47" t="n">
        <v>45977</v>
      </c>
      <c r="B132" s="31" t="n">
        <v>34.246</v>
      </c>
    </row>
    <row r="133" customFormat="false" ht="15" hidden="false" customHeight="false" outlineLevel="0" collapsed="false">
      <c r="A133" s="46" t="n">
        <v>45978</v>
      </c>
      <c r="B133" s="30" t="n">
        <v>0</v>
      </c>
    </row>
    <row r="134" customFormat="false" ht="15" hidden="false" customHeight="false" outlineLevel="0" collapsed="false">
      <c r="A134" s="47" t="n">
        <v>45979</v>
      </c>
      <c r="B134" s="31" t="n">
        <v>72.029</v>
      </c>
    </row>
    <row r="135" customFormat="false" ht="15" hidden="false" customHeight="false" outlineLevel="0" collapsed="false">
      <c r="A135" s="46" t="n">
        <v>45980</v>
      </c>
      <c r="B135" s="30" t="n">
        <v>62.127</v>
      </c>
    </row>
    <row r="136" customFormat="false" ht="15" hidden="false" customHeight="false" outlineLevel="0" collapsed="false">
      <c r="A136" s="47" t="n">
        <v>45981</v>
      </c>
      <c r="B136" s="31" t="n">
        <v>0</v>
      </c>
    </row>
    <row r="137" customFormat="false" ht="15" hidden="false" customHeight="false" outlineLevel="0" collapsed="false">
      <c r="A137" s="46" t="n">
        <v>45982</v>
      </c>
      <c r="B137" s="30" t="n">
        <v>0</v>
      </c>
    </row>
    <row r="138" customFormat="false" ht="15" hidden="false" customHeight="false" outlineLevel="0" collapsed="false">
      <c r="A138" s="47" t="n">
        <v>45983</v>
      </c>
      <c r="B138" s="31" t="n">
        <v>0</v>
      </c>
    </row>
    <row r="139" customFormat="false" ht="15" hidden="false" customHeight="false" outlineLevel="0" collapsed="false">
      <c r="A139" s="46" t="n">
        <v>45984</v>
      </c>
      <c r="B139" s="30" t="n">
        <v>0</v>
      </c>
    </row>
    <row r="140" customFormat="false" ht="15" hidden="false" customHeight="false" outlineLevel="0" collapsed="false">
      <c r="A140" s="47" t="n">
        <v>45985</v>
      </c>
      <c r="B140" s="31" t="n">
        <v>0</v>
      </c>
    </row>
    <row r="141" customFormat="false" ht="15" hidden="false" customHeight="false" outlineLevel="0" collapsed="false">
      <c r="A141" s="46" t="n">
        <v>45986</v>
      </c>
      <c r="B141" s="30" t="n">
        <v>0</v>
      </c>
    </row>
    <row r="142" customFormat="false" ht="15" hidden="false" customHeight="false" outlineLevel="0" collapsed="false">
      <c r="A142" s="47" t="n">
        <v>45987</v>
      </c>
      <c r="B142" s="31" t="n">
        <v>0</v>
      </c>
    </row>
    <row r="143" customFormat="false" ht="15" hidden="false" customHeight="false" outlineLevel="0" collapsed="false">
      <c r="A143" s="46" t="n">
        <v>45988</v>
      </c>
      <c r="B143" s="30" t="n">
        <v>0</v>
      </c>
    </row>
    <row r="144" customFormat="false" ht="15" hidden="false" customHeight="false" outlineLevel="0" collapsed="false">
      <c r="A144" s="47" t="n">
        <v>45989</v>
      </c>
      <c r="B144" s="31" t="n">
        <v>119.159</v>
      </c>
    </row>
    <row r="145" customFormat="false" ht="15" hidden="false" customHeight="false" outlineLevel="0" collapsed="false">
      <c r="A145" s="46" t="n">
        <v>45990</v>
      </c>
      <c r="B145" s="30" t="n">
        <v>59.001</v>
      </c>
    </row>
    <row r="146" customFormat="false" ht="15" hidden="false" customHeight="false" outlineLevel="0" collapsed="false">
      <c r="A146" s="47" t="n">
        <v>45991</v>
      </c>
      <c r="B146" s="31" t="n">
        <v>26.723</v>
      </c>
    </row>
    <row r="147" customFormat="false" ht="15" hidden="false" customHeight="false" outlineLevel="0" collapsed="false">
      <c r="A147" s="46" t="n">
        <v>45992</v>
      </c>
      <c r="B147" s="30" t="n">
        <v>25.139</v>
      </c>
    </row>
    <row r="148" customFormat="false" ht="15" hidden="false" customHeight="false" outlineLevel="0" collapsed="false">
      <c r="A148" s="47" t="n">
        <v>45993</v>
      </c>
      <c r="B148" s="31" t="n">
        <v>0</v>
      </c>
    </row>
    <row r="149" customFormat="false" ht="15" hidden="false" customHeight="false" outlineLevel="0" collapsed="false">
      <c r="A149" s="46" t="n">
        <v>45994</v>
      </c>
      <c r="B149" s="30" t="n">
        <v>0</v>
      </c>
    </row>
    <row r="150" customFormat="false" ht="15" hidden="false" customHeight="false" outlineLevel="0" collapsed="false">
      <c r="A150" s="47" t="n">
        <v>45995</v>
      </c>
      <c r="B150" s="31" t="n">
        <v>20.333</v>
      </c>
    </row>
    <row r="151" customFormat="false" ht="15" hidden="false" customHeight="false" outlineLevel="0" collapsed="false">
      <c r="A151" s="46" t="n">
        <v>45996</v>
      </c>
      <c r="B151" s="30" t="n">
        <v>0</v>
      </c>
    </row>
    <row r="152" customFormat="false" ht="15" hidden="false" customHeight="false" outlineLevel="0" collapsed="false">
      <c r="A152" s="47" t="n">
        <v>45997</v>
      </c>
      <c r="B152" s="31" t="n">
        <v>0</v>
      </c>
    </row>
    <row r="153" customFormat="false" ht="15" hidden="false" customHeight="false" outlineLevel="0" collapsed="false">
      <c r="A153" s="46" t="n">
        <v>45998</v>
      </c>
      <c r="B153" s="30" t="n">
        <v>0</v>
      </c>
    </row>
    <row r="154" customFormat="false" ht="15" hidden="false" customHeight="false" outlineLevel="0" collapsed="false">
      <c r="A154" s="47" t="n">
        <v>45999</v>
      </c>
      <c r="B154" s="31" t="n">
        <v>0</v>
      </c>
    </row>
    <row r="155" customFormat="false" ht="15" hidden="false" customHeight="false" outlineLevel="0" collapsed="false">
      <c r="A155" s="46" t="n">
        <v>46000</v>
      </c>
      <c r="B155" s="30" t="n">
        <v>49.421</v>
      </c>
    </row>
    <row r="156" customFormat="false" ht="15" hidden="false" customHeight="false" outlineLevel="0" collapsed="false">
      <c r="A156" s="47" t="n">
        <v>46001</v>
      </c>
      <c r="B156" s="31" t="n">
        <v>29.438</v>
      </c>
    </row>
    <row r="157" customFormat="false" ht="15" hidden="false" customHeight="false" outlineLevel="0" collapsed="false">
      <c r="A157" s="46" t="n">
        <v>46002</v>
      </c>
      <c r="B157" s="30" t="n">
        <v>0</v>
      </c>
    </row>
    <row r="158" customFormat="false" ht="15" hidden="false" customHeight="false" outlineLevel="0" collapsed="false">
      <c r="A158" s="47" t="n">
        <v>46003</v>
      </c>
      <c r="B158" s="31" t="n">
        <v>3.499</v>
      </c>
    </row>
    <row r="159" customFormat="false" ht="15" hidden="false" customHeight="false" outlineLevel="0" collapsed="false">
      <c r="A159" s="46" t="n">
        <v>46004</v>
      </c>
      <c r="B159" s="30" t="n">
        <v>62.977</v>
      </c>
    </row>
    <row r="160" customFormat="false" ht="15" hidden="false" customHeight="false" outlineLevel="0" collapsed="false">
      <c r="A160" s="47" t="n">
        <v>46005</v>
      </c>
      <c r="B160" s="31" t="n">
        <v>22.838</v>
      </c>
    </row>
    <row r="161" customFormat="false" ht="15" hidden="false" customHeight="false" outlineLevel="0" collapsed="false">
      <c r="A161" s="46" t="n">
        <v>46006</v>
      </c>
      <c r="B161" s="30" t="n">
        <v>1.366</v>
      </c>
    </row>
    <row r="162" customFormat="false" ht="15" hidden="false" customHeight="false" outlineLevel="0" collapsed="false">
      <c r="A162" s="47" t="n">
        <v>46007</v>
      </c>
      <c r="B162" s="31" t="n">
        <v>39.279</v>
      </c>
    </row>
    <row r="163" customFormat="false" ht="15" hidden="false" customHeight="false" outlineLevel="0" collapsed="false">
      <c r="A163" s="46" t="n">
        <v>46008</v>
      </c>
      <c r="B163" s="30" t="n">
        <v>0</v>
      </c>
    </row>
    <row r="164" customFormat="false" ht="15" hidden="false" customHeight="false" outlineLevel="0" collapsed="false">
      <c r="A164" s="47" t="n">
        <v>46009</v>
      </c>
      <c r="B164" s="31" t="n">
        <v>18.467</v>
      </c>
    </row>
    <row r="165" customFormat="false" ht="15" hidden="false" customHeight="false" outlineLevel="0" collapsed="false">
      <c r="A165" s="46" t="n">
        <v>46010</v>
      </c>
      <c r="B165" s="30" t="n">
        <v>0</v>
      </c>
    </row>
    <row r="166" customFormat="false" ht="15" hidden="false" customHeight="false" outlineLevel="0" collapsed="false">
      <c r="A166" s="47" t="n">
        <v>46011</v>
      </c>
      <c r="B166" s="31" t="n">
        <v>43.573</v>
      </c>
    </row>
    <row r="167" customFormat="false" ht="15" hidden="false" customHeight="false" outlineLevel="0" collapsed="false">
      <c r="A167" s="46" t="n">
        <v>46012</v>
      </c>
      <c r="B167" s="30" t="n">
        <v>168.423</v>
      </c>
    </row>
    <row r="168" customFormat="false" ht="15" hidden="false" customHeight="false" outlineLevel="0" collapsed="false">
      <c r="A168" s="47" t="n">
        <v>46013</v>
      </c>
      <c r="B168" s="31" t="n">
        <v>79.815</v>
      </c>
    </row>
    <row r="169" customFormat="false" ht="15" hidden="false" customHeight="false" outlineLevel="0" collapsed="false">
      <c r="A169" s="46" t="n">
        <v>46014</v>
      </c>
      <c r="B169" s="30" t="n">
        <v>50.119</v>
      </c>
    </row>
    <row r="170" customFormat="false" ht="15" hidden="false" customHeight="false" outlineLevel="0" collapsed="false">
      <c r="A170" s="47" t="n">
        <v>46015</v>
      </c>
      <c r="B170" s="31" t="n">
        <v>0</v>
      </c>
    </row>
    <row r="171" customFormat="false" ht="15" hidden="false" customHeight="false" outlineLevel="0" collapsed="false">
      <c r="A171" s="46" t="n">
        <v>46016</v>
      </c>
      <c r="B171" s="30" t="n">
        <v>0</v>
      </c>
    </row>
    <row r="172" customFormat="false" ht="15" hidden="false" customHeight="false" outlineLevel="0" collapsed="false">
      <c r="A172" s="47" t="n">
        <v>46017</v>
      </c>
      <c r="B172" s="31" t="n">
        <v>19.762</v>
      </c>
    </row>
    <row r="173" customFormat="false" ht="15" hidden="false" customHeight="false" outlineLevel="0" collapsed="false">
      <c r="A173" s="46" t="n">
        <v>46018</v>
      </c>
      <c r="B173" s="30" t="n">
        <v>81.035</v>
      </c>
    </row>
    <row r="174" customFormat="false" ht="15" hidden="false" customHeight="false" outlineLevel="0" collapsed="false">
      <c r="A174" s="47" t="n">
        <v>46019</v>
      </c>
      <c r="B174" s="31" t="n">
        <v>18.436</v>
      </c>
    </row>
    <row r="175" customFormat="false" ht="15" hidden="false" customHeight="false" outlineLevel="0" collapsed="false">
      <c r="A175" s="46" t="n">
        <v>46020</v>
      </c>
      <c r="B175" s="30" t="n">
        <v>30.218</v>
      </c>
    </row>
    <row r="176" customFormat="false" ht="15" hidden="false" customHeight="false" outlineLevel="0" collapsed="false">
      <c r="A176" s="47" t="n">
        <v>46021</v>
      </c>
      <c r="B176" s="31" t="n">
        <v>0</v>
      </c>
    </row>
    <row r="177" customFormat="false" ht="15" hidden="false" customHeight="false" outlineLevel="0" collapsed="false">
      <c r="A177" s="46" t="n">
        <v>46022</v>
      </c>
      <c r="B177" s="30" t="n">
        <v>0</v>
      </c>
    </row>
    <row r="178" customFormat="false" ht="15" hidden="false" customHeight="false" outlineLevel="0" collapsed="false">
      <c r="A178" s="47" t="n">
        <v>46023</v>
      </c>
      <c r="B178" s="31" t="n">
        <v>12.372</v>
      </c>
    </row>
    <row r="179" customFormat="false" ht="15" hidden="false" customHeight="false" outlineLevel="0" collapsed="false">
      <c r="A179" s="46" t="n">
        <v>46024</v>
      </c>
      <c r="B179" s="30" t="n">
        <v>0</v>
      </c>
    </row>
    <row r="180" customFormat="false" ht="15" hidden="false" customHeight="false" outlineLevel="0" collapsed="false">
      <c r="A180" s="47" t="n">
        <v>46025</v>
      </c>
      <c r="B180" s="31" t="n">
        <v>0</v>
      </c>
    </row>
    <row r="181" customFormat="false" ht="15" hidden="false" customHeight="false" outlineLevel="0" collapsed="false">
      <c r="A181" s="46" t="n">
        <v>46026</v>
      </c>
      <c r="B181" s="30" t="n">
        <v>13.166</v>
      </c>
    </row>
    <row r="182" customFormat="false" ht="15" hidden="false" customHeight="false" outlineLevel="0" collapsed="false">
      <c r="A182" s="47" t="n">
        <v>46027</v>
      </c>
      <c r="B182" s="31" t="n">
        <v>0</v>
      </c>
    </row>
    <row r="183" customFormat="false" ht="15" hidden="false" customHeight="false" outlineLevel="0" collapsed="false">
      <c r="A183" s="46" t="n">
        <v>46028</v>
      </c>
      <c r="B183" s="30" t="n">
        <v>0</v>
      </c>
    </row>
    <row r="184" customFormat="false" ht="15" hidden="false" customHeight="false" outlineLevel="0" collapsed="false">
      <c r="A184" s="47" t="n">
        <v>46029</v>
      </c>
      <c r="B184" s="31" t="n">
        <v>0</v>
      </c>
    </row>
    <row r="185" customFormat="false" ht="15" hidden="false" customHeight="false" outlineLevel="0" collapsed="false">
      <c r="A185" s="46" t="n">
        <v>46030</v>
      </c>
      <c r="B185" s="30" t="n">
        <v>0</v>
      </c>
    </row>
    <row r="186" customFormat="false" ht="15" hidden="false" customHeight="false" outlineLevel="0" collapsed="false">
      <c r="A186" s="47" t="n">
        <v>46031</v>
      </c>
      <c r="B186" s="31" t="n">
        <v>0</v>
      </c>
    </row>
    <row r="187" customFormat="false" ht="15" hidden="false" customHeight="false" outlineLevel="0" collapsed="false">
      <c r="A187" s="46" t="n">
        <v>46032</v>
      </c>
      <c r="B187" s="30" t="n">
        <v>0</v>
      </c>
    </row>
    <row r="188" customFormat="false" ht="15" hidden="false" customHeight="false" outlineLevel="0" collapsed="false">
      <c r="A188" s="47" t="n">
        <v>46033</v>
      </c>
      <c r="B188" s="31" t="n">
        <v>40.664</v>
      </c>
    </row>
    <row r="189" customFormat="false" ht="15" hidden="false" customHeight="false" outlineLevel="0" collapsed="false">
      <c r="A189" s="46" t="n">
        <v>46034</v>
      </c>
      <c r="B189" s="30" t="n">
        <v>0</v>
      </c>
    </row>
    <row r="190" customFormat="false" ht="15" hidden="false" customHeight="false" outlineLevel="0" collapsed="false">
      <c r="A190" s="47" t="n">
        <v>46035</v>
      </c>
      <c r="B190" s="31" t="n">
        <v>0</v>
      </c>
    </row>
    <row r="191" customFormat="false" ht="15" hidden="false" customHeight="false" outlineLevel="0" collapsed="false">
      <c r="A191" s="46" t="n">
        <v>46036</v>
      </c>
      <c r="B191" s="30" t="n">
        <v>0</v>
      </c>
    </row>
    <row r="192" customFormat="false" ht="15" hidden="false" customHeight="false" outlineLevel="0" collapsed="false">
      <c r="A192" s="47" t="n">
        <v>46037</v>
      </c>
      <c r="B192" s="31" t="n">
        <v>0</v>
      </c>
    </row>
    <row r="193" customFormat="false" ht="15" hidden="false" customHeight="false" outlineLevel="0" collapsed="false">
      <c r="A193" s="46" t="n">
        <v>46038</v>
      </c>
      <c r="B193" s="30" t="n">
        <v>10.404</v>
      </c>
    </row>
    <row r="194" customFormat="false" ht="15" hidden="false" customHeight="false" outlineLevel="0" collapsed="false">
      <c r="A194" s="47" t="n">
        <v>46039</v>
      </c>
      <c r="B194" s="31" t="n">
        <v>21.724</v>
      </c>
    </row>
    <row r="195" customFormat="false" ht="15" hidden="false" customHeight="false" outlineLevel="0" collapsed="false">
      <c r="A195" s="46" t="n">
        <v>46040</v>
      </c>
      <c r="B195" s="30" t="n">
        <v>0</v>
      </c>
    </row>
    <row r="196" customFormat="false" ht="15" hidden="false" customHeight="false" outlineLevel="0" collapsed="false">
      <c r="A196" s="47" t="n">
        <v>46041</v>
      </c>
      <c r="B196" s="31" t="n">
        <v>0</v>
      </c>
    </row>
    <row r="197" customFormat="false" ht="15" hidden="false" customHeight="false" outlineLevel="0" collapsed="false">
      <c r="A197" s="46" t="n">
        <v>46042</v>
      </c>
      <c r="B197" s="30" t="n">
        <v>0</v>
      </c>
    </row>
    <row r="198" customFormat="false" ht="15" hidden="false" customHeight="false" outlineLevel="0" collapsed="false">
      <c r="A198" s="47" t="n">
        <v>46043</v>
      </c>
      <c r="B198" s="31" t="n">
        <v>0</v>
      </c>
    </row>
    <row r="199" customFormat="false" ht="15" hidden="false" customHeight="false" outlineLevel="0" collapsed="false">
      <c r="A199" s="46" t="n">
        <v>46044</v>
      </c>
      <c r="B199" s="30" t="n">
        <v>0</v>
      </c>
    </row>
    <row r="200" customFormat="false" ht="15" hidden="false" customHeight="false" outlineLevel="0" collapsed="false">
      <c r="A200" s="47" t="n">
        <v>46045</v>
      </c>
      <c r="B200" s="31" t="n">
        <v>0</v>
      </c>
    </row>
    <row r="201" customFormat="false" ht="15" hidden="false" customHeight="false" outlineLevel="0" collapsed="false">
      <c r="A201" s="46" t="n">
        <v>46046</v>
      </c>
      <c r="B201" s="30" t="n">
        <v>0</v>
      </c>
    </row>
    <row r="202" customFormat="false" ht="15" hidden="false" customHeight="false" outlineLevel="0" collapsed="false">
      <c r="A202" s="47" t="n">
        <v>46047</v>
      </c>
      <c r="B202" s="31" t="n">
        <v>0</v>
      </c>
    </row>
    <row r="203" customFormat="false" ht="15" hidden="false" customHeight="false" outlineLevel="0" collapsed="false">
      <c r="A203" s="46" t="n">
        <v>46048</v>
      </c>
      <c r="B203" s="30" t="n">
        <v>0</v>
      </c>
    </row>
    <row r="204" customFormat="false" ht="15" hidden="false" customHeight="false" outlineLevel="0" collapsed="false">
      <c r="A204" s="47" t="n">
        <v>46049</v>
      </c>
      <c r="B204" s="31" t="n">
        <v>0</v>
      </c>
    </row>
    <row r="205" customFormat="false" ht="15" hidden="false" customHeight="false" outlineLevel="0" collapsed="false">
      <c r="A205" s="46" t="n">
        <v>46050</v>
      </c>
      <c r="B205" s="30" t="n">
        <v>0</v>
      </c>
    </row>
    <row r="206" customFormat="false" ht="15" hidden="false" customHeight="false" outlineLevel="0" collapsed="false">
      <c r="A206" s="47" t="n">
        <v>46051</v>
      </c>
      <c r="B206" s="31" t="n">
        <v>0</v>
      </c>
    </row>
    <row r="207" customFormat="false" ht="15" hidden="false" customHeight="false" outlineLevel="0" collapsed="false">
      <c r="A207" s="46" t="n">
        <v>46052</v>
      </c>
      <c r="B207" s="30" t="n">
        <v>0</v>
      </c>
    </row>
    <row r="208" customFormat="false" ht="15" hidden="false" customHeight="false" outlineLevel="0" collapsed="false">
      <c r="A208" s="47" t="n">
        <v>46053</v>
      </c>
      <c r="B208" s="31" t="n">
        <v>0</v>
      </c>
    </row>
    <row r="209" customFormat="false" ht="15" hidden="false" customHeight="false" outlineLevel="0" collapsed="false">
      <c r="A209" s="46" t="n">
        <v>46054</v>
      </c>
      <c r="B209" s="30" t="n">
        <v>73.232</v>
      </c>
    </row>
    <row r="210" customFormat="false" ht="15" hidden="false" customHeight="false" outlineLevel="0" collapsed="false">
      <c r="A210" s="47" t="n">
        <v>46055</v>
      </c>
      <c r="B210" s="31" t="n">
        <v>50.065</v>
      </c>
    </row>
    <row r="211" customFormat="false" ht="15" hidden="false" customHeight="false" outlineLevel="0" collapsed="false">
      <c r="A211" s="46" t="n">
        <v>46056</v>
      </c>
      <c r="B211" s="30" t="n">
        <v>0</v>
      </c>
    </row>
    <row r="212" customFormat="false" ht="15" hidden="false" customHeight="false" outlineLevel="0" collapsed="false">
      <c r="A212" s="47" t="n">
        <v>46057</v>
      </c>
      <c r="B212" s="31" t="n">
        <v>132.774</v>
      </c>
    </row>
    <row r="213" customFormat="false" ht="15" hidden="false" customHeight="false" outlineLevel="0" collapsed="false">
      <c r="A213" s="46" t="n">
        <v>46058</v>
      </c>
      <c r="B213" s="30" t="n">
        <v>0</v>
      </c>
    </row>
    <row r="214" customFormat="false" ht="15" hidden="false" customHeight="false" outlineLevel="0" collapsed="false">
      <c r="A214" s="47" t="n">
        <v>46059</v>
      </c>
      <c r="B214" s="31" t="n">
        <v>0</v>
      </c>
    </row>
    <row r="215" customFormat="false" ht="15" hidden="false" customHeight="false" outlineLevel="0" collapsed="false">
      <c r="A215" s="46" t="n">
        <v>46060</v>
      </c>
      <c r="B215" s="30" t="n">
        <v>82.255</v>
      </c>
    </row>
    <row r="216" customFormat="false" ht="15" hidden="false" customHeight="false" outlineLevel="0" collapsed="false">
      <c r="A216" s="47" t="n">
        <v>46061</v>
      </c>
      <c r="B216" s="31" t="n">
        <v>27.821</v>
      </c>
    </row>
    <row r="217" customFormat="false" ht="15" hidden="false" customHeight="false" outlineLevel="0" collapsed="false">
      <c r="A217" s="46" t="n">
        <v>46062</v>
      </c>
      <c r="B217" s="30" t="n">
        <v>55.451</v>
      </c>
    </row>
    <row r="218" customFormat="false" ht="15" hidden="false" customHeight="false" outlineLevel="0" collapsed="false">
      <c r="A218" s="47" t="n">
        <v>46063</v>
      </c>
      <c r="B218" s="31" t="n">
        <v>22.365</v>
      </c>
    </row>
    <row r="219" customFormat="false" ht="15" hidden="false" customHeight="false" outlineLevel="0" collapsed="false">
      <c r="A219" s="46" t="n">
        <v>46064</v>
      </c>
      <c r="B219" s="30" t="n">
        <v>0</v>
      </c>
    </row>
    <row r="220" customFormat="false" ht="15" hidden="false" customHeight="false" outlineLevel="0" collapsed="false">
      <c r="A220" s="47" t="n">
        <v>46065</v>
      </c>
      <c r="B220" s="31" t="n">
        <v>0</v>
      </c>
    </row>
    <row r="221" customFormat="false" ht="15" hidden="false" customHeight="false" outlineLevel="0" collapsed="false">
      <c r="A221" s="46" t="n">
        <v>46066</v>
      </c>
      <c r="B221" s="30" t="n">
        <v>0</v>
      </c>
    </row>
    <row r="222" customFormat="false" ht="15" hidden="false" customHeight="false" outlineLevel="0" collapsed="false">
      <c r="A222" s="47" t="n">
        <v>46067</v>
      </c>
      <c r="B222" s="31" t="n">
        <v>0</v>
      </c>
    </row>
    <row r="223" customFormat="false" ht="15" hidden="false" customHeight="false" outlineLevel="0" collapsed="false">
      <c r="A223" s="46" t="n">
        <v>46068</v>
      </c>
      <c r="B223" s="30" t="n">
        <v>0</v>
      </c>
    </row>
    <row r="224" customFormat="false" ht="15" hidden="false" customHeight="false" outlineLevel="0" collapsed="false">
      <c r="A224" s="47" t="n">
        <v>46069</v>
      </c>
      <c r="B224" s="31" t="n">
        <v>89.408</v>
      </c>
    </row>
    <row r="225" customFormat="false" ht="15" hidden="false" customHeight="false" outlineLevel="0" collapsed="false">
      <c r="A225" s="46" t="n">
        <v>46070</v>
      </c>
      <c r="B225" s="30" t="n">
        <v>0</v>
      </c>
    </row>
    <row r="226" customFormat="false" ht="15" hidden="false" customHeight="false" outlineLevel="0" collapsed="false">
      <c r="A226" s="47" t="n">
        <v>46071</v>
      </c>
      <c r="B226" s="31" t="n">
        <v>14.537</v>
      </c>
    </row>
    <row r="227" customFormat="false" ht="15" hidden="false" customHeight="false" outlineLevel="0" collapsed="false">
      <c r="A227" s="46" t="n">
        <v>46072</v>
      </c>
      <c r="B227" s="30" t="n">
        <v>31.837</v>
      </c>
    </row>
    <row r="228" customFormat="false" ht="15" hidden="false" customHeight="false" outlineLevel="0" collapsed="false">
      <c r="A228" s="47" t="n">
        <v>46073</v>
      </c>
      <c r="B228" s="31" t="n">
        <v>0</v>
      </c>
    </row>
    <row r="229" customFormat="false" ht="15" hidden="false" customHeight="false" outlineLevel="0" collapsed="false">
      <c r="A229" s="46" t="n">
        <v>46074</v>
      </c>
      <c r="B229" s="30" t="n">
        <v>17.587</v>
      </c>
    </row>
    <row r="230" customFormat="false" ht="15" hidden="false" customHeight="false" outlineLevel="0" collapsed="false">
      <c r="A230" s="47" t="n">
        <v>46075</v>
      </c>
      <c r="B230" s="31" t="n">
        <v>11.639</v>
      </c>
    </row>
    <row r="231" customFormat="false" ht="15" hidden="false" customHeight="false" outlineLevel="0" collapsed="false">
      <c r="A231" s="46" t="n">
        <v>46076</v>
      </c>
      <c r="B231" s="30" t="n">
        <v>19.791</v>
      </c>
    </row>
    <row r="232" customFormat="false" ht="15" hidden="false" customHeight="false" outlineLevel="0" collapsed="false">
      <c r="A232" s="47" t="n">
        <v>46077</v>
      </c>
      <c r="B232" s="31" t="n">
        <v>62.557</v>
      </c>
    </row>
    <row r="233" customFormat="false" ht="15" hidden="false" customHeight="false" outlineLevel="0" collapsed="false">
      <c r="A233" s="46" t="n">
        <v>46078</v>
      </c>
      <c r="B233" s="30" t="n">
        <v>0</v>
      </c>
    </row>
    <row r="234" customFormat="false" ht="15" hidden="false" customHeight="false" outlineLevel="0" collapsed="false">
      <c r="A234" s="47" t="n">
        <v>46079</v>
      </c>
      <c r="B234" s="31" t="n">
        <v>0</v>
      </c>
    </row>
    <row r="235" customFormat="false" ht="15" hidden="false" customHeight="false" outlineLevel="0" collapsed="false">
      <c r="A235" s="46" t="n">
        <v>46080</v>
      </c>
      <c r="B235" s="30" t="n">
        <v>77.436</v>
      </c>
    </row>
    <row r="236" customFormat="false" ht="15" hidden="false" customHeight="false" outlineLevel="0" collapsed="false">
      <c r="A236" s="47" t="n">
        <v>46081</v>
      </c>
      <c r="B236" s="31" t="n">
        <v>38.551</v>
      </c>
    </row>
    <row r="237" customFormat="false" ht="15" hidden="false" customHeight="false" outlineLevel="0" collapsed="false">
      <c r="A237" s="46" t="n">
        <v>46082</v>
      </c>
      <c r="B237" s="30" t="n">
        <v>0</v>
      </c>
    </row>
    <row r="238" customFormat="false" ht="15" hidden="false" customHeight="false" outlineLevel="0" collapsed="false">
      <c r="A238" s="47" t="n">
        <v>46083</v>
      </c>
      <c r="B238" s="31" t="n">
        <v>67.745</v>
      </c>
    </row>
    <row r="239" customFormat="false" ht="15" hidden="false" customHeight="false" outlineLevel="0" collapsed="false">
      <c r="A239" s="46" t="n">
        <v>46084</v>
      </c>
      <c r="B239" s="30" t="n">
        <v>0</v>
      </c>
    </row>
    <row r="240" customFormat="false" ht="15" hidden="false" customHeight="false" outlineLevel="0" collapsed="false">
      <c r="A240" s="47" t="n">
        <v>46085</v>
      </c>
      <c r="B240" s="31" t="n">
        <v>0</v>
      </c>
    </row>
    <row r="241" customFormat="false" ht="15" hidden="false" customHeight="false" outlineLevel="0" collapsed="false">
      <c r="A241" s="46" t="n">
        <v>46086</v>
      </c>
      <c r="B241" s="30" t="n">
        <v>0</v>
      </c>
    </row>
    <row r="242" customFormat="false" ht="15" hidden="false" customHeight="false" outlineLevel="0" collapsed="false">
      <c r="A242" s="47" t="n">
        <v>46087</v>
      </c>
      <c r="B242" s="31" t="n">
        <v>0</v>
      </c>
    </row>
    <row r="243" customFormat="false" ht="15" hidden="false" customHeight="false" outlineLevel="0" collapsed="false">
      <c r="A243" s="46" t="n">
        <v>46088</v>
      </c>
      <c r="B243" s="30" t="n">
        <v>0</v>
      </c>
    </row>
    <row r="244" customFormat="false" ht="15" hidden="false" customHeight="false" outlineLevel="0" collapsed="false">
      <c r="A244" s="47" t="n">
        <v>46089</v>
      </c>
      <c r="B244" s="31" t="n">
        <v>52.165</v>
      </c>
    </row>
    <row r="245" customFormat="false" ht="15" hidden="false" customHeight="false" outlineLevel="0" collapsed="false">
      <c r="A245" s="46" t="n">
        <v>46090</v>
      </c>
      <c r="B245" s="30" t="n">
        <v>0</v>
      </c>
    </row>
    <row r="246" customFormat="false" ht="15" hidden="false" customHeight="false" outlineLevel="0" collapsed="false">
      <c r="A246" s="47" t="n">
        <v>46091</v>
      </c>
      <c r="B246" s="31" t="n">
        <v>0</v>
      </c>
    </row>
    <row r="247" customFormat="false" ht="15" hidden="false" customHeight="false" outlineLevel="0" collapsed="false">
      <c r="A247" s="46" t="n">
        <v>46092</v>
      </c>
      <c r="B247" s="30" t="n">
        <v>60.587</v>
      </c>
    </row>
    <row r="248" customFormat="false" ht="15" hidden="false" customHeight="false" outlineLevel="0" collapsed="false">
      <c r="A248" s="47" t="n">
        <v>46093</v>
      </c>
      <c r="B248" s="31" t="n">
        <v>0</v>
      </c>
    </row>
    <row r="249" customFormat="false" ht="15" hidden="false" customHeight="false" outlineLevel="0" collapsed="false">
      <c r="A249" s="46" t="n">
        <v>46094</v>
      </c>
      <c r="B249" s="30" t="n">
        <v>0</v>
      </c>
    </row>
    <row r="250" customFormat="false" ht="15" hidden="false" customHeight="false" outlineLevel="0" collapsed="false">
      <c r="A250" s="47" t="n">
        <v>46095</v>
      </c>
      <c r="B250" s="31" t="n">
        <v>53.834</v>
      </c>
    </row>
    <row r="251" customFormat="false" ht="15" hidden="false" customHeight="false" outlineLevel="0" collapsed="false">
      <c r="A251" s="46" t="n">
        <v>46096</v>
      </c>
      <c r="B251" s="30" t="n">
        <v>0</v>
      </c>
    </row>
    <row r="252" customFormat="false" ht="15" hidden="false" customHeight="false" outlineLevel="0" collapsed="false">
      <c r="A252" s="47" t="n">
        <v>46097</v>
      </c>
      <c r="B252" s="31" t="n">
        <v>13.172</v>
      </c>
    </row>
    <row r="253" customFormat="false" ht="15" hidden="false" customHeight="false" outlineLevel="0" collapsed="false">
      <c r="A253" s="46" t="n">
        <v>46098</v>
      </c>
      <c r="B253" s="30" t="n">
        <v>40.956</v>
      </c>
    </row>
    <row r="254" customFormat="false" ht="15" hidden="false" customHeight="false" outlineLevel="0" collapsed="false">
      <c r="A254" s="47" t="n">
        <v>46099</v>
      </c>
      <c r="B254" s="31" t="n">
        <v>66.367</v>
      </c>
    </row>
    <row r="255" customFormat="false" ht="15" hidden="false" customHeight="false" outlineLevel="0" collapsed="false">
      <c r="A255" s="46" t="n">
        <v>46100</v>
      </c>
      <c r="B255" s="30" t="n">
        <v>0</v>
      </c>
    </row>
    <row r="256" customFormat="false" ht="15" hidden="false" customHeight="false" outlineLevel="0" collapsed="false">
      <c r="A256" s="47" t="n">
        <v>46101</v>
      </c>
      <c r="B256" s="31" t="n">
        <v>0</v>
      </c>
    </row>
    <row r="257" customFormat="false" ht="15" hidden="false" customHeight="false" outlineLevel="0" collapsed="false">
      <c r="A257" s="46" t="n">
        <v>46102</v>
      </c>
      <c r="B257" s="30" t="n">
        <v>0</v>
      </c>
    </row>
    <row r="258" customFormat="false" ht="15" hidden="false" customHeight="false" outlineLevel="0" collapsed="false">
      <c r="A258" s="47" t="n">
        <v>46103</v>
      </c>
      <c r="B258" s="31" t="n">
        <v>0</v>
      </c>
    </row>
    <row r="259" customFormat="false" ht="15" hidden="false" customHeight="false" outlineLevel="0" collapsed="false">
      <c r="A259" s="46" t="n">
        <v>46104</v>
      </c>
      <c r="B259" s="30" t="n">
        <v>0</v>
      </c>
    </row>
    <row r="260" customFormat="false" ht="15" hidden="false" customHeight="false" outlineLevel="0" collapsed="false">
      <c r="A260" s="47" t="n">
        <v>46105</v>
      </c>
      <c r="B260" s="31" t="n">
        <v>0</v>
      </c>
    </row>
    <row r="261" customFormat="false" ht="15" hidden="false" customHeight="false" outlineLevel="0" collapsed="false">
      <c r="A261" s="46" t="n">
        <v>46106</v>
      </c>
      <c r="B261" s="30" t="n">
        <v>19.179</v>
      </c>
    </row>
    <row r="262" customFormat="false" ht="15" hidden="false" customHeight="false" outlineLevel="0" collapsed="false">
      <c r="A262" s="47" t="n">
        <v>46107</v>
      </c>
      <c r="B262" s="31" t="n">
        <v>0</v>
      </c>
    </row>
    <row r="263" customFormat="false" ht="15" hidden="false" customHeight="false" outlineLevel="0" collapsed="false">
      <c r="A263" s="46" t="n">
        <v>46108</v>
      </c>
      <c r="B263" s="30" t="n">
        <v>55.204</v>
      </c>
    </row>
    <row r="264" customFormat="false" ht="15" hidden="false" customHeight="false" outlineLevel="0" collapsed="false">
      <c r="A264" s="47" t="n">
        <v>46109</v>
      </c>
      <c r="B264" s="31" t="n">
        <v>148.098</v>
      </c>
    </row>
    <row r="265" customFormat="false" ht="15" hidden="false" customHeight="false" outlineLevel="0" collapsed="false">
      <c r="A265" s="46" t="n">
        <v>46110</v>
      </c>
      <c r="B265" s="30" t="n">
        <v>20.059</v>
      </c>
    </row>
    <row r="266" customFormat="false" ht="15" hidden="false" customHeight="false" outlineLevel="0" collapsed="false">
      <c r="A266" s="47" t="n">
        <v>46111</v>
      </c>
      <c r="B266" s="31" t="n">
        <v>57.817</v>
      </c>
    </row>
    <row r="267" customFormat="false" ht="15" hidden="false" customHeight="false" outlineLevel="0" collapsed="false">
      <c r="A267" s="46" t="n">
        <v>46112</v>
      </c>
      <c r="B267" s="30" t="n">
        <v>0</v>
      </c>
    </row>
    <row r="268" customFormat="false" ht="15" hidden="false" customHeight="false" outlineLevel="0" collapsed="false">
      <c r="A268" s="47" t="n">
        <v>46113</v>
      </c>
      <c r="B268" s="31" t="n">
        <v>0</v>
      </c>
    </row>
    <row r="269" customFormat="false" ht="15" hidden="false" customHeight="false" outlineLevel="0" collapsed="false">
      <c r="A269" s="46" t="n">
        <v>46114</v>
      </c>
      <c r="B269" s="30" t="n">
        <v>76.175</v>
      </c>
    </row>
    <row r="270" customFormat="false" ht="15" hidden="false" customHeight="false" outlineLevel="0" collapsed="false">
      <c r="A270" s="47" t="n">
        <v>46115</v>
      </c>
      <c r="B270" s="31" t="n">
        <v>68.137</v>
      </c>
    </row>
    <row r="271" customFormat="false" ht="15" hidden="false" customHeight="false" outlineLevel="0" collapsed="false">
      <c r="A271" s="46" t="n">
        <v>46116</v>
      </c>
      <c r="B271" s="30" t="n">
        <v>55.243</v>
      </c>
    </row>
    <row r="272" customFormat="false" ht="15" hidden="false" customHeight="false" outlineLevel="0" collapsed="false">
      <c r="A272" s="47" t="n">
        <v>46117</v>
      </c>
      <c r="B272" s="31" t="n">
        <v>41.104</v>
      </c>
    </row>
    <row r="273" customFormat="false" ht="15" hidden="false" customHeight="false" outlineLevel="0" collapsed="false">
      <c r="A273" s="46" t="n">
        <v>46118</v>
      </c>
      <c r="B273" s="30" t="n">
        <v>36.237</v>
      </c>
    </row>
    <row r="274" customFormat="false" ht="15" hidden="false" customHeight="false" outlineLevel="0" collapsed="false">
      <c r="A274" s="47" t="n">
        <v>46119</v>
      </c>
      <c r="B274" s="31" t="n">
        <v>51.734</v>
      </c>
    </row>
    <row r="275" customFormat="false" ht="15" hidden="false" customHeight="false" outlineLevel="0" collapsed="false">
      <c r="A275" s="46" t="n">
        <v>46120</v>
      </c>
      <c r="B275" s="30" t="n">
        <v>97.63</v>
      </c>
    </row>
    <row r="276" customFormat="false" ht="15" hidden="false" customHeight="false" outlineLevel="0" collapsed="false">
      <c r="A276" s="47" t="n">
        <v>46121</v>
      </c>
      <c r="B276" s="31" t="n">
        <v>0</v>
      </c>
    </row>
    <row r="277" customFormat="false" ht="15" hidden="false" customHeight="false" outlineLevel="0" collapsed="false">
      <c r="A277" s="46" t="n">
        <v>46122</v>
      </c>
      <c r="B277" s="30" t="n">
        <v>123.154</v>
      </c>
    </row>
    <row r="278" customFormat="false" ht="15" hidden="false" customHeight="false" outlineLevel="0" collapsed="false">
      <c r="A278" s="47" t="n">
        <v>46123</v>
      </c>
      <c r="B278" s="31" t="n">
        <v>56.662</v>
      </c>
    </row>
    <row r="279" customFormat="false" ht="15" hidden="false" customHeight="false" outlineLevel="0" collapsed="false">
      <c r="A279" s="46" t="n">
        <v>46124</v>
      </c>
      <c r="B279" s="30" t="n">
        <v>101.621</v>
      </c>
    </row>
    <row r="280" customFormat="false" ht="15" hidden="false" customHeight="false" outlineLevel="0" collapsed="false">
      <c r="A280" s="47" t="n">
        <v>46125</v>
      </c>
      <c r="B280" s="31" t="n">
        <v>79.641</v>
      </c>
    </row>
    <row r="281" customFormat="false" ht="15" hidden="false" customHeight="false" outlineLevel="0" collapsed="false">
      <c r="A281" s="46" t="n">
        <v>46126</v>
      </c>
      <c r="B281" s="30" t="n">
        <v>0</v>
      </c>
    </row>
    <row r="282" customFormat="false" ht="15" hidden="false" customHeight="false" outlineLevel="0" collapsed="false">
      <c r="A282" s="47" t="n">
        <v>46127</v>
      </c>
      <c r="B282" s="31" t="n">
        <v>25.682</v>
      </c>
    </row>
    <row r="283" customFormat="false" ht="15" hidden="false" customHeight="false" outlineLevel="0" collapsed="false">
      <c r="A283" s="46" t="n">
        <v>46128</v>
      </c>
      <c r="B283" s="30" t="n">
        <v>0</v>
      </c>
    </row>
    <row r="284" customFormat="false" ht="15" hidden="false" customHeight="false" outlineLevel="0" collapsed="false">
      <c r="A284" s="47" t="n">
        <v>46129</v>
      </c>
      <c r="B284" s="31" t="n">
        <v>14.606</v>
      </c>
    </row>
    <row r="285" customFormat="false" ht="15" hidden="false" customHeight="false" outlineLevel="0" collapsed="false">
      <c r="A285" s="46" t="n">
        <v>46130</v>
      </c>
      <c r="B285" s="30" t="n">
        <v>80.153</v>
      </c>
    </row>
    <row r="286" customFormat="false" ht="15" hidden="false" customHeight="false" outlineLevel="0" collapsed="false">
      <c r="A286" s="47" t="n">
        <v>46131</v>
      </c>
      <c r="B286" s="31" t="n">
        <v>15.644</v>
      </c>
    </row>
    <row r="287" customFormat="false" ht="15" hidden="false" customHeight="false" outlineLevel="0" collapsed="false">
      <c r="A287" s="46" t="n">
        <v>46132</v>
      </c>
      <c r="B287" s="30" t="n">
        <v>0</v>
      </c>
    </row>
    <row r="288" customFormat="false" ht="15" hidden="false" customHeight="false" outlineLevel="0" collapsed="false">
      <c r="A288" s="47" t="n">
        <v>46133</v>
      </c>
      <c r="B288" s="31" t="n">
        <v>0</v>
      </c>
    </row>
    <row r="289" customFormat="false" ht="15" hidden="false" customHeight="false" outlineLevel="0" collapsed="false">
      <c r="A289" s="46" t="n">
        <v>46134</v>
      </c>
      <c r="B289" s="30" t="n">
        <v>25.719</v>
      </c>
    </row>
    <row r="290" customFormat="false" ht="15" hidden="false" customHeight="false" outlineLevel="0" collapsed="false">
      <c r="A290" s="47" t="n">
        <v>46135</v>
      </c>
      <c r="B290" s="31" t="n">
        <v>57.343</v>
      </c>
    </row>
    <row r="291" customFormat="false" ht="15" hidden="false" customHeight="false" outlineLevel="0" collapsed="false">
      <c r="A291" s="46" t="n">
        <v>46136</v>
      </c>
      <c r="B291" s="30" t="n">
        <v>34.367</v>
      </c>
    </row>
    <row r="292" customFormat="false" ht="15" hidden="false" customHeight="false" outlineLevel="0" collapsed="false">
      <c r="A292" s="47" t="n">
        <v>46137</v>
      </c>
      <c r="B292" s="31" t="n">
        <v>69.315</v>
      </c>
    </row>
    <row r="293" customFormat="false" ht="15" hidden="false" customHeight="false" outlineLevel="0" collapsed="false">
      <c r="A293" s="46" t="n">
        <v>46138</v>
      </c>
      <c r="B293" s="30" t="n">
        <v>10.966</v>
      </c>
    </row>
    <row r="294" customFormat="false" ht="15" hidden="false" customHeight="false" outlineLevel="0" collapsed="false">
      <c r="A294" s="47" t="n">
        <v>46139</v>
      </c>
      <c r="B294" s="31" t="n">
        <v>0</v>
      </c>
    </row>
    <row r="295" customFormat="false" ht="15" hidden="false" customHeight="false" outlineLevel="0" collapsed="false">
      <c r="A295" s="46" t="n">
        <v>46140</v>
      </c>
      <c r="B295" s="30" t="n">
        <v>34.604</v>
      </c>
    </row>
    <row r="296" customFormat="false" ht="15" hidden="false" customHeight="false" outlineLevel="0" collapsed="false">
      <c r="A296" s="47" t="n">
        <v>46141</v>
      </c>
      <c r="B296" s="31" t="n">
        <v>39.85</v>
      </c>
    </row>
    <row r="297" customFormat="false" ht="15" hidden="false" customHeight="false" outlineLevel="0" collapsed="false">
      <c r="A297" s="46" t="n">
        <v>46142</v>
      </c>
      <c r="B297" s="30" t="n">
        <v>0</v>
      </c>
    </row>
    <row r="298" customFormat="false" ht="15" hidden="false" customHeight="false" outlineLevel="0" collapsed="false">
      <c r="A298" s="47" t="n">
        <v>46143</v>
      </c>
      <c r="B298" s="31" t="n">
        <v>78.201</v>
      </c>
    </row>
    <row r="299" customFormat="false" ht="15" hidden="false" customHeight="false" outlineLevel="0" collapsed="false">
      <c r="A299" s="46" t="n">
        <v>46144</v>
      </c>
      <c r="B299" s="30" t="n">
        <v>5.016</v>
      </c>
    </row>
    <row r="300" customFormat="false" ht="15" hidden="false" customHeight="false" outlineLevel="0" collapsed="false">
      <c r="A300" s="47" t="n">
        <v>46145</v>
      </c>
      <c r="B300" s="31" t="n">
        <v>0</v>
      </c>
    </row>
    <row r="301" customFormat="false" ht="15" hidden="false" customHeight="false" outlineLevel="0" collapsed="false">
      <c r="A301" s="46" t="n">
        <v>46146</v>
      </c>
      <c r="B301" s="30" t="n">
        <v>38.975</v>
      </c>
    </row>
    <row r="302" customFormat="false" ht="15" hidden="false" customHeight="false" outlineLevel="0" collapsed="false">
      <c r="A302" s="47" t="n">
        <v>46147</v>
      </c>
      <c r="B302" s="31" t="n">
        <v>0</v>
      </c>
    </row>
    <row r="303" customFormat="false" ht="15" hidden="false" customHeight="false" outlineLevel="0" collapsed="false">
      <c r="A303" s="46" t="n">
        <v>46148</v>
      </c>
      <c r="B303" s="30" t="n">
        <v>47.956</v>
      </c>
    </row>
    <row r="304" customFormat="false" ht="15" hidden="false" customHeight="false" outlineLevel="0" collapsed="false">
      <c r="A304" s="47" t="n">
        <v>46149</v>
      </c>
      <c r="B304" s="31" t="n">
        <v>39.155</v>
      </c>
    </row>
    <row r="305" customFormat="false" ht="15" hidden="false" customHeight="false" outlineLevel="0" collapsed="false">
      <c r="A305" s="46" t="n">
        <v>46150</v>
      </c>
      <c r="B305" s="30" t="n">
        <v>149.115</v>
      </c>
    </row>
    <row r="306" customFormat="false" ht="15" hidden="false" customHeight="false" outlineLevel="0" collapsed="false">
      <c r="A306" s="47" t="n">
        <v>46151</v>
      </c>
      <c r="B306" s="31" t="n">
        <v>7.369</v>
      </c>
    </row>
    <row r="307" customFormat="false" ht="15" hidden="false" customHeight="false" outlineLevel="0" collapsed="false">
      <c r="A307" s="46" t="n">
        <v>46152</v>
      </c>
      <c r="B307" s="30" t="n">
        <v>13.938</v>
      </c>
    </row>
    <row r="308" customFormat="false" ht="15" hidden="false" customHeight="false" outlineLevel="0" collapsed="false">
      <c r="A308" s="47" t="n">
        <v>46153</v>
      </c>
      <c r="B308" s="31" t="n">
        <v>0</v>
      </c>
    </row>
    <row r="309" customFormat="false" ht="15" hidden="false" customHeight="false" outlineLevel="0" collapsed="false">
      <c r="A309" s="46" t="n">
        <v>46154</v>
      </c>
      <c r="B309" s="30" t="n">
        <v>0</v>
      </c>
    </row>
    <row r="310" customFormat="false" ht="15" hidden="false" customHeight="false" outlineLevel="0" collapsed="false">
      <c r="A310" s="47" t="n">
        <v>46155</v>
      </c>
      <c r="B310" s="31" t="n">
        <v>0</v>
      </c>
    </row>
    <row r="311" customFormat="false" ht="15" hidden="false" customHeight="false" outlineLevel="0" collapsed="false">
      <c r="A311" s="46" t="n">
        <v>46156</v>
      </c>
      <c r="B311" s="30" t="n">
        <v>81.417</v>
      </c>
    </row>
    <row r="312" customFormat="false" ht="15" hidden="false" customHeight="false" outlineLevel="0" collapsed="false">
      <c r="A312" s="47" t="n">
        <v>46157</v>
      </c>
      <c r="B312" s="31" t="n">
        <v>0</v>
      </c>
    </row>
    <row r="313" customFormat="false" ht="15" hidden="false" customHeight="false" outlineLevel="0" collapsed="false">
      <c r="A313" s="46" t="n">
        <v>46158</v>
      </c>
      <c r="B313" s="30" t="n">
        <v>0</v>
      </c>
    </row>
    <row r="314" customFormat="false" ht="15" hidden="false" customHeight="false" outlineLevel="0" collapsed="false">
      <c r="A314" s="47" t="n">
        <v>46159</v>
      </c>
      <c r="B314" s="31" t="n">
        <v>0</v>
      </c>
    </row>
    <row r="315" customFormat="false" ht="15" hidden="false" customHeight="false" outlineLevel="0" collapsed="false">
      <c r="A315" s="46" t="n">
        <v>46160</v>
      </c>
      <c r="B315" s="30" t="n">
        <v>33.755</v>
      </c>
    </row>
    <row r="316" customFormat="false" ht="15" hidden="false" customHeight="false" outlineLevel="0" collapsed="false">
      <c r="A316" s="47" t="n">
        <v>46161</v>
      </c>
      <c r="B316" s="31" t="n">
        <v>4.872</v>
      </c>
    </row>
    <row r="317" customFormat="false" ht="15" hidden="false" customHeight="false" outlineLevel="0" collapsed="false">
      <c r="A317" s="46" t="n">
        <v>46162</v>
      </c>
      <c r="B317" s="30" t="n">
        <v>0</v>
      </c>
    </row>
    <row r="318" customFormat="false" ht="15" hidden="false" customHeight="false" outlineLevel="0" collapsed="false">
      <c r="A318" s="47" t="n">
        <v>46163</v>
      </c>
      <c r="B318" s="31" t="n">
        <v>0</v>
      </c>
    </row>
    <row r="319" customFormat="false" ht="15" hidden="false" customHeight="false" outlineLevel="0" collapsed="false">
      <c r="A319" s="46" t="n">
        <v>46164</v>
      </c>
      <c r="B319" s="30" t="n">
        <v>96.882</v>
      </c>
    </row>
    <row r="320" customFormat="false" ht="15" hidden="false" customHeight="false" outlineLevel="0" collapsed="false">
      <c r="A320" s="47" t="n">
        <v>46165</v>
      </c>
      <c r="B320" s="31" t="n">
        <v>14.405</v>
      </c>
    </row>
    <row r="321" customFormat="false" ht="15" hidden="false" customHeight="false" outlineLevel="0" collapsed="false">
      <c r="A321" s="46" t="n">
        <v>46166</v>
      </c>
      <c r="B321" s="30" t="n">
        <v>16.187</v>
      </c>
    </row>
    <row r="322" customFormat="false" ht="15" hidden="false" customHeight="false" outlineLevel="0" collapsed="false">
      <c r="A322" s="47" t="n">
        <v>46167</v>
      </c>
      <c r="B322" s="31" t="n">
        <v>37.514</v>
      </c>
    </row>
    <row r="323" customFormat="false" ht="15" hidden="false" customHeight="false" outlineLevel="0" collapsed="false">
      <c r="A323" s="46" t="n">
        <v>46168</v>
      </c>
      <c r="B323" s="30" t="n">
        <v>50.899</v>
      </c>
    </row>
    <row r="324" customFormat="false" ht="15" hidden="false" customHeight="false" outlineLevel="0" collapsed="false">
      <c r="A324" s="47" t="n">
        <v>46169</v>
      </c>
      <c r="B324" s="31" t="n">
        <v>38.017</v>
      </c>
    </row>
    <row r="325" customFormat="false" ht="15" hidden="false" customHeight="false" outlineLevel="0" collapsed="false">
      <c r="A325" s="46" t="n">
        <v>46170</v>
      </c>
      <c r="B325" s="30" t="n">
        <v>44.415</v>
      </c>
    </row>
    <row r="326" customFormat="false" ht="15" hidden="false" customHeight="false" outlineLevel="0" collapsed="false">
      <c r="A326" s="47" t="n">
        <v>46171</v>
      </c>
      <c r="B326" s="31" t="n">
        <v>20.088</v>
      </c>
    </row>
    <row r="327" customFormat="false" ht="15" hidden="false" customHeight="false" outlineLevel="0" collapsed="false">
      <c r="A327" s="46" t="n">
        <v>46172</v>
      </c>
      <c r="B327" s="30" t="n">
        <v>0</v>
      </c>
    </row>
    <row r="328" customFormat="false" ht="15" hidden="false" customHeight="false" outlineLevel="0" collapsed="false">
      <c r="A328" s="47" t="n">
        <v>46173</v>
      </c>
      <c r="B328" s="31" t="n">
        <v>0</v>
      </c>
    </row>
    <row r="329" customFormat="false" ht="15" hidden="false" customHeight="false" outlineLevel="0" collapsed="false">
      <c r="A329" s="46" t="n">
        <v>46174</v>
      </c>
      <c r="B329" s="30" t="n">
        <v>0</v>
      </c>
    </row>
    <row r="330" customFormat="false" ht="15" hidden="false" customHeight="false" outlineLevel="0" collapsed="false">
      <c r="A330" s="47" t="n">
        <v>46175</v>
      </c>
      <c r="B330" s="31" t="n">
        <v>0</v>
      </c>
    </row>
    <row r="331" customFormat="false" ht="15" hidden="false" customHeight="false" outlineLevel="0" collapsed="false">
      <c r="A331" s="46" t="n">
        <v>46176</v>
      </c>
      <c r="B331" s="30" t="n">
        <v>57.645</v>
      </c>
    </row>
    <row r="332" customFormat="false" ht="15" hidden="false" customHeight="false" outlineLevel="0" collapsed="false">
      <c r="A332" s="47" t="n">
        <v>46177</v>
      </c>
      <c r="B332" s="31" t="n">
        <v>0</v>
      </c>
    </row>
    <row r="333" customFormat="false" ht="15" hidden="false" customHeight="false" outlineLevel="0" collapsed="false">
      <c r="A333" s="46" t="n">
        <v>46178</v>
      </c>
      <c r="B333" s="30" t="n">
        <v>28.49</v>
      </c>
    </row>
    <row r="334" customFormat="false" ht="15" hidden="false" customHeight="false" outlineLevel="0" collapsed="false">
      <c r="A334" s="47" t="n">
        <v>46179</v>
      </c>
      <c r="B334" s="31" t="n">
        <v>0</v>
      </c>
    </row>
    <row r="335" customFormat="false" ht="15" hidden="false" customHeight="false" outlineLevel="0" collapsed="false">
      <c r="A335" s="46" t="n">
        <v>46180</v>
      </c>
      <c r="B335" s="30" t="n">
        <v>55.398</v>
      </c>
    </row>
    <row r="336" customFormat="false" ht="15" hidden="false" customHeight="false" outlineLevel="0" collapsed="false">
      <c r="A336" s="47" t="n">
        <v>46181</v>
      </c>
      <c r="B336" s="31" t="n">
        <v>0</v>
      </c>
    </row>
    <row r="337" customFormat="false" ht="15" hidden="false" customHeight="false" outlineLevel="0" collapsed="false">
      <c r="A337" s="46" t="n">
        <v>46182</v>
      </c>
      <c r="B337" s="30" t="n">
        <v>40.213</v>
      </c>
    </row>
    <row r="338" customFormat="false" ht="15" hidden="false" customHeight="false" outlineLevel="0" collapsed="false">
      <c r="A338" s="47" t="n">
        <v>46183</v>
      </c>
      <c r="B338" s="31" t="n">
        <v>0</v>
      </c>
    </row>
    <row r="339" customFormat="false" ht="15" hidden="false" customHeight="false" outlineLevel="0" collapsed="false">
      <c r="A339" s="46" t="n">
        <v>46184</v>
      </c>
      <c r="B339" s="30" t="n">
        <v>50.39</v>
      </c>
    </row>
    <row r="340" customFormat="false" ht="15" hidden="false" customHeight="false" outlineLevel="0" collapsed="false">
      <c r="A340" s="47" t="n">
        <v>46185</v>
      </c>
      <c r="B340" s="31" t="n">
        <v>58.411</v>
      </c>
    </row>
    <row r="341" customFormat="false" ht="15" hidden="false" customHeight="false" outlineLevel="0" collapsed="false">
      <c r="A341" s="46" t="n">
        <v>46186</v>
      </c>
      <c r="B341" s="30" t="n">
        <v>27.547</v>
      </c>
    </row>
    <row r="342" customFormat="false" ht="15" hidden="false" customHeight="false" outlineLevel="0" collapsed="false">
      <c r="A342" s="47" t="n">
        <v>46187</v>
      </c>
      <c r="B342" s="31" t="n">
        <v>16.164</v>
      </c>
    </row>
    <row r="343" customFormat="false" ht="15" hidden="false" customHeight="false" outlineLevel="0" collapsed="false">
      <c r="A343" s="46" t="n">
        <v>46188</v>
      </c>
      <c r="B343" s="30" t="n">
        <v>46.262</v>
      </c>
    </row>
    <row r="344" customFormat="false" ht="15" hidden="false" customHeight="false" outlineLevel="0" collapsed="false">
      <c r="A344" s="47" t="n">
        <v>46189</v>
      </c>
      <c r="B344" s="31" t="n">
        <v>0</v>
      </c>
    </row>
    <row r="345" customFormat="false" ht="15" hidden="false" customHeight="false" outlineLevel="0" collapsed="false">
      <c r="A345" s="46" t="n">
        <v>46190</v>
      </c>
      <c r="B345" s="30" t="n">
        <v>0</v>
      </c>
    </row>
    <row r="346" customFormat="false" ht="15" hidden="false" customHeight="false" outlineLevel="0" collapsed="false">
      <c r="A346" s="47" t="n">
        <v>46191</v>
      </c>
      <c r="B346" s="31" t="n">
        <v>60.669</v>
      </c>
    </row>
    <row r="347" customFormat="false" ht="15" hidden="false" customHeight="false" outlineLevel="0" collapsed="false">
      <c r="A347" s="46" t="n">
        <v>46192</v>
      </c>
      <c r="B347" s="30" t="n">
        <v>0</v>
      </c>
    </row>
    <row r="348" customFormat="false" ht="15" hidden="false" customHeight="false" outlineLevel="0" collapsed="false">
      <c r="A348" s="47" t="n">
        <v>46193</v>
      </c>
      <c r="B348" s="31" t="n">
        <v>0</v>
      </c>
    </row>
    <row r="349" customFormat="false" ht="15" hidden="false" customHeight="false" outlineLevel="0" collapsed="false">
      <c r="A349" s="46" t="n">
        <v>46194</v>
      </c>
      <c r="B349" s="30" t="n">
        <v>0</v>
      </c>
    </row>
    <row r="350" customFormat="false" ht="15" hidden="false" customHeight="false" outlineLevel="0" collapsed="false">
      <c r="A350" s="47" t="n">
        <v>46195</v>
      </c>
      <c r="B350" s="31" t="n">
        <v>47.89</v>
      </c>
    </row>
    <row r="351" customFormat="false" ht="15" hidden="false" customHeight="false" outlineLevel="0" collapsed="false">
      <c r="A351" s="46" t="n">
        <v>46196</v>
      </c>
      <c r="B351" s="30" t="n">
        <v>27.824</v>
      </c>
    </row>
    <row r="352" customFormat="false" ht="15" hidden="false" customHeight="false" outlineLevel="0" collapsed="false">
      <c r="A352" s="47" t="n">
        <v>46197</v>
      </c>
      <c r="B352" s="31" t="n">
        <v>0</v>
      </c>
    </row>
    <row r="353" customFormat="false" ht="15" hidden="false" customHeight="false" outlineLevel="0" collapsed="false">
      <c r="A353" s="46" t="n">
        <v>46198</v>
      </c>
      <c r="B353" s="30" t="n">
        <v>29.519</v>
      </c>
    </row>
    <row r="354" customFormat="false" ht="15" hidden="false" customHeight="false" outlineLevel="0" collapsed="false">
      <c r="A354" s="47" t="n">
        <v>46199</v>
      </c>
      <c r="B354" s="31" t="n">
        <v>1.451</v>
      </c>
    </row>
    <row r="355" customFormat="false" ht="15" hidden="false" customHeight="false" outlineLevel="0" collapsed="false">
      <c r="A355" s="46" t="n">
        <v>46200</v>
      </c>
      <c r="B355" s="30" t="n">
        <v>0</v>
      </c>
    </row>
    <row r="356" customFormat="false" ht="15" hidden="false" customHeight="false" outlineLevel="0" collapsed="false">
      <c r="A356" s="47" t="n">
        <v>46201</v>
      </c>
      <c r="B356" s="31" t="n">
        <v>11.848</v>
      </c>
    </row>
    <row r="357" customFormat="false" ht="15" hidden="false" customHeight="false" outlineLevel="0" collapsed="false">
      <c r="A357" s="46" t="n">
        <v>46202</v>
      </c>
      <c r="B357" s="30" t="n">
        <v>9.8</v>
      </c>
    </row>
    <row r="358" customFormat="false" ht="15" hidden="false" customHeight="false" outlineLevel="0" collapsed="false">
      <c r="A358" s="47" t="n">
        <v>46203</v>
      </c>
      <c r="B358" s="31" t="n">
        <v>12.277</v>
      </c>
    </row>
    <row r="359" customFormat="false" ht="15" hidden="false" customHeight="false" outlineLevel="0" collapsed="false">
      <c r="A359" s="46" t="n">
        <v>46204</v>
      </c>
      <c r="B359" s="30" t="n">
        <v>0</v>
      </c>
    </row>
    <row r="360" customFormat="false" ht="15" hidden="false" customHeight="false" outlineLevel="0" collapsed="false">
      <c r="A360" s="47" t="n">
        <v>46205</v>
      </c>
      <c r="B360" s="31" t="n">
        <v>24.959</v>
      </c>
    </row>
    <row r="361" customFormat="false" ht="15" hidden="false" customHeight="false" outlineLevel="0" collapsed="false">
      <c r="A361" s="46" t="n">
        <v>46206</v>
      </c>
      <c r="B361" s="30" t="n">
        <v>23.488</v>
      </c>
    </row>
    <row r="362" customFormat="false" ht="15" hidden="false" customHeight="false" outlineLevel="0" collapsed="false">
      <c r="A362" s="47" t="n">
        <v>46207</v>
      </c>
      <c r="B362" s="31" t="n">
        <v>0</v>
      </c>
    </row>
    <row r="363" customFormat="false" ht="15" hidden="false" customHeight="false" outlineLevel="0" collapsed="false">
      <c r="A363" s="46" t="n">
        <v>46208</v>
      </c>
      <c r="B363" s="30" t="n">
        <v>16.058</v>
      </c>
    </row>
    <row r="364" customFormat="false" ht="15" hidden="false" customHeight="false" outlineLevel="0" collapsed="false">
      <c r="A364" s="47" t="n">
        <v>46209</v>
      </c>
      <c r="B364" s="31" t="n">
        <v>0</v>
      </c>
    </row>
    <row r="365" customFormat="false" ht="15" hidden="false" customHeight="false" outlineLevel="0" collapsed="false">
      <c r="A365" s="46" t="n">
        <v>46210</v>
      </c>
      <c r="B365" s="30" t="n">
        <v>29.088</v>
      </c>
    </row>
    <row r="366" customFormat="false" ht="15" hidden="false" customHeight="false" outlineLevel="0" collapsed="false">
      <c r="A366" s="47" t="n">
        <v>46211</v>
      </c>
      <c r="B366" s="31" t="n">
        <v>12.305</v>
      </c>
    </row>
    <row r="367" customFormat="false" ht="15" hidden="false" customHeight="false" outlineLevel="0" collapsed="false">
      <c r="A367" s="46" t="n">
        <v>46212</v>
      </c>
      <c r="B367" s="30" t="n">
        <v>0</v>
      </c>
    </row>
    <row r="368" customFormat="false" ht="15" hidden="false" customHeight="false" outlineLevel="0" collapsed="false">
      <c r="A368" s="47" t="n">
        <v>46213</v>
      </c>
      <c r="B368" s="31" t="n">
        <v>6.159</v>
      </c>
    </row>
    <row r="369" customFormat="false" ht="15" hidden="false" customHeight="false" outlineLevel="0" collapsed="false">
      <c r="A369" s="46" t="n">
        <v>46214</v>
      </c>
      <c r="B369" s="30" t="n">
        <v>0</v>
      </c>
    </row>
    <row r="370" customFormat="false" ht="15" hidden="false" customHeight="false" outlineLevel="0" collapsed="false">
      <c r="A370" s="8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43" t="s">
        <v>359</v>
      </c>
    </row>
    <row r="2" customFormat="false" ht="15" hidden="false" customHeight="false" outlineLevel="0" collapsed="false">
      <c r="A2" s="22" t="s">
        <v>360</v>
      </c>
    </row>
    <row r="4" customFormat="false" ht="15" hidden="false" customHeight="false" outlineLevel="0" collapsed="false">
      <c r="A4" s="72" t="s">
        <v>213</v>
      </c>
      <c r="B4" s="72" t="s">
        <v>47</v>
      </c>
      <c r="C4" s="72" t="s">
        <v>49</v>
      </c>
      <c r="F4" s="72" t="s">
        <v>214</v>
      </c>
      <c r="G4" s="72" t="s">
        <v>47</v>
      </c>
      <c r="H4" s="72" t="s">
        <v>49</v>
      </c>
      <c r="K4" s="72" t="s">
        <v>69</v>
      </c>
      <c r="L4" s="72" t="s">
        <v>47</v>
      </c>
      <c r="M4" s="72" t="s">
        <v>49</v>
      </c>
      <c r="N4" s="72" t="s">
        <v>48</v>
      </c>
    </row>
    <row r="5" customFormat="false" ht="15" hidden="false" customHeight="false" outlineLevel="0" collapsed="false">
      <c r="A5" s="13" t="s">
        <v>225</v>
      </c>
      <c r="B5" s="13" t="n">
        <v>37</v>
      </c>
      <c r="C5" s="35" t="n">
        <v>905.25</v>
      </c>
      <c r="F5" s="13" t="s">
        <v>289</v>
      </c>
      <c r="G5" s="13" t="n">
        <v>6</v>
      </c>
      <c r="H5" s="35" t="n">
        <v>150.06</v>
      </c>
      <c r="K5" s="13" t="s">
        <v>224</v>
      </c>
      <c r="L5" s="13" t="n">
        <v>96</v>
      </c>
      <c r="M5" s="35" t="n">
        <v>1775.37</v>
      </c>
      <c r="N5" s="19" t="n">
        <v>2806.316188</v>
      </c>
    </row>
    <row r="6" customFormat="false" ht="15" hidden="false" customHeight="false" outlineLevel="0" collapsed="false">
      <c r="A6" s="15" t="s">
        <v>288</v>
      </c>
      <c r="B6" s="15" t="n">
        <v>6</v>
      </c>
      <c r="C6" s="37" t="n">
        <v>150.06</v>
      </c>
      <c r="F6" s="15" t="s">
        <v>230</v>
      </c>
      <c r="G6" s="15" t="n">
        <v>5</v>
      </c>
      <c r="H6" s="37" t="n">
        <v>77.86</v>
      </c>
      <c r="K6" s="15" t="s">
        <v>227</v>
      </c>
      <c r="L6" s="15" t="n">
        <v>18</v>
      </c>
      <c r="M6" s="37" t="n">
        <v>212.02</v>
      </c>
      <c r="N6" s="32" t="n">
        <v>378.493608</v>
      </c>
    </row>
    <row r="7" customFormat="false" ht="15" hidden="false" customHeight="false" outlineLevel="0" collapsed="false">
      <c r="A7" s="13" t="s">
        <v>268</v>
      </c>
      <c r="B7" s="13" t="n">
        <v>5</v>
      </c>
      <c r="C7" s="35" t="n">
        <v>54.61</v>
      </c>
      <c r="F7" s="13" t="s">
        <v>232</v>
      </c>
      <c r="G7" s="13" t="n">
        <v>4</v>
      </c>
      <c r="H7" s="35" t="n">
        <v>53.98</v>
      </c>
      <c r="K7" s="13" t="s">
        <v>246</v>
      </c>
      <c r="L7" s="13" t="n">
        <v>10</v>
      </c>
      <c r="M7" s="35" t="n">
        <v>159.73</v>
      </c>
      <c r="N7" s="19" t="n">
        <v>264.547784</v>
      </c>
    </row>
    <row r="8" customFormat="false" ht="15" hidden="false" customHeight="false" outlineLevel="0" collapsed="false">
      <c r="A8" s="15" t="s">
        <v>350</v>
      </c>
      <c r="B8" s="15" t="n">
        <v>5</v>
      </c>
      <c r="C8" s="37" t="n">
        <v>3.19</v>
      </c>
      <c r="F8" s="15" t="s">
        <v>282</v>
      </c>
      <c r="G8" s="15" t="n">
        <v>4</v>
      </c>
      <c r="H8" s="37" t="n">
        <v>89.74</v>
      </c>
      <c r="K8" s="15" t="s">
        <v>254</v>
      </c>
      <c r="L8" s="15" t="n">
        <v>9</v>
      </c>
      <c r="M8" s="37" t="n">
        <v>176.72</v>
      </c>
      <c r="N8" s="32" t="n">
        <v>276.5583</v>
      </c>
    </row>
    <row r="9" customFormat="false" ht="15" hidden="false" customHeight="false" outlineLevel="0" collapsed="false">
      <c r="A9" s="13" t="s">
        <v>223</v>
      </c>
      <c r="B9" s="13" t="n">
        <v>5</v>
      </c>
      <c r="C9" s="35" t="n">
        <v>25.39</v>
      </c>
      <c r="F9" s="13" t="s">
        <v>315</v>
      </c>
      <c r="G9" s="13" t="n">
        <v>4</v>
      </c>
      <c r="H9" s="35" t="n">
        <v>25.84</v>
      </c>
      <c r="K9" s="13" t="s">
        <v>264</v>
      </c>
      <c r="L9" s="13" t="n">
        <v>5</v>
      </c>
      <c r="M9" s="35" t="n">
        <v>37.59</v>
      </c>
      <c r="N9" s="19" t="n">
        <v>43.146601</v>
      </c>
    </row>
    <row r="10" customFormat="false" ht="15" hidden="false" customHeight="false" outlineLevel="0" collapsed="false">
      <c r="A10" s="15" t="s">
        <v>298</v>
      </c>
      <c r="B10" s="15" t="n">
        <v>5</v>
      </c>
      <c r="C10" s="37" t="n">
        <v>117.31</v>
      </c>
      <c r="F10" s="15" t="s">
        <v>251</v>
      </c>
      <c r="G10" s="15" t="n">
        <v>3</v>
      </c>
      <c r="H10" s="37" t="n">
        <v>30.12</v>
      </c>
      <c r="K10" s="15" t="s">
        <v>242</v>
      </c>
      <c r="L10" s="15" t="n">
        <v>3</v>
      </c>
      <c r="M10" s="37" t="n">
        <v>76.03</v>
      </c>
      <c r="N10" s="32" t="n">
        <v>150.954601</v>
      </c>
    </row>
    <row r="11" customFormat="false" ht="15" hidden="false" customHeight="false" outlineLevel="0" collapsed="false">
      <c r="A11" s="13" t="s">
        <v>314</v>
      </c>
      <c r="B11" s="13" t="n">
        <v>4</v>
      </c>
      <c r="C11" s="35" t="n">
        <v>25.84</v>
      </c>
      <c r="F11" s="13" t="s">
        <v>309</v>
      </c>
      <c r="G11" s="13" t="n">
        <v>3</v>
      </c>
      <c r="H11" s="35" t="n">
        <v>57.25</v>
      </c>
      <c r="K11" s="13" t="s">
        <v>252</v>
      </c>
      <c r="L11" s="13" t="n">
        <v>3</v>
      </c>
      <c r="M11" s="35" t="n">
        <v>30.12</v>
      </c>
      <c r="N11" s="19" t="n">
        <v>48.6106</v>
      </c>
    </row>
    <row r="12" customFormat="false" ht="15" hidden="false" customHeight="false" outlineLevel="0" collapsed="false">
      <c r="A12" s="15" t="s">
        <v>275</v>
      </c>
      <c r="B12" s="15" t="n">
        <v>4</v>
      </c>
      <c r="C12" s="37" t="n">
        <v>24.32</v>
      </c>
      <c r="F12" s="15" t="s">
        <v>294</v>
      </c>
      <c r="G12" s="15" t="n">
        <v>2</v>
      </c>
      <c r="H12" s="37" t="n">
        <v>28.02</v>
      </c>
      <c r="K12" s="15" t="s">
        <v>279</v>
      </c>
      <c r="L12" s="15" t="n">
        <v>3</v>
      </c>
      <c r="M12" s="37" t="n">
        <v>65.07</v>
      </c>
      <c r="N12" s="32" t="n">
        <v>109.073198</v>
      </c>
    </row>
    <row r="13" customFormat="false" ht="15" hidden="false" customHeight="false" outlineLevel="0" collapsed="false">
      <c r="A13" s="13" t="s">
        <v>250</v>
      </c>
      <c r="B13" s="13" t="n">
        <v>3</v>
      </c>
      <c r="C13" s="35" t="n">
        <v>30.12</v>
      </c>
      <c r="F13" s="13" t="s">
        <v>235</v>
      </c>
      <c r="G13" s="13" t="n">
        <v>2</v>
      </c>
      <c r="H13" s="35" t="n">
        <v>31.82</v>
      </c>
      <c r="K13" s="13" t="s">
        <v>257</v>
      </c>
      <c r="L13" s="13" t="n">
        <v>3</v>
      </c>
      <c r="M13" s="35" t="n">
        <v>50.77</v>
      </c>
      <c r="N13" s="19" t="n">
        <v>100.065804</v>
      </c>
    </row>
    <row r="14" customFormat="false" ht="15" hidden="false" customHeight="false" outlineLevel="0" collapsed="false">
      <c r="A14" s="15" t="s">
        <v>236</v>
      </c>
      <c r="B14" s="15" t="n">
        <v>3</v>
      </c>
      <c r="C14" s="37" t="n">
        <v>40.43</v>
      </c>
      <c r="F14" s="15" t="s">
        <v>304</v>
      </c>
      <c r="G14" s="15" t="n">
        <v>2</v>
      </c>
      <c r="H14" s="37" t="n">
        <v>45.25</v>
      </c>
      <c r="K14" s="15" t="s">
        <v>292</v>
      </c>
      <c r="L14" s="15" t="n">
        <v>2</v>
      </c>
      <c r="M14" s="37" t="n">
        <v>55.22</v>
      </c>
      <c r="N14" s="32" t="n">
        <v>83.8031</v>
      </c>
    </row>
    <row r="15" customFormat="false" ht="15" hidden="false" customHeight="false" outlineLevel="0" collapsed="false">
      <c r="A15" s="13" t="s">
        <v>249</v>
      </c>
      <c r="B15" s="13" t="n">
        <v>3</v>
      </c>
      <c r="C15" s="35" t="n">
        <v>63.88</v>
      </c>
      <c r="F15" s="13" t="s">
        <v>301</v>
      </c>
      <c r="G15" s="13" t="n">
        <v>2</v>
      </c>
      <c r="H15" s="35" t="n">
        <v>23.3</v>
      </c>
      <c r="K15" s="13" t="s">
        <v>305</v>
      </c>
      <c r="L15" s="13" t="n">
        <v>2</v>
      </c>
      <c r="M15" s="35" t="n">
        <v>45.25</v>
      </c>
      <c r="N15" s="19" t="n">
        <v>66.288899</v>
      </c>
    </row>
    <row r="16" customFormat="false" ht="15" hidden="false" customHeight="false" outlineLevel="0" collapsed="false">
      <c r="A16" s="15" t="s">
        <v>297</v>
      </c>
      <c r="B16" s="15" t="n">
        <v>3</v>
      </c>
      <c r="C16" s="37" t="n">
        <v>75.13</v>
      </c>
      <c r="F16" s="15" t="s">
        <v>323</v>
      </c>
      <c r="G16" s="15" t="n">
        <v>2</v>
      </c>
      <c r="H16" s="37" t="n">
        <v>12.83</v>
      </c>
      <c r="K16" s="15" t="s">
        <v>238</v>
      </c>
      <c r="L16" s="15" t="n">
        <v>2</v>
      </c>
      <c r="M16" s="37" t="n">
        <v>39.78</v>
      </c>
      <c r="N16" s="32" t="n">
        <v>68.5376</v>
      </c>
    </row>
    <row r="17" customFormat="false" ht="15" hidden="false" customHeight="false" outlineLevel="0" collapsed="false">
      <c r="A17" s="13" t="s">
        <v>332</v>
      </c>
      <c r="B17" s="13" t="n">
        <v>2</v>
      </c>
      <c r="C17" s="35" t="n">
        <v>47.44</v>
      </c>
      <c r="F17" s="13" t="s">
        <v>307</v>
      </c>
      <c r="G17" s="13" t="n">
        <v>2</v>
      </c>
      <c r="H17" s="35" t="n">
        <v>35.77</v>
      </c>
      <c r="K17" s="13" t="s">
        <v>302</v>
      </c>
      <c r="L17" s="13" t="n">
        <v>2</v>
      </c>
      <c r="M17" s="35" t="n">
        <v>23.3</v>
      </c>
      <c r="N17" s="19" t="n">
        <v>18.398255</v>
      </c>
    </row>
    <row r="18" customFormat="false" ht="15" hidden="false" customHeight="false" outlineLevel="0" collapsed="false">
      <c r="A18" s="15" t="s">
        <v>229</v>
      </c>
      <c r="B18" s="15" t="n">
        <v>2</v>
      </c>
      <c r="C18" s="37" t="n">
        <v>13.98</v>
      </c>
      <c r="F18" s="15" t="s">
        <v>348</v>
      </c>
      <c r="G18" s="15" t="n">
        <v>1</v>
      </c>
      <c r="H18" s="37" t="n">
        <v>20.28</v>
      </c>
      <c r="K18" s="15" t="s">
        <v>336</v>
      </c>
      <c r="L18" s="15" t="n">
        <v>1</v>
      </c>
      <c r="M18" s="37" t="n">
        <v>11.01</v>
      </c>
      <c r="N18" s="32" t="n">
        <v>15.5354</v>
      </c>
    </row>
    <row r="19" customFormat="false" ht="15" hidden="false" customHeight="false" outlineLevel="0" collapsed="false">
      <c r="A19" s="13" t="s">
        <v>239</v>
      </c>
      <c r="B19" s="13" t="n">
        <v>2</v>
      </c>
      <c r="C19" s="35" t="n">
        <v>16.27</v>
      </c>
      <c r="F19" s="13" t="s">
        <v>335</v>
      </c>
      <c r="G19" s="13" t="n">
        <v>1</v>
      </c>
      <c r="H19" s="35" t="n">
        <v>11.01</v>
      </c>
      <c r="K19" s="13" t="s">
        <v>346</v>
      </c>
      <c r="L19" s="13" t="n">
        <v>1</v>
      </c>
      <c r="M19" s="35" t="n">
        <v>19.14</v>
      </c>
      <c r="N19" s="19" t="n">
        <v>27.8244</v>
      </c>
    </row>
    <row r="20" customFormat="false" ht="15" hidden="false" customHeight="false" outlineLevel="0" collapsed="false">
      <c r="A20" s="15" t="s">
        <v>313</v>
      </c>
      <c r="B20" s="15" t="n">
        <v>2</v>
      </c>
      <c r="C20" s="37" t="n">
        <v>30.8</v>
      </c>
      <c r="F20" s="15" t="s">
        <v>325</v>
      </c>
      <c r="G20" s="15" t="n">
        <v>1</v>
      </c>
      <c r="H20" s="37" t="n">
        <v>11.44</v>
      </c>
      <c r="K20" s="15" t="s">
        <v>274</v>
      </c>
      <c r="L20" s="15" t="n">
        <v>1</v>
      </c>
      <c r="M20" s="37" t="n">
        <v>6.36</v>
      </c>
      <c r="N20" s="32" t="n">
        <v>12.3724</v>
      </c>
    </row>
    <row r="21" customFormat="false" ht="15" hidden="false" customHeight="false" outlineLevel="0" collapsed="false">
      <c r="A21" s="13" t="s">
        <v>226</v>
      </c>
      <c r="B21" s="13" t="n">
        <v>2</v>
      </c>
      <c r="C21" s="35" t="n">
        <v>22.01</v>
      </c>
      <c r="F21" s="13" t="s">
        <v>245</v>
      </c>
      <c r="G21" s="13" t="n">
        <v>1</v>
      </c>
      <c r="H21" s="35" t="n">
        <v>11.8</v>
      </c>
      <c r="K21" s="13" t="s">
        <v>343</v>
      </c>
      <c r="L21" s="13" t="n">
        <v>1</v>
      </c>
      <c r="M21" s="35" t="n">
        <v>26.7</v>
      </c>
      <c r="N21" s="19" t="n">
        <v>39.3949</v>
      </c>
    </row>
    <row r="22" customFormat="false" ht="15" hidden="false" customHeight="false" outlineLevel="0" collapsed="false">
      <c r="A22" s="15" t="s">
        <v>299</v>
      </c>
      <c r="B22" s="15" t="n">
        <v>2</v>
      </c>
      <c r="C22" s="37" t="n">
        <v>40.04</v>
      </c>
      <c r="F22" s="15" t="s">
        <v>263</v>
      </c>
      <c r="G22" s="15" t="n">
        <v>1</v>
      </c>
      <c r="H22" s="37" t="n">
        <v>11.75</v>
      </c>
      <c r="K22" s="15" t="s">
        <v>349</v>
      </c>
      <c r="L22" s="15" t="n">
        <v>1</v>
      </c>
      <c r="M22" s="37" t="n">
        <v>20.28</v>
      </c>
      <c r="N22" s="32" t="n">
        <v>29.5188</v>
      </c>
    </row>
    <row r="23" customFormat="false" ht="15" hidden="false" customHeight="false" outlineLevel="0" collapsed="false">
      <c r="A23" s="13" t="s">
        <v>322</v>
      </c>
      <c r="B23" s="13" t="n">
        <v>2</v>
      </c>
      <c r="C23" s="35" t="n">
        <v>12.83</v>
      </c>
      <c r="F23" s="13" t="s">
        <v>296</v>
      </c>
      <c r="G23" s="13" t="n">
        <v>1</v>
      </c>
      <c r="H23" s="35" t="n">
        <v>8.59</v>
      </c>
      <c r="K23" s="13" t="s">
        <v>352</v>
      </c>
      <c r="L23" s="13" t="n">
        <v>1</v>
      </c>
      <c r="M23" s="35" t="n">
        <v>8.45</v>
      </c>
      <c r="N23" s="19" t="n">
        <v>11.8481</v>
      </c>
    </row>
    <row r="24" customFormat="false" ht="15" hidden="false" customHeight="false" outlineLevel="0" collapsed="false">
      <c r="A24" s="15" t="s">
        <v>258</v>
      </c>
      <c r="B24" s="15" t="n">
        <v>2</v>
      </c>
      <c r="C24" s="37" t="n">
        <v>37.81</v>
      </c>
      <c r="F24" s="15" t="s">
        <v>241</v>
      </c>
      <c r="G24" s="15" t="n">
        <v>1</v>
      </c>
      <c r="H24" s="37" t="n">
        <v>17.6</v>
      </c>
    </row>
    <row r="25" customFormat="false" ht="15" hidden="false" customHeight="false" outlineLevel="0" collapsed="false">
      <c r="A25" s="13" t="s">
        <v>308</v>
      </c>
      <c r="B25" s="13" t="n">
        <v>2</v>
      </c>
      <c r="C25" s="35" t="n">
        <v>43.31</v>
      </c>
      <c r="F25" s="13" t="s">
        <v>260</v>
      </c>
      <c r="G25" s="13" t="n">
        <v>1</v>
      </c>
      <c r="H25" s="35" t="n">
        <v>24.26</v>
      </c>
    </row>
    <row r="26" customFormat="false" ht="15" hidden="false" customHeight="false" outlineLevel="0" collapsed="false">
      <c r="A26" s="15" t="s">
        <v>269</v>
      </c>
      <c r="B26" s="15" t="n">
        <v>2</v>
      </c>
      <c r="C26" s="37" t="n">
        <v>33.92</v>
      </c>
      <c r="F26" s="15" t="s">
        <v>321</v>
      </c>
      <c r="G26" s="15" t="n">
        <v>1</v>
      </c>
      <c r="H26" s="37" t="n">
        <v>28.49</v>
      </c>
    </row>
    <row r="27" customFormat="false" ht="15" hidden="false" customHeight="false" outlineLevel="0" collapsed="false">
      <c r="A27" s="13" t="s">
        <v>300</v>
      </c>
      <c r="B27" s="13" t="n">
        <v>2</v>
      </c>
      <c r="C27" s="35" t="n">
        <v>23.3</v>
      </c>
      <c r="F27" s="13" t="s">
        <v>318</v>
      </c>
      <c r="G27" s="13" t="n">
        <v>1</v>
      </c>
      <c r="H27" s="35" t="n">
        <v>15.89</v>
      </c>
    </row>
    <row r="28" customFormat="false" ht="15" hidden="false" customHeight="false" outlineLevel="0" collapsed="false">
      <c r="A28" s="15" t="s">
        <v>303</v>
      </c>
      <c r="B28" s="15" t="n">
        <v>2</v>
      </c>
      <c r="C28" s="37" t="n">
        <v>45.25</v>
      </c>
      <c r="F28" s="15" t="s">
        <v>256</v>
      </c>
      <c r="G28" s="15" t="n">
        <v>1</v>
      </c>
      <c r="H28" s="37" t="n">
        <v>3.11</v>
      </c>
    </row>
    <row r="29" customFormat="false" ht="15" hidden="false" customHeight="false" outlineLevel="0" collapsed="false">
      <c r="A29" s="13" t="s">
        <v>281</v>
      </c>
      <c r="B29" s="13" t="n">
        <v>2</v>
      </c>
      <c r="C29" s="35" t="n">
        <v>67.38</v>
      </c>
      <c r="F29" s="13" t="s">
        <v>267</v>
      </c>
      <c r="G29" s="13" t="n">
        <v>1</v>
      </c>
      <c r="H29" s="35" t="n">
        <v>21.48</v>
      </c>
    </row>
    <row r="30" customFormat="false" ht="15" hidden="false" customHeight="false" outlineLevel="0" collapsed="false">
      <c r="A30" s="15" t="s">
        <v>231</v>
      </c>
      <c r="B30" s="15" t="n">
        <v>2</v>
      </c>
      <c r="C30" s="37" t="n">
        <v>23.18</v>
      </c>
      <c r="F30" s="15" t="s">
        <v>331</v>
      </c>
      <c r="G30" s="15" t="n">
        <v>1</v>
      </c>
      <c r="H30" s="37" t="n">
        <v>20.15</v>
      </c>
    </row>
    <row r="31" customFormat="false" ht="15" hidden="false" customHeight="false" outlineLevel="0" collapsed="false">
      <c r="A31" s="13" t="s">
        <v>306</v>
      </c>
      <c r="B31" s="13" t="n">
        <v>2</v>
      </c>
      <c r="C31" s="35" t="n">
        <v>35.77</v>
      </c>
      <c r="F31" s="13" t="s">
        <v>277</v>
      </c>
      <c r="G31" s="13" t="n">
        <v>1</v>
      </c>
      <c r="H31" s="35" t="n">
        <v>36.95</v>
      </c>
    </row>
    <row r="32" customFormat="false" ht="15" hidden="false" customHeight="false" outlineLevel="0" collapsed="false">
      <c r="A32" s="15" t="s">
        <v>293</v>
      </c>
      <c r="B32" s="15" t="n">
        <v>2</v>
      </c>
      <c r="C32" s="37" t="n">
        <v>28.02</v>
      </c>
      <c r="F32" s="15" t="s">
        <v>284</v>
      </c>
      <c r="G32" s="15" t="n">
        <v>1</v>
      </c>
      <c r="H32" s="37" t="n">
        <v>14.13</v>
      </c>
    </row>
    <row r="33" customFormat="false" ht="15" hidden="false" customHeight="false" outlineLevel="0" collapsed="false">
      <c r="A33" s="13" t="s">
        <v>334</v>
      </c>
      <c r="B33" s="13" t="n">
        <v>1</v>
      </c>
      <c r="C33" s="35" t="n">
        <v>11.01</v>
      </c>
      <c r="F33" s="13" t="s">
        <v>340</v>
      </c>
      <c r="G33" s="13" t="n">
        <v>1</v>
      </c>
      <c r="H33" s="35" t="n">
        <v>18.42</v>
      </c>
    </row>
    <row r="34" customFormat="false" ht="15" hidden="false" customHeight="false" outlineLevel="0" collapsed="false">
      <c r="A34" s="15" t="s">
        <v>328</v>
      </c>
      <c r="B34" s="15" t="n">
        <v>1</v>
      </c>
      <c r="C34" s="37" t="n">
        <v>32.36</v>
      </c>
      <c r="F34" s="15" t="s">
        <v>345</v>
      </c>
      <c r="G34" s="15" t="n">
        <v>1</v>
      </c>
      <c r="H34" s="37" t="n">
        <v>19.14</v>
      </c>
    </row>
    <row r="35" customFormat="false" ht="15" hidden="false" customHeight="false" outlineLevel="0" collapsed="false">
      <c r="A35" s="13" t="s">
        <v>324</v>
      </c>
      <c r="B35" s="13" t="n">
        <v>1</v>
      </c>
      <c r="C35" s="35" t="n">
        <v>11.44</v>
      </c>
      <c r="F35" s="13" t="s">
        <v>273</v>
      </c>
      <c r="G35" s="13" t="n">
        <v>1</v>
      </c>
      <c r="H35" s="35" t="n">
        <v>6.36</v>
      </c>
    </row>
    <row r="36" customFormat="false" ht="15" hidden="false" customHeight="false" outlineLevel="0" collapsed="false">
      <c r="A36" s="15" t="s">
        <v>317</v>
      </c>
      <c r="B36" s="15" t="n">
        <v>1</v>
      </c>
      <c r="C36" s="37" t="n">
        <v>15.89</v>
      </c>
      <c r="F36" s="15" t="s">
        <v>355</v>
      </c>
      <c r="G36" s="15" t="n">
        <v>1</v>
      </c>
      <c r="H36" s="37" t="n">
        <v>11.5</v>
      </c>
    </row>
    <row r="37" customFormat="false" ht="15" hidden="false" customHeight="false" outlineLevel="0" collapsed="false">
      <c r="A37" s="13" t="s">
        <v>330</v>
      </c>
      <c r="B37" s="13" t="n">
        <v>1</v>
      </c>
      <c r="C37" s="35" t="n">
        <v>20.15</v>
      </c>
      <c r="F37" s="13" t="s">
        <v>327</v>
      </c>
      <c r="G37" s="13" t="n">
        <v>1</v>
      </c>
      <c r="H37" s="35" t="n">
        <v>17.54</v>
      </c>
    </row>
    <row r="38" customFormat="false" ht="15" hidden="false" customHeight="false" outlineLevel="0" collapsed="false">
      <c r="A38" s="15" t="s">
        <v>326</v>
      </c>
      <c r="B38" s="15" t="n">
        <v>1</v>
      </c>
      <c r="C38" s="37" t="n">
        <v>17.54</v>
      </c>
      <c r="F38" s="15" t="s">
        <v>342</v>
      </c>
      <c r="G38" s="15" t="n">
        <v>1</v>
      </c>
      <c r="H38" s="37" t="n">
        <v>26.7</v>
      </c>
    </row>
    <row r="39" customFormat="false" ht="15" hidden="false" customHeight="false" outlineLevel="0" collapsed="false">
      <c r="A39" s="13" t="s">
        <v>347</v>
      </c>
      <c r="B39" s="13" t="n">
        <v>1</v>
      </c>
      <c r="C39" s="35" t="n">
        <v>20.28</v>
      </c>
    </row>
    <row r="40" customFormat="false" ht="15" hidden="false" customHeight="false" outlineLevel="0" collapsed="false">
      <c r="A40" s="15" t="s">
        <v>271</v>
      </c>
      <c r="B40" s="15" t="n">
        <v>1</v>
      </c>
      <c r="C40" s="37" t="n">
        <v>11.89</v>
      </c>
    </row>
    <row r="41" customFormat="false" ht="15" hidden="false" customHeight="false" outlineLevel="0" collapsed="false">
      <c r="A41" s="13" t="s">
        <v>253</v>
      </c>
      <c r="B41" s="13" t="n">
        <v>1</v>
      </c>
      <c r="C41" s="35" t="n">
        <v>20.01</v>
      </c>
    </row>
    <row r="42" customFormat="false" ht="15" hidden="false" customHeight="false" outlineLevel="0" collapsed="false">
      <c r="A42" s="15" t="s">
        <v>234</v>
      </c>
      <c r="B42" s="15" t="n">
        <v>1</v>
      </c>
      <c r="C42" s="37" t="n">
        <v>14.9</v>
      </c>
    </row>
    <row r="43" customFormat="false" ht="15" hidden="false" customHeight="false" outlineLevel="0" collapsed="false">
      <c r="A43" s="13" t="s">
        <v>233</v>
      </c>
      <c r="B43" s="13" t="n">
        <v>1</v>
      </c>
      <c r="C43" s="35" t="n">
        <v>2.76</v>
      </c>
    </row>
    <row r="44" customFormat="false" ht="15" hidden="false" customHeight="false" outlineLevel="0" collapsed="false">
      <c r="A44" s="15" t="s">
        <v>286</v>
      </c>
      <c r="B44" s="15" t="n">
        <v>1</v>
      </c>
      <c r="C44" s="37" t="n">
        <v>10.48</v>
      </c>
    </row>
    <row r="45" customFormat="false" ht="15" hidden="false" customHeight="false" outlineLevel="0" collapsed="false">
      <c r="A45" s="13" t="s">
        <v>337</v>
      </c>
      <c r="B45" s="13" t="n">
        <v>1</v>
      </c>
      <c r="C45" s="35" t="n">
        <v>25.78</v>
      </c>
    </row>
    <row r="46" customFormat="false" ht="15" hidden="false" customHeight="false" outlineLevel="0" collapsed="false">
      <c r="A46" s="15" t="s">
        <v>248</v>
      </c>
      <c r="B46" s="15" t="n">
        <v>1</v>
      </c>
      <c r="C46" s="37" t="n">
        <v>17.92</v>
      </c>
    </row>
    <row r="47" customFormat="false" ht="15" hidden="false" customHeight="false" outlineLevel="0" collapsed="false">
      <c r="A47" s="13" t="s">
        <v>266</v>
      </c>
      <c r="B47" s="13" t="n">
        <v>1</v>
      </c>
      <c r="C47" s="35" t="n">
        <v>21.48</v>
      </c>
    </row>
    <row r="48" customFormat="false" ht="15" hidden="false" customHeight="false" outlineLevel="0" collapsed="false">
      <c r="A48" s="15" t="s">
        <v>240</v>
      </c>
      <c r="B48" s="15" t="n">
        <v>1</v>
      </c>
      <c r="C48" s="37" t="n">
        <v>17.6</v>
      </c>
    </row>
    <row r="49" customFormat="false" ht="15" hidden="false" customHeight="false" outlineLevel="0" collapsed="false">
      <c r="A49" s="13" t="s">
        <v>276</v>
      </c>
      <c r="B49" s="13" t="n">
        <v>1</v>
      </c>
      <c r="C49" s="35" t="n">
        <v>36.95</v>
      </c>
    </row>
    <row r="50" customFormat="false" ht="15" hidden="false" customHeight="false" outlineLevel="0" collapsed="false">
      <c r="A50" s="15" t="s">
        <v>329</v>
      </c>
      <c r="B50" s="15" t="n">
        <v>1</v>
      </c>
      <c r="C50" s="37" t="n">
        <v>6.23</v>
      </c>
    </row>
    <row r="51" customFormat="false" ht="15" hidden="false" customHeight="false" outlineLevel="0" collapsed="false">
      <c r="A51" s="13" t="s">
        <v>290</v>
      </c>
      <c r="B51" s="13" t="n">
        <v>1</v>
      </c>
      <c r="C51" s="35" t="n">
        <v>0.41</v>
      </c>
    </row>
    <row r="52" customFormat="false" ht="15" hidden="false" customHeight="false" outlineLevel="0" collapsed="false">
      <c r="A52" s="15" t="s">
        <v>287</v>
      </c>
      <c r="B52" s="15" t="n">
        <v>1</v>
      </c>
      <c r="C52" s="37" t="n">
        <v>7.44</v>
      </c>
    </row>
    <row r="53" customFormat="false" ht="15" hidden="false" customHeight="false" outlineLevel="0" collapsed="false">
      <c r="A53" s="13" t="s">
        <v>319</v>
      </c>
      <c r="B53" s="13" t="n">
        <v>1</v>
      </c>
      <c r="C53" s="35" t="n">
        <v>14.92</v>
      </c>
    </row>
    <row r="54" customFormat="false" ht="15" hidden="false" customHeight="false" outlineLevel="0" collapsed="false">
      <c r="A54" s="15" t="s">
        <v>243</v>
      </c>
      <c r="B54" s="15" t="n">
        <v>1</v>
      </c>
      <c r="C54" s="37" t="n">
        <v>20.54</v>
      </c>
    </row>
    <row r="55" customFormat="false" ht="15" hidden="false" customHeight="false" outlineLevel="0" collapsed="false">
      <c r="A55" s="13" t="s">
        <v>259</v>
      </c>
      <c r="B55" s="13" t="n">
        <v>1</v>
      </c>
      <c r="C55" s="35" t="n">
        <v>24.26</v>
      </c>
    </row>
    <row r="56" customFormat="false" ht="15" hidden="false" customHeight="false" outlineLevel="0" collapsed="false">
      <c r="A56" s="15" t="s">
        <v>312</v>
      </c>
      <c r="B56" s="15" t="n">
        <v>1</v>
      </c>
      <c r="C56" s="37" t="n">
        <v>14.13</v>
      </c>
    </row>
    <row r="57" customFormat="false" ht="15" hidden="false" customHeight="false" outlineLevel="0" collapsed="false">
      <c r="A57" s="13" t="s">
        <v>310</v>
      </c>
      <c r="B57" s="13" t="n">
        <v>1</v>
      </c>
      <c r="C57" s="35" t="n">
        <v>4.75</v>
      </c>
    </row>
    <row r="58" customFormat="false" ht="15" hidden="false" customHeight="false" outlineLevel="0" collapsed="false">
      <c r="A58" s="15" t="s">
        <v>316</v>
      </c>
      <c r="B58" s="15" t="n">
        <v>1</v>
      </c>
      <c r="C58" s="37" t="n">
        <v>16.92</v>
      </c>
    </row>
    <row r="59" customFormat="false" ht="15" hidden="false" customHeight="false" outlineLevel="0" collapsed="false">
      <c r="A59" s="13" t="s">
        <v>283</v>
      </c>
      <c r="B59" s="13" t="n">
        <v>1</v>
      </c>
      <c r="C59" s="35" t="n">
        <v>14.13</v>
      </c>
    </row>
    <row r="60" customFormat="false" ht="15" hidden="false" customHeight="false" outlineLevel="0" collapsed="false">
      <c r="A60" s="15" t="s">
        <v>353</v>
      </c>
      <c r="B60" s="15" t="n">
        <v>1</v>
      </c>
      <c r="C60" s="37" t="n">
        <v>12.88</v>
      </c>
    </row>
    <row r="61" customFormat="false" ht="15" hidden="false" customHeight="false" outlineLevel="0" collapsed="false">
      <c r="A61" s="13" t="s">
        <v>338</v>
      </c>
      <c r="B61" s="13" t="n">
        <v>1</v>
      </c>
      <c r="C61" s="35" t="n">
        <v>0.25</v>
      </c>
    </row>
    <row r="62" customFormat="false" ht="15" hidden="false" customHeight="false" outlineLevel="0" collapsed="false">
      <c r="A62" s="15" t="s">
        <v>265</v>
      </c>
      <c r="B62" s="15" t="n">
        <v>1</v>
      </c>
      <c r="C62" s="37" t="n">
        <v>9.43</v>
      </c>
    </row>
    <row r="63" customFormat="false" ht="15" hidden="false" customHeight="false" outlineLevel="0" collapsed="false">
      <c r="A63" s="13" t="s">
        <v>285</v>
      </c>
      <c r="B63" s="13" t="n">
        <v>1</v>
      </c>
      <c r="C63" s="35" t="n">
        <v>19.94</v>
      </c>
    </row>
    <row r="64" customFormat="false" ht="15" hidden="false" customHeight="false" outlineLevel="0" collapsed="false">
      <c r="A64" s="15" t="s">
        <v>333</v>
      </c>
      <c r="B64" s="15" t="n">
        <v>1</v>
      </c>
      <c r="C64" s="37" t="n">
        <v>13.94</v>
      </c>
    </row>
    <row r="65" customFormat="false" ht="15" hidden="false" customHeight="false" outlineLevel="0" collapsed="false">
      <c r="A65" s="13" t="s">
        <v>339</v>
      </c>
      <c r="B65" s="13" t="n">
        <v>1</v>
      </c>
      <c r="C65" s="35" t="n">
        <v>18.42</v>
      </c>
    </row>
    <row r="66" customFormat="false" ht="15" hidden="false" customHeight="false" outlineLevel="0" collapsed="false">
      <c r="A66" s="15" t="s">
        <v>244</v>
      </c>
      <c r="B66" s="15" t="n">
        <v>1</v>
      </c>
      <c r="C66" s="37" t="n">
        <v>11.8</v>
      </c>
    </row>
    <row r="67" customFormat="false" ht="15" hidden="false" customHeight="false" outlineLevel="0" collapsed="false">
      <c r="A67" s="13" t="s">
        <v>354</v>
      </c>
      <c r="B67" s="13" t="n">
        <v>1</v>
      </c>
      <c r="C67" s="35" t="n">
        <v>11.5</v>
      </c>
    </row>
    <row r="68" customFormat="false" ht="15" hidden="false" customHeight="false" outlineLevel="0" collapsed="false">
      <c r="A68" s="15" t="s">
        <v>278</v>
      </c>
      <c r="B68" s="15" t="n">
        <v>1</v>
      </c>
      <c r="C68" s="37" t="n">
        <v>26.18</v>
      </c>
    </row>
    <row r="69" customFormat="false" ht="15" hidden="false" customHeight="false" outlineLevel="0" collapsed="false">
      <c r="A69" s="13" t="s">
        <v>291</v>
      </c>
      <c r="B69" s="13" t="n">
        <v>1</v>
      </c>
      <c r="C69" s="35" t="n">
        <v>43.72</v>
      </c>
    </row>
    <row r="70" customFormat="false" ht="15" hidden="false" customHeight="false" outlineLevel="0" collapsed="false">
      <c r="A70" s="15" t="s">
        <v>311</v>
      </c>
      <c r="B70" s="15" t="n">
        <v>1</v>
      </c>
      <c r="C70" s="37" t="n">
        <v>30.3</v>
      </c>
    </row>
    <row r="71" customFormat="false" ht="15" hidden="false" customHeight="false" outlineLevel="0" collapsed="false">
      <c r="A71" s="13" t="s">
        <v>255</v>
      </c>
      <c r="B71" s="13" t="n">
        <v>1</v>
      </c>
      <c r="C71" s="35" t="n">
        <v>3.11</v>
      </c>
    </row>
    <row r="72" customFormat="false" ht="15" hidden="false" customHeight="false" outlineLevel="0" collapsed="false">
      <c r="A72" s="15" t="s">
        <v>270</v>
      </c>
      <c r="B72" s="15" t="n">
        <v>1</v>
      </c>
      <c r="C72" s="37" t="n">
        <v>19.71</v>
      </c>
    </row>
    <row r="73" customFormat="false" ht="15" hidden="false" customHeight="false" outlineLevel="0" collapsed="false">
      <c r="A73" s="13" t="s">
        <v>295</v>
      </c>
      <c r="B73" s="13" t="n">
        <v>1</v>
      </c>
      <c r="C73" s="35" t="n">
        <v>8.59</v>
      </c>
    </row>
    <row r="74" customFormat="false" ht="15" hidden="false" customHeight="false" outlineLevel="0" collapsed="false">
      <c r="A74" s="15" t="s">
        <v>280</v>
      </c>
      <c r="B74" s="15" t="n">
        <v>1</v>
      </c>
      <c r="C74" s="37" t="n">
        <v>27.95</v>
      </c>
    </row>
    <row r="75" customFormat="false" ht="15" hidden="false" customHeight="false" outlineLevel="0" collapsed="false">
      <c r="A75" s="13" t="s">
        <v>341</v>
      </c>
      <c r="B75" s="13" t="n">
        <v>1</v>
      </c>
      <c r="C75" s="35" t="n">
        <v>26.7</v>
      </c>
    </row>
    <row r="76" customFormat="false" ht="15" hidden="false" customHeight="false" outlineLevel="0" collapsed="false">
      <c r="A76" s="15" t="s">
        <v>262</v>
      </c>
      <c r="B76" s="15" t="n">
        <v>1</v>
      </c>
      <c r="C76" s="37" t="n">
        <v>11.75</v>
      </c>
    </row>
    <row r="77" customFormat="false" ht="15" hidden="false" customHeight="false" outlineLevel="0" collapsed="false">
      <c r="A77" s="13" t="s">
        <v>272</v>
      </c>
      <c r="B77" s="13" t="n">
        <v>1</v>
      </c>
      <c r="C77" s="35" t="n">
        <v>6.36</v>
      </c>
    </row>
    <row r="78" customFormat="false" ht="15" hidden="false" customHeight="false" outlineLevel="0" collapsed="false">
      <c r="A78" s="15" t="s">
        <v>344</v>
      </c>
      <c r="B78" s="15" t="n">
        <v>1</v>
      </c>
      <c r="C78" s="37" t="n">
        <v>19.14</v>
      </c>
    </row>
    <row r="79" customFormat="false" ht="15" hidden="false" customHeight="false" outlineLevel="0" collapsed="false">
      <c r="A79" s="13" t="s">
        <v>351</v>
      </c>
      <c r="B79" s="13" t="n">
        <v>1</v>
      </c>
      <c r="C79" s="35" t="n">
        <v>8.45</v>
      </c>
    </row>
    <row r="80" customFormat="false" ht="15" hidden="false" customHeight="false" outlineLevel="0" collapsed="false">
      <c r="A80" s="15" t="s">
        <v>320</v>
      </c>
      <c r="B80" s="15" t="n">
        <v>1</v>
      </c>
      <c r="C80" s="37" t="n">
        <v>28.49</v>
      </c>
    </row>
    <row r="81" customFormat="false" ht="15" hidden="false" customHeight="false" outlineLevel="0" collapsed="false">
      <c r="A81" s="13" t="s">
        <v>237</v>
      </c>
      <c r="B81" s="13" t="n">
        <v>1</v>
      </c>
      <c r="C81" s="35" t="n">
        <v>11.29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2026-07-13T15:27:02Z</dcterms:created>
  <dc:creator>openpyxl</dc:creator>
  <dc:description/>
  <dc:language>en-US</dc:language>
  <cp:lastModifiedBy/>
  <dcterms:modified xsi:type="dcterms:W3CDTF">2026-07-13T15:27:11Z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