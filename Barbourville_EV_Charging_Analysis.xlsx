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8.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Dashboard" sheetId="2" state="visible" r:id="rId4"/>
    <sheet name="Tourism (Level 2)" sheetId="3" state="visible" r:id="rId5"/>
    <sheet name="City Hall (Level 3)" sheetId="4" state="visible" r:id="rId6"/>
    <sheet name="Daily Summary" sheetId="5" state="visible" r:id="rId7"/>
    <sheet name="Time of Day" sheetId="6" state="visible" r:id="rId8"/>
    <sheet name="Frequency &amp; Day of Week" sheetId="7" state="visible" r:id="rId9"/>
    <sheet name="Revenue &amp; Economic Impact" sheetId="8" state="visible" r:id="rId10"/>
    <sheet name="Financial Reconciliation" sheetId="9" state="visible" r:id="rId11"/>
    <sheet name="Visitor Origin" sheetId="10" state="visible" r:id="rId12"/>
    <sheet name="Net Zero &amp; Recommendations" sheetId="11" state="visible" r:id="rId13"/>
    <sheet name="Raw - Sessions" sheetId="12" state="visible" r:id="rId14"/>
    <sheet name="Raw - Daily Energy" sheetId="13" state="visible" r:id="rId15"/>
    <sheet name="Raw - Zip-County-State" sheetId="14" state="visible" r:id="rId16"/>
  </sheets>
  <definedNames>
    <definedName function="false" hidden="true" localSheetId="8" name="_xlnm._FilterDatabase" vbProcedure="false">'Financial Reconciliation'!$A$30:$P$318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<sst xmlns="http://schemas.openxmlformats.org/spreadsheetml/2006/main" count="1987" uniqueCount="366">
  <si>
    <t xml:space="preserve">Barbourville, KY — Public EV Charging Station Analysis</t>
  </si>
  <si>
    <t xml:space="preserve">Prepared for: Barbourville City Tourism / City of Barbourville</t>
  </si>
  <si>
    <t xml:space="preserve">Prepared by: Mountain Association — Energy Team, Central Appalachia Internship Program</t>
  </si>
  <si>
    <t xml:space="preserve">Report period: July 12, 2025 – July 11, 2026 (12 months, ChargePoint dashboard export)</t>
  </si>
  <si>
    <t xml:space="preserve">Stations covered: BARBOURVILLE / CITY HALL (Level 3 / DCFC fast charger) and BARBOURVILLE / TOURISM (Level 2 charger), both on the Barbourville City Tourism ChargePoint account.</t>
  </si>
  <si>
    <t xml:space="preserve">These are two physically different chargers, so this workbook analyzes them separately first (Tourism (Level 2) and City Hall (Level 3) tabs - Tourism is the primary station of interest), then presents an All Stations Combined view (Daily Summary / Time of Day / Revenue / Visitor Origin tabs).</t>
  </si>
  <si>
    <t xml:space="preserve">Data sources</t>
  </si>
  <si>
    <t xml:space="preserve">• Energy-vs-Time-chart export — daily energy (kWh) delivered by the charger, ChargePoint dashboard (2 overlapping exports, deduplicated to 365 daily records).</t>
  </si>
  <si>
    <t xml:space="preserve">• Sessions export — 288 individual charging sessions: start/end time, energy delivered, peak power, payment method.</t>
  </si>
  <si>
    <t xml:space="preserve">• Charging Session Updates export — 1,119 fifteen-minute interval power readings tied to 278 of the sessions, used to measure how much of each session was actively drawing "car load" power.</t>
  </si>
  <si>
    <t xml:space="preserve">• Organization Statement export — 237 billed transactions with driver ZIP/county, revenue, fees, and payout — matched to sessions by transaction/session ID (235 of 237 matched).</t>
  </si>
  <si>
    <t xml:space="preserve">• GHG Savings chart (ChargePoint) — reference exhibit only; underlying data points are not machine-readable from the chart file, so figures from it are cited qualitatively, not recomputed.</t>
  </si>
  <si>
    <t xml:space="preserve">Key definitions &amp; assumptions used throughout this workbook</t>
  </si>
  <si>
    <t xml:space="preserve">Session: One continuous plug-in from Session Start to Session End, as recorded by ChargePoint.</t>
  </si>
  <si>
    <t xml:space="preserve">"Car load" (active charging): A 15-minute interval where Average Power draw exceeded 10 kW. Below 10 kW is treated as the vehicle finishing/topping off, idling while plugged in, or a very low-power draw — this is a threshold the requester specified, not a vehicle-verified state.</t>
  </si>
  <si>
    <t xml:space="preserve">Day segment: Morning 6:00–12:00, Day 12:00–18:00, Evening 18:00–22:00, Night 22:00–6:00, based on Session Start (local/dashboard time as exported).</t>
  </si>
  <si>
    <t xml:space="preserve">Overnight charging: Any session starting in the 22:00–6:00 Night window.</t>
  </si>
  <si>
    <t xml:space="preserve">Local driver: Sessions where the driver ZIP code on file is 40906 (Barbourville).</t>
  </si>
  <si>
    <t xml:space="preserve">State of origin: Estimated from the driver’s 3-digit ZIP prefix using standard USPS ZIP3-to-state ranges. This is an approximation, not a geocoded address — treat state-level splits as directional, not exact.</t>
  </si>
  <si>
    <t xml:space="preserve">Revenue figures: "Gross Amount" = amount charged to the driver (energy + service fee + tax). "Payout Amount" = amount remitted to the station host after ChargePoint’s processing/service fees. Economic-impact estimates use Gross Amount unless noted.</t>
  </si>
  <si>
    <t xml:space="preserve">GHG/CO2 estimate: Where shown, CO2 avoided is estimated at 0.386 kg CO2/kWh (a commonly cited U.S. average grid emissions factor) applied to total energy delivered. This is a planning-level estimate, not a certified GHG accounting figure.</t>
  </si>
  <si>
    <t xml:space="preserve">Important limitation: no separate solar production data</t>
  </si>
  <si>
    <t xml:space="preserve">The two "Energy-vs-Time" files in the source export are two exports of the SAME ChargePoint meter — the energy the charger delivered to vehicles. They are not a separate solar-array production meter, and no solar generation dataset was included in the uploaded file. That means this workbook cannot directly compare "solar produced" vs. "energy consumed," and cannot verify that solar and consumption match. If the site has a solar production meter (inverter or utility net-meter data), pulling that export and adding it to the Daily Energy tab would let this analysis be extended to a true solar-offset calculation. Everything under "Net Zero" in this workbook is therefore framed as energy-delivered analysis and recommendations, not a verified solar match.</t>
  </si>
  <si>
    <t xml:space="preserve">Tabs in this workbook</t>
  </si>
  <si>
    <t xml:space="preserve">• Dashboard — one-page presentation summary: combined KPIs, a Level 2 vs. Level 3 comparison, and the key charts, for showing to the mayor</t>
  </si>
  <si>
    <t xml:space="preserve">• Tourism (Level 2) — station-specific snapshot for BARBOURVILLE / TOURISM: KPIs, time of day, monthly trend, top states of origin</t>
  </si>
  <si>
    <t xml:space="preserve">• City Hall (Level 3) — same station-specific snapshot for BARBOURVILLE / CITY HALL (the DCFC charger)</t>
  </si>
  <si>
    <t xml:space="preserve">• Daily Summary — sessions, duration, energy and revenue by calendar day, ALL STATIONS COMBINED, with KPIs vs. the 1.2 hr/day rural benchmark</t>
  </si>
  <si>
    <t xml:space="preserve">• Time of Day — session counts, average length and "car load" share by Morning/Day/Evening/Night, ALL STATIONS COMBINED, plus overnight charging frequency</t>
  </si>
  <si>
    <t xml:space="preserve">• Frequency &amp; Day of Week — sessions by day of week and by calendar week, ALL STATIONS COMBINED</t>
  </si>
  <si>
    <t xml:space="preserve">• Revenue &amp; Economic Impact — monthly revenue/energy trend and a mayor-facing economic impact summary, ALL STATIONS COMBINED</t>
  </si>
  <si>
    <t xml:space="preserve">• Financial Reconciliation — what drivers paid vs. fees/taxes withheld vs. what the owner kept, plus whether rate x kWh matches what drivers actually paid</t>
  </si>
  <si>
    <t xml:space="preserve">• Visitor Origin — ZIP, county and estimated state of origin for drivers, ALL STATIONS COMBINED, with a chart of where visitors are coming from</t>
  </si>
  <si>
    <t xml:space="preserve">• Net Zero &amp; Recommendations — findings translated into concrete next steps for the charger owner</t>
  </si>
  <si>
    <t xml:space="preserve">• Raw - Sessions, Raw - Daily Energy, Raw - Zip-County-State — the underlying cleaned data every formula in this workbook points back to (Raw - Sessions column K identifies which station each session belongs to)</t>
  </si>
  <si>
    <t xml:space="preserve">Barbourville, KY — Public EV Charging: 12-Month Snapshot</t>
  </si>
  <si>
    <t xml:space="preserve">BARBOURVILLE / CITY HALL (Level 3 DCFC) + BARBOURVILLE / TOURISM (Level 2)  |  Jul 2025 - Jul 2026  |  Prepared as a benchmark example of what a Level 2 charger could bring to a city</t>
  </si>
  <si>
    <t xml:space="preserve">Total Sessions</t>
  </si>
  <si>
    <t xml:space="preserve">Total Energy (kWh)</t>
  </si>
  <si>
    <t xml:space="preserve">Avg Energy / Day (kWh)</t>
  </si>
  <si>
    <t xml:space="preserve">Avg Energy / Active Day (kWh)</t>
  </si>
  <si>
    <t xml:space="preserve">Avg Power While Charging (kW)</t>
  </si>
  <si>
    <t xml:space="preserve">Total Revenue</t>
  </si>
  <si>
    <t xml:space="preserve">Owner Payout</t>
  </si>
  <si>
    <t xml:space="preserve">Out-of-State Sessions</t>
  </si>
  <si>
    <t xml:space="preserve">Avg Session Length (min)</t>
  </si>
  <si>
    <t xml:space="preserve">Level 2 (Tourism) vs. Level 3 (City Hall) at a Glance</t>
  </si>
  <si>
    <t xml:space="preserve">Metric</t>
  </si>
  <si>
    <t xml:space="preserve">Tourism (Level 2)</t>
  </si>
  <si>
    <t xml:space="preserve">City Hall (Level 3)</t>
  </si>
  <si>
    <t xml:space="preserve">Combined</t>
  </si>
  <si>
    <t xml:space="preserve">Sessions</t>
  </si>
  <si>
    <t xml:space="preserve">Energy (kWh)</t>
  </si>
  <si>
    <t xml:space="preserve">Active Days (kWh &gt; 0)</t>
  </si>
  <si>
    <t xml:space="preserve">Revenue ($)</t>
  </si>
  <si>
    <t xml:space="preserve">Max Power (kW)</t>
  </si>
  <si>
    <t xml:space="preserve">Why this matters for a new Level 2 charger: Tourism (L2) sessions run almost twice as long as City Hall (L3) sessions on average, and cap out near 7.4 kW - it draws fewer visits but holds drivers downtown longer per visit, which is the profile that benefits nearby shops and restaurants most. See the Tourism (Level 2) tab for the full breakdown.</t>
  </si>
  <si>
    <t xml:space="preserve">BARBOURVILLE / TOURISM — Level 2 Charger Snapshot</t>
  </si>
  <si>
    <t xml:space="preserve">All figures below are filtered to this station only, pulled live from Raw - Sessions (Station = "BARBOURVILLE / TOURISM").</t>
  </si>
  <si>
    <t xml:space="preserve">Note on the &gt;10 kW "car load" threshold: this Level 2 charger tops out at about 7.4 kW, so it can never register a session above 10 kW - the combined-workbook threshold (built for the Level 3 charger) does not apply here. The KPI below instead uses a Level-2-appropriate 3 kW threshold to separate active charging from trickle/near-idle time.</t>
  </si>
  <si>
    <t xml:space="preserve">Total Gross Revenue</t>
  </si>
  <si>
    <t xml:space="preserve">% Sessions Peak Power &gt; 3 kW</t>
  </si>
  <si>
    <t xml:space="preserve">By Time of Day</t>
  </si>
  <si>
    <t xml:space="preserve">Day Segment</t>
  </si>
  <si>
    <t xml:space="preserve">Avg Duration (hr)</t>
  </si>
  <si>
    <t xml:space="preserve">Morning (6-12)</t>
  </si>
  <si>
    <t xml:space="preserve">Day (12-18)</t>
  </si>
  <si>
    <t xml:space="preserve">Evening (18-22)</t>
  </si>
  <si>
    <t xml:space="preserve">Night (22-6)</t>
  </si>
  <si>
    <t xml:space="preserve">Overnight sessions (started 22:00-6:00)</t>
  </si>
  <si>
    <t xml:space="preserve">Monthly Trend</t>
  </si>
  <si>
    <t xml:space="preserve">Month</t>
  </si>
  <si>
    <t xml:space="preserve">Top States of Origin (sessions with known ZIP)</t>
  </si>
  <si>
    <t xml:space="preserve">Est. State</t>
  </si>
  <si>
    <t xml:space="preserve">States with 0 sessions for this charger are still listed for consistency with the combined Visitor Origin tab.</t>
  </si>
  <si>
    <t xml:space="preserve">BARBOURVILLE / CITY HALL — Level 3 (DCFC) Charger Snapshot</t>
  </si>
  <si>
    <t xml:space="preserve">All figures below are filtered to this station only, pulled live from Raw - Sessions (Station = "BARBOURVILLE / CITY HALL").</t>
  </si>
  <si>
    <t xml:space="preserve">% Sessions Peak Power &gt; 10 kW</t>
  </si>
  <si>
    <t xml:space="preserve">Daily Charging Activity Summary (All Stations Combined)</t>
  </si>
  <si>
    <t xml:space="preserve">One row per calendar day across the full 12-month export. Sessions/duration/energy pull live from Raw - Sessions; Charger Energy pulls live from Raw - Daily Energy.</t>
  </si>
  <si>
    <t xml:space="preserve">Days in Reporting Period</t>
  </si>
  <si>
    <t xml:space="preserve">Avg Sessions / Active Day</t>
  </si>
  <si>
    <t xml:space="preserve">Avg Charging Hours / Day (full period)</t>
  </si>
  <si>
    <t xml:space="preserve">Avg Energy / Day (kWh, full period)</t>
  </si>
  <si>
    <t xml:space="preserve">Rural Benchmark (hrs/day, per requester)</t>
  </si>
  <si>
    <t xml:space="preserve">Day-by-day detail</t>
  </si>
  <si>
    <t xml:space="preserve">Date</t>
  </si>
  <si>
    <t xml:space="preserve">Total Session Duration (hr)</t>
  </si>
  <si>
    <t xml:space="preserve">Total Session Energy (kWh)</t>
  </si>
  <si>
    <t xml:space="preserve">Charger Meter Energy (kWh)</t>
  </si>
  <si>
    <t xml:space="preserve">Total Revenue ($)</t>
  </si>
  <si>
    <t xml:space="preserve">When People Charge (All Stations Combined): Time-of-Day &amp; Overnight Patterns</t>
  </si>
  <si>
    <t xml:space="preserve">Day Segment: Morning 6:00-12:00, Day 12:00-18:00, Evening 18:00-22:00, Night 22:00-6:00 (based on Session Start).</t>
  </si>
  <si>
    <t xml:space="preserve">% of All Sessions</t>
  </si>
  <si>
    <t xml:space="preserve">Avg % of Session Time &gt;10kW</t>
  </si>
  <si>
    <t xml:space="preserve">Overnight Charging Frequency</t>
  </si>
  <si>
    <t xml:space="preserve">Total days in reporting period</t>
  </si>
  <si>
    <t xml:space="preserve">Distinct nights with at least one overnight session</t>
  </si>
  <si>
    <t xml:space="preserve">Counted directly from Raw - Sessions overnight-flagged rows grouped by calendar date (see Raw - Sessions column R).</t>
  </si>
  <si>
    <t xml:space="preserve">% of nights with overnight charging</t>
  </si>
  <si>
    <t xml:space="preserve">How Often the Charger Is Used (All Stations Combined)</t>
  </si>
  <si>
    <t xml:space="preserve">"Sessions" is used as the count of visits/uses - the export has no unique driver ID, so repeat visits by the same person cannot be told apart from different people. Formulas pull live from Raw - Sessions.</t>
  </si>
  <si>
    <t xml:space="preserve">Sessions by Day of Week</t>
  </si>
  <si>
    <t xml:space="preserve">Day of Week</t>
  </si>
  <si>
    <t xml:space="preserve">% of Total</t>
  </si>
  <si>
    <t xml:space="preserve">Monday</t>
  </si>
  <si>
    <t xml:space="preserve">Tuesday</t>
  </si>
  <si>
    <t xml:space="preserve">Wednesday</t>
  </si>
  <si>
    <t xml:space="preserve">Thursday</t>
  </si>
  <si>
    <t xml:space="preserve">Friday</t>
  </si>
  <si>
    <t xml:space="preserve">Saturday</t>
  </si>
  <si>
    <t xml:space="preserve">Sunday</t>
  </si>
  <si>
    <t xml:space="preserve">Sessions per Week (Mon-start weeks)</t>
  </si>
  <si>
    <t xml:space="preserve">Week Start</t>
  </si>
  <si>
    <t xml:space="preserve">Average / week</t>
  </si>
  <si>
    <t xml:space="preserve">Revenue &amp; Economic Impact (All Stations Combined)</t>
  </si>
  <si>
    <t xml:space="preserve">Figures pull live from Raw - Sessions billing columns (Gross/Payout Amount, matched from the Organization Statement export).</t>
  </si>
  <si>
    <t xml:space="preserve">Total Payout to Host</t>
  </si>
  <si>
    <t xml:space="preserve">Avg Revenue / Session</t>
  </si>
  <si>
    <t xml:space="preserve">Avg $ per kWh Delivered</t>
  </si>
  <si>
    <t xml:space="preserve">Month Start</t>
  </si>
  <si>
    <t xml:space="preserve">Economic Impact Context (for presentation to the mayor)</t>
  </si>
  <si>
    <t xml:space="preserve">This charging site generated the totals above directly through session fees. Separately, published research on EV charging and local business activity provides a benchmark for the wider "dwell time" effect:</t>
  </si>
  <si>
    <t xml:space="preserve">A 2024 MIT/Nature Communications study of over 4,000 California charging stations found that installing a charger boosted annual spending at each nearby business by roughly $1,478 (2019 data) to $404 (2021-2023 data), as drivers use charging time to shop or dine nearby (source: MIT News / Nature Communications, "Effects of electric vehicle charging stations on the economic vitality of local businesses," 2024).</t>
  </si>
  <si>
    <t xml:space="preserve">The U.S. DOT Rural EV Toolkit similarly notes that because fast charging still takes meaningful time, rural EV drivers tend to combine a charging stop with visits to nearby stores, restaurants, or attractions - a "captive dwell time" that downtown businesses can capture.</t>
  </si>
  <si>
    <t xml:space="preserve">These figures are provided as directional context, not a Barbourville-specific economic study - the city would need its own downtown-business survey to quantify local spend per charging stop.</t>
  </si>
  <si>
    <t xml:space="preserve">Financial Reconciliation: What Drivers Pay, What Fees/Taxes Take, What the Owner Keeps</t>
  </si>
  <si>
    <t xml:space="preserve">Figures pull live from Raw - Sessions billing/rate columns (matched from the Organization Statement export, 235 of 288 sessions have billing data).</t>
  </si>
  <si>
    <t xml:space="preserve">Total Gross (What Drivers Paid)</t>
  </si>
  <si>
    <t xml:space="preserve">Total Fees + Taxes Withheld</t>
  </si>
  <si>
    <t xml:space="preserve">Total Payout (What Owner Kept)</t>
  </si>
  <si>
    <t xml:space="preserve">Fees+Taxes as % of Gross</t>
  </si>
  <si>
    <t xml:space="preserve">Where the Fees &amp; Taxes Go</t>
  </si>
  <si>
    <t xml:space="preserve">Component</t>
  </si>
  <si>
    <t xml:space="preserve">Total ($)</t>
  </si>
  <si>
    <t xml:space="preserve">What it is</t>
  </si>
  <si>
    <t xml:space="preserve">Sales Tax</t>
  </si>
  <si>
    <t xml:space="preserve">State/local sales tax collected on the transaction</t>
  </si>
  <si>
    <t xml:space="preserve">Service Fee (ChargePoint)</t>
  </si>
  <si>
    <t xml:space="preserve">ChargePoint's per-session service fee</t>
  </si>
  <si>
    <t xml:space="preserve">Flex Billing Service Fee</t>
  </si>
  <si>
    <t xml:space="preserve">ChargePoint's payment-processing fee</t>
  </si>
  <si>
    <t xml:space="preserve">Excise Tax</t>
  </si>
  <si>
    <t xml:space="preserve">Not applied in this dataset (all $0)</t>
  </si>
  <si>
    <t xml:space="preserve">Other Taxes</t>
  </si>
  <si>
    <t xml:space="preserve">Service Fee Tax</t>
  </si>
  <si>
    <t xml:space="preserve">Every total above is a live SUM formula against Raw - Sessions columns Z:AE - edit a fee/tax value there and these update automatically.</t>
  </si>
  <si>
    <t xml:space="preserve">Full Reconciliation Check — Every Session</t>
  </si>
  <si>
    <t xml:space="preserve">The posted per-kWh rate changed over time at both stations, per the Pricing Rule Name on each session: $0.25/kWh at launch (Oct 15-21, 2025), $0.40/kWh from Oct 22, 2025 to Mar 8, 2026, and $0.50/kWh from Mar 11, 2026 onward. Multiplying Rate × Energy (kWh) gives the pure energy charge - it does NOT equal the pre-tax session charge (Net Session Fee) for most sessions; the gap grows with session length (correlation with duration ≈ 0.88), consistent with a time-based add-on layered on top of the per-kWh rate (roughly $3.60/hour, R² ≈ 0.97 in a one-time regression against duration - this specific regression is not a live formula, since Excel has no native regression-against-duration function; re-run it in Python if the underlying data changes materially).</t>
  </si>
  <si>
    <t xml:space="preserve">Billed Sessions Checked</t>
  </si>
  <si>
    <t xml:space="preserve">Gross Amount Mismatches</t>
  </si>
  <si>
    <t xml:space="preserve">Payout Amount Mismatches</t>
  </si>
  <si>
    <t xml:space="preserve">Total $ Discrepancy Found</t>
  </si>
  <si>
    <t xml:space="preserve">Full Reconciliation Table — All 288 Sessions (blank = no billing data for that session)</t>
  </si>
  <si>
    <t xml:space="preserve">Session ID</t>
  </si>
  <si>
    <t xml:space="preserve">Station</t>
  </si>
  <si>
    <t xml:space="preserve">Rate ($/kWh)</t>
  </si>
  <si>
    <t xml:space="preserve">Net Session Fee</t>
  </si>
  <si>
    <t xml:space="preserve">Service Fee</t>
  </si>
  <si>
    <t xml:space="preserve">Flex Billing Fee</t>
  </si>
  <si>
    <t xml:space="preserve">Gross Amount</t>
  </si>
  <si>
    <t xml:space="preserve">Calc. Gross</t>
  </si>
  <si>
    <t xml:space="preserve">Gross Diff</t>
  </si>
  <si>
    <t xml:space="preserve">Gross Check</t>
  </si>
  <si>
    <t xml:space="preserve">Payout Amount</t>
  </si>
  <si>
    <t xml:space="preserve">Calc. Payout</t>
  </si>
  <si>
    <t xml:space="preserve">Payout Diff</t>
  </si>
  <si>
    <t xml:space="preserve">Payout Check</t>
  </si>
  <si>
    <t xml:space="preserve">Every column in this table is a live formula against Raw - Sessions - edit any session's Gross Amount, Payout Amount, or fee/tax columns there and this whole table (and the KPIs and sentences above) recalculates automatically. Blank rows are sessions with no billing data (guest/unmatched checkout). Use the column filter arrows on Gross Check / Payout Check to isolate MISMATCH rows.</t>
  </si>
  <si>
    <t xml:space="preserve">Where Charging Customers Come From (All Stations Combined)</t>
  </si>
  <si>
    <t xml:space="preserve">Based on 165 of 288 sessions with a driver ZIP on file (124 checked out without an account/ZIP). State is estimated from ZIP3 prefix (see Read Me for method).</t>
  </si>
  <si>
    <t xml:space="preserve">Local vs. Regional vs. Out-of-State</t>
  </si>
  <si>
    <t xml:space="preserve">Group</t>
  </si>
  <si>
    <t xml:space="preserve">Local (ZIP 40906)</t>
  </si>
  <si>
    <t xml:space="preserve">Rest of Kentucky</t>
  </si>
  <si>
    <t xml:space="preserve">Out of State</t>
  </si>
  <si>
    <t xml:space="preserve">Unknown (no ZIP / guest checkout)</t>
  </si>
  <si>
    <t xml:space="preserve">"Unknown" sessions are guest/anonymous checkouts with no account ZIP captured by ChargePoint - not necessarily local.</t>
  </si>
  <si>
    <t xml:space="preserve">Net Zero &amp; Recommendations for the Charger Owner</t>
  </si>
  <si>
    <t xml:space="preserve">What the data shows</t>
  </si>
  <si>
    <t xml:space="preserve">• Time of day: Evening (18:00-22:00) and Day (12:00-18:00) see the most sessions; overnight (22:00-6:00) charging happens on roughly 1 in 5 nights in the period, suggesting the station is mostly a daytime/evening stop rather than an overnight-dwell charger.</t>
  </si>
  <si>
    <t xml:space="preserve">• Solar vs. grid: the uploaded export only contains the charger's own delivered-energy meter, not a separate solar production meter, so this workbook cannot confirm whether solar generation is currently matching charging consumption (see Read Me).</t>
  </si>
  <si>
    <t xml:space="preserve">• Visitors: over a third of sessions with a known ZIP came from outside Kentucky, and the top out-of-state states are neighboring Tennessee, Ohio, and North Carolina - consistent with highway/tourism traffic rather than only local commuters.</t>
  </si>
  <si>
    <t xml:space="preserve">Recommendations toward net zero</t>
  </si>
  <si>
    <t xml:space="preserve">1. Get a real solar production number before claiming net zero.</t>
  </si>
  <si>
    <t xml:space="preserve">Pull a generation export from the site's solar inverter or utility net-meter (matching the same daily format as the charger's Energy-vs-Time export) and add it to the Raw - Daily Energy tab. Only then can "solar covers X% of charging load" be stated as a verified figure rather than an assumption.</t>
  </si>
  <si>
    <t xml:space="preserve">2. Target daytime charging to match solar production hours.</t>
  </si>
  <si>
    <t xml:space="preserve">Solar generates during daylight, but Evening and Night together account for a large share of sessions. If the goal is to maximize solar-matched charging, consider time-of-use pricing (a lower rate 10am-4pm) or signage encouraging daytime top-offs, and re-check the Time of Day tab each quarter to see if the shift is working.</t>
  </si>
  <si>
    <t xml:space="preserve">3. Size any battery storage or added solar off the actual daily energy curve, not an average.</t>
  </si>
  <si>
    <t xml:space="preserve">Daily energy delivered swings from 0 kWh (most days) up to ~40-70+ kWh on the busiest days (Raw - Daily Energy tab). A system sized to the daily average will undershoot on peak days; use the observed daily distribution to size for a target percentile (e.g., the busiest 1-in-10 day), not just the mean.</t>
  </si>
  <si>
    <t xml:space="preserve">4. Track the &gt;10kW "active load" share over time as a proxy for charger utilization.</t>
  </si>
  <si>
    <t xml:space="preserve">Right now roughly four-fifths of plugged-in time is active high-power draw. If that share drifts down, it can mean more idle "camping" on the charger (cars staying plugged in after they're done) - worth flagging for idle fees or session time limits, which several ChargePoint hosts use to free up the charger for the next driver.</t>
  </si>
  <si>
    <t xml:space="preserve">5. Use the overnight and visitor-origin data in city planning conversations.</t>
  </si>
  <si>
    <t xml:space="preserve">Low overnight use suggests the current chargers serve day-trip and pass-through traffic well but are not yet an overnight EV-tourism draw. If the city wants to capture overnight stays (hotel/B&amp;B partnerships), that would likely require a charger sited near lodging, not just City Hall/Tourism.</t>
  </si>
  <si>
    <t xml:space="preserve">Suggested talking points for the mayor</t>
  </si>
  <si>
    <t xml:space="preserve">• More than a third of identifiable customers are visiting from outside Kentucky - the charger is functioning as a stop for regional and highway travelers, not just a local amenity.</t>
  </si>
  <si>
    <t xml:space="preserve">• Published research on EV charging (MIT/Nature Communications, 2024) links nearby charging infrastructure to measurable upticks in nearby business spending, since drivers often shop or eat during a charging stop - relevant context if the city is considering charger locations near downtown businesses.</t>
  </si>
  <si>
    <t xml:space="preserve">• Next investment step: adding solar production monitoring would let the city credibly market these stations as solar-supported, and quantify progress toward a net-zero-charging goal - right now that comparison cannot be made from available data.</t>
  </si>
  <si>
    <t xml:space="preserve">Raw Session-Level Data (288 sessions, Oct 15 2025 - Jul 9 2026)</t>
  </si>
  <si>
    <t xml:space="preserve">Every session from the ChargePoint export, merged with billing (ZIP/revenue) and interval power data. All downstream tabs pull from this sheet.</t>
  </si>
  <si>
    <t xml:space="preserve">Session Start</t>
  </si>
  <si>
    <t xml:space="preserve">Session End</t>
  </si>
  <si>
    <t xml:space="preserve">Duration (hr)</t>
  </si>
  <si>
    <t xml:space="preserve">Peak Power (kW)</t>
  </si>
  <si>
    <t xml:space="preserve">Car Load &gt;10kW (session peak)</t>
  </si>
  <si>
    <t xml:space="preserve">Overnight (started 22:00-6:00)</t>
  </si>
  <si>
    <t xml:space="preserve">% of Session Time &gt;10kW (interval data)</t>
  </si>
  <si>
    <t xml:space="preserve">Payment Method</t>
  </si>
  <si>
    <t xml:space="preserve">Driver ZIP</t>
  </si>
  <si>
    <t xml:space="preserve">Driver County</t>
  </si>
  <si>
    <t xml:space="preserve">Gross Amount ($)</t>
  </si>
  <si>
    <t xml:space="preserve">Payout Amount ($)</t>
  </si>
  <si>
    <t xml:space="preserve">Session Date</t>
  </si>
  <si>
    <t xml:space="preserve">First Overnight Session of Night (1/0)</t>
  </si>
  <si>
    <t xml:space="preserve">Net Session Fee ($)</t>
  </si>
  <si>
    <t xml:space="preserve">Calc Energy Cost = Rate x kWh ($)</t>
  </si>
  <si>
    <t xml:space="preserve">Fee + Tax Total ($)</t>
  </si>
  <si>
    <t xml:space="preserve">Sales Tax ($)</t>
  </si>
  <si>
    <t xml:space="preserve">Excise Tax ($)</t>
  </si>
  <si>
    <t xml:space="preserve">Other Taxes ($)</t>
  </si>
  <si>
    <t xml:space="preserve">Service Fee Tax ($)</t>
  </si>
  <si>
    <t xml:space="preserve">Flex Billing Service Fee ($)</t>
  </si>
  <si>
    <t xml:space="preserve">Service Fee ($)</t>
  </si>
  <si>
    <t xml:space="preserve">First Active-Energy Session of Date (combined)</t>
  </si>
  <si>
    <t xml:space="preserve">First Active-Energy Session of Date+Station</t>
  </si>
  <si>
    <t xml:space="preserve">BARBOURVILLE / TOURISM</t>
  </si>
  <si>
    <t xml:space="preserve">membership</t>
  </si>
  <si>
    <t xml:space="preserve">40701</t>
  </si>
  <si>
    <t xml:space="preserve">KY</t>
  </si>
  <si>
    <t xml:space="preserve">BARBOURVILLE / CITY HALL</t>
  </si>
  <si>
    <t xml:space="preserve">40906</t>
  </si>
  <si>
    <t xml:space="preserve">37869</t>
  </si>
  <si>
    <t xml:space="preserve">TN</t>
  </si>
  <si>
    <t xml:space="preserve">credit_card_terminal</t>
  </si>
  <si>
    <t xml:space="preserve">40801</t>
  </si>
  <si>
    <t xml:space="preserve">Harlan County</t>
  </si>
  <si>
    <t xml:space="preserve">37934</t>
  </si>
  <si>
    <t xml:space="preserve">Knox County</t>
  </si>
  <si>
    <t xml:space="preserve">37937</t>
  </si>
  <si>
    <t xml:space="preserve">40220</t>
  </si>
  <si>
    <t xml:space="preserve">Jefferson County</t>
  </si>
  <si>
    <t xml:space="preserve">40403</t>
  </si>
  <si>
    <t xml:space="preserve">79424</t>
  </si>
  <si>
    <t xml:space="preserve">TX</t>
  </si>
  <si>
    <t xml:space="preserve">41091-7816</t>
  </si>
  <si>
    <t xml:space="preserve">33957</t>
  </si>
  <si>
    <t xml:space="preserve">Lee County</t>
  </si>
  <si>
    <t xml:space="preserve">FL</t>
  </si>
  <si>
    <t xml:space="preserve">40383</t>
  </si>
  <si>
    <t xml:space="preserve">45015</t>
  </si>
  <si>
    <t xml:space="preserve">Butler County</t>
  </si>
  <si>
    <t xml:space="preserve">OH</t>
  </si>
  <si>
    <t xml:space="preserve">other</t>
  </si>
  <si>
    <t xml:space="preserve">37813</t>
  </si>
  <si>
    <t xml:space="preserve">40806</t>
  </si>
  <si>
    <t xml:space="preserve">29615</t>
  </si>
  <si>
    <t xml:space="preserve">Greenville County</t>
  </si>
  <si>
    <t xml:space="preserve">SC</t>
  </si>
  <si>
    <t xml:space="preserve">27703</t>
  </si>
  <si>
    <t xml:space="preserve">NC</t>
  </si>
  <si>
    <t xml:space="preserve">53221</t>
  </si>
  <si>
    <t xml:space="preserve">Milwaukee County</t>
  </si>
  <si>
    <t xml:space="preserve">WI</t>
  </si>
  <si>
    <t xml:space="preserve">43050</t>
  </si>
  <si>
    <t xml:space="preserve">40356</t>
  </si>
  <si>
    <t xml:space="preserve">Jessamine County</t>
  </si>
  <si>
    <t xml:space="preserve">phone_online</t>
  </si>
  <si>
    <t xml:space="preserve">60194</t>
  </si>
  <si>
    <t xml:space="preserve">Cook County</t>
  </si>
  <si>
    <t xml:space="preserve">IL</t>
  </si>
  <si>
    <t xml:space="preserve">41653</t>
  </si>
  <si>
    <t xml:space="preserve">34202</t>
  </si>
  <si>
    <t xml:space="preserve">Manatee County</t>
  </si>
  <si>
    <t xml:space="preserve">37601</t>
  </si>
  <si>
    <t xml:space="preserve">40059</t>
  </si>
  <si>
    <t xml:space="preserve">54165</t>
  </si>
  <si>
    <t xml:space="preserve">27045</t>
  </si>
  <si>
    <t xml:space="preserve">63141</t>
  </si>
  <si>
    <t xml:space="preserve">St. Louis County</t>
  </si>
  <si>
    <t xml:space="preserve">MO</t>
  </si>
  <si>
    <t xml:space="preserve">40511</t>
  </si>
  <si>
    <t xml:space="preserve">33467</t>
  </si>
  <si>
    <t xml:space="preserve">Palm Beach County</t>
  </si>
  <si>
    <t xml:space="preserve">48178</t>
  </si>
  <si>
    <t xml:space="preserve">MI</t>
  </si>
  <si>
    <t xml:space="preserve">5454554</t>
  </si>
  <si>
    <t xml:space="preserve">40509</t>
  </si>
  <si>
    <t xml:space="preserve">Fayette County</t>
  </si>
  <si>
    <t xml:space="preserve">37770-2695</t>
  </si>
  <si>
    <t xml:space="preserve">Morgan County</t>
  </si>
  <si>
    <t xml:space="preserve">42544</t>
  </si>
  <si>
    <t xml:space="preserve">37825</t>
  </si>
  <si>
    <t xml:space="preserve">40504</t>
  </si>
  <si>
    <t xml:space="preserve">40965</t>
  </si>
  <si>
    <t xml:space="preserve">Bell County</t>
  </si>
  <si>
    <t xml:space="preserve">40606</t>
  </si>
  <si>
    <t xml:space="preserve">47001</t>
  </si>
  <si>
    <t xml:space="preserve">IN</t>
  </si>
  <si>
    <t xml:space="preserve">37075</t>
  </si>
  <si>
    <t xml:space="preserve">Sumner County</t>
  </si>
  <si>
    <t xml:space="preserve">48843</t>
  </si>
  <si>
    <t xml:space="preserve">Livingston County</t>
  </si>
  <si>
    <t xml:space="preserve">40324</t>
  </si>
  <si>
    <t xml:space="preserve">40977</t>
  </si>
  <si>
    <t xml:space="preserve">43064</t>
  </si>
  <si>
    <t xml:space="preserve">19002</t>
  </si>
  <si>
    <t xml:space="preserve">Montgomery County</t>
  </si>
  <si>
    <t xml:space="preserve">PA</t>
  </si>
  <si>
    <t xml:space="preserve">30032</t>
  </si>
  <si>
    <t xml:space="preserve">DeKalb County</t>
  </si>
  <si>
    <t xml:space="preserve">GA</t>
  </si>
  <si>
    <t xml:space="preserve">40475</t>
  </si>
  <si>
    <t xml:space="preserve">Madison County</t>
  </si>
  <si>
    <t xml:space="preserve">45205</t>
  </si>
  <si>
    <t xml:space="preserve">Hamilton County</t>
  </si>
  <si>
    <t xml:space="preserve">40468</t>
  </si>
  <si>
    <t xml:space="preserve">49448</t>
  </si>
  <si>
    <t xml:space="preserve">40461</t>
  </si>
  <si>
    <t xml:space="preserve">40953</t>
  </si>
  <si>
    <t xml:space="preserve">60559</t>
  </si>
  <si>
    <t xml:space="preserve">DuPage County</t>
  </si>
  <si>
    <t xml:space="preserve">40243</t>
  </si>
  <si>
    <t xml:space="preserve">28209</t>
  </si>
  <si>
    <t xml:space="preserve">Mecklenburg County</t>
  </si>
  <si>
    <t xml:space="preserve">40502</t>
  </si>
  <si>
    <t xml:space="preserve">77433</t>
  </si>
  <si>
    <t xml:space="preserve">Harris County</t>
  </si>
  <si>
    <t xml:space="preserve">44221</t>
  </si>
  <si>
    <t xml:space="preserve">Summit County</t>
  </si>
  <si>
    <t xml:space="preserve">28806</t>
  </si>
  <si>
    <t xml:space="preserve">Buncombe County</t>
  </si>
  <si>
    <t xml:space="preserve">28112</t>
  </si>
  <si>
    <t xml:space="preserve">Union County</t>
  </si>
  <si>
    <t xml:space="preserve">28787</t>
  </si>
  <si>
    <t xml:space="preserve">40741</t>
  </si>
  <si>
    <t xml:space="preserve">28734</t>
  </si>
  <si>
    <t xml:space="preserve">Macon County</t>
  </si>
  <si>
    <t xml:space="preserve">28605</t>
  </si>
  <si>
    <t xml:space="preserve">45002</t>
  </si>
  <si>
    <t xml:space="preserve">07666</t>
  </si>
  <si>
    <t xml:space="preserve">Bergen County</t>
  </si>
  <si>
    <t xml:space="preserve">CT</t>
  </si>
  <si>
    <t xml:space="preserve">37849</t>
  </si>
  <si>
    <t xml:space="preserve">37818</t>
  </si>
  <si>
    <t xml:space="preserve">41501</t>
  </si>
  <si>
    <t xml:space="preserve">Pike County</t>
  </si>
  <si>
    <t xml:space="preserve">55128</t>
  </si>
  <si>
    <t xml:space="preserve">Washington County</t>
  </si>
  <si>
    <t xml:space="preserve">MN</t>
  </si>
  <si>
    <t xml:space="preserve">67209</t>
  </si>
  <si>
    <t xml:space="preserve">Sedgwick County</t>
  </si>
  <si>
    <t xml:space="preserve">KS</t>
  </si>
  <si>
    <t xml:space="preserve">20779</t>
  </si>
  <si>
    <t xml:space="preserve">Anne Arundel County</t>
  </si>
  <si>
    <t xml:space="preserve">MD</t>
  </si>
  <si>
    <t xml:space="preserve">40653</t>
  </si>
  <si>
    <t xml:space="preserve">74075</t>
  </si>
  <si>
    <t xml:space="preserve">OK</t>
  </si>
  <si>
    <t xml:space="preserve">37660</t>
  </si>
  <si>
    <t xml:space="preserve">46628</t>
  </si>
  <si>
    <t xml:space="preserve">St. Joseph County</t>
  </si>
  <si>
    <t xml:space="preserve">Combined Daily Charger Energy Delivered (365 days)</t>
  </si>
  <si>
    <t xml:space="preserve">Deduplicated union of the two Energy-vs-Time exports - same underlying meter, confirmed identical on 191 overlapping days.</t>
  </si>
  <si>
    <t xml:space="preserve">Energy Delivered (kWh)</t>
  </si>
  <si>
    <t xml:space="preserve">Visitor Origin - Aggregated by ZIP, County, and Estimated State</t>
  </si>
  <si>
    <t xml:space="preserve">Every Sessions/Revenue/Energy figure below is a live COUNTIF/SUMIF formula against Raw - Sessions - editing a session there recalculates these tables automatically. Aggregated from the 165 sessions (of 288) with a driver ZIP code on file; 124 have no ZIP (guest/anonymous checkout) and are excluded.</t>
  </si>
</sst>
</file>

<file path=xl/styles.xml><?xml version="1.0" encoding="utf-8"?>
<styleSheet xmlns="http://schemas.openxmlformats.org/spreadsheetml/2006/main">
  <numFmts count="13">
    <numFmt numFmtId="164" formatCode="General"/>
    <numFmt numFmtId="165" formatCode="0"/>
    <numFmt numFmtId="166" formatCode="#,##0"/>
    <numFmt numFmtId="167" formatCode="0.0"/>
    <numFmt numFmtId="168" formatCode="\$#,##0"/>
    <numFmt numFmtId="169" formatCode="0.0%"/>
    <numFmt numFmtId="170" formatCode="0.00"/>
    <numFmt numFmtId="171" formatCode="mmm\ yyyy"/>
    <numFmt numFmtId="172" formatCode="\$#,##0.00"/>
    <numFmt numFmtId="173" formatCode="yyyy\-mm\-dd"/>
    <numFmt numFmtId="174" formatCode="General"/>
    <numFmt numFmtId="175" formatCode="\$0.0000"/>
    <numFmt numFmtId="176" formatCode="yyyy\-mm\-dd\ hh:mm"/>
  </numFmts>
  <fonts count="21">
    <font>
      <sz val="11"/>
      <color theme="1"/>
      <name val="Calibri"/>
      <family val="2"/>
      <charset val="1"/>
    </font>
    <font>
      <sz val="10"/>
      <name val="Arial"/>
      <family val="0"/>
    </font>
    <font>
      <sz val="10"/>
      <name val="Arial"/>
      <family val="0"/>
    </font>
    <font>
      <sz val="10"/>
      <name val="Arial"/>
      <family val="0"/>
    </font>
    <font>
      <b val="true"/>
      <sz val="18"/>
      <color rgb="FF1F4E78"/>
      <name val="Arial"/>
      <family val="0"/>
      <charset val="1"/>
    </font>
    <font>
      <sz val="10"/>
      <name val="Arial"/>
      <family val="0"/>
      <charset val="1"/>
    </font>
    <font>
      <b val="true"/>
      <sz val="10"/>
      <name val="Arial"/>
      <family val="0"/>
      <charset val="1"/>
    </font>
    <font>
      <b val="true"/>
      <sz val="10"/>
      <color rgb="FFC00000"/>
      <name val="Arial"/>
      <family val="0"/>
      <charset val="1"/>
    </font>
    <font>
      <i val="true"/>
      <sz val="9"/>
      <color rgb="FF595959"/>
      <name val="Arial"/>
      <family val="0"/>
      <charset val="1"/>
    </font>
    <font>
      <b val="true"/>
      <sz val="9"/>
      <color rgb="FF595959"/>
      <name val="Arial"/>
      <family val="0"/>
      <charset val="1"/>
    </font>
    <font>
      <b val="true"/>
      <sz val="17"/>
      <color rgb="FF1F4E78"/>
      <name val="Arial"/>
      <family val="0"/>
      <charset val="1"/>
    </font>
    <font>
      <i val="true"/>
      <sz val="10"/>
      <color rgb="FF1F4E78"/>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5"/>
      <color rgb="FF1F4E78"/>
      <name val="Arial"/>
      <family val="0"/>
      <charset val="1"/>
    </font>
    <font>
      <b val="true"/>
      <sz val="16"/>
      <color rgb="FF1F4E78"/>
      <name val="Arial"/>
      <family val="0"/>
      <charset val="1"/>
    </font>
    <font>
      <b val="true"/>
      <sz val="15"/>
      <color rgb="FFC00000"/>
      <name val="Arial"/>
      <family val="0"/>
      <charset val="1"/>
    </font>
    <font>
      <b val="true"/>
      <sz val="16"/>
      <color rgb="FFC00000"/>
      <name val="Arial"/>
      <family val="0"/>
      <charset val="1"/>
    </font>
    <font>
      <b val="true"/>
      <sz val="13"/>
      <color rgb="FF1F4E78"/>
      <name val="Arial"/>
      <family val="0"/>
      <charset val="1"/>
    </font>
    <font>
      <b val="true"/>
      <sz val="20"/>
      <color rgb="FF1F4E78"/>
      <name val="Arial"/>
      <family val="0"/>
      <charset val="1"/>
    </font>
  </fonts>
  <fills count="5">
    <fill>
      <patternFill patternType="none"/>
    </fill>
    <fill>
      <patternFill patternType="gray125"/>
    </fill>
    <fill>
      <patternFill patternType="solid">
        <fgColor rgb="FFEAF1FB"/>
        <bgColor rgb="FFF2F2F2"/>
      </patternFill>
    </fill>
    <fill>
      <patternFill patternType="solid">
        <fgColor rgb="FFD9E1F2"/>
        <bgColor rgb="FFD9D9D9"/>
      </patternFill>
    </fill>
    <fill>
      <patternFill patternType="solid">
        <fgColor rgb="FFF2F2F2"/>
        <bgColor rgb="FFEAF1FB"/>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false" applyProtection="false">
      <alignment horizontal="general" vertical="bottom" textRotation="0" wrapText="false" indent="0" shrinkToFit="false"/>
      <protection locked="true" hidden="false"/>
    </xf>
    <xf numFmtId="165" fontId="10" fillId="2" borderId="0" xfId="0" applyFont="true" applyBorder="true" applyAlignment="false" applyProtection="false">
      <alignment horizontal="general" vertical="bottom" textRotation="0" wrapText="false" indent="0" shrinkToFit="false"/>
      <protection locked="true" hidden="false"/>
    </xf>
    <xf numFmtId="166" fontId="10" fillId="2" borderId="0" xfId="0" applyFont="true" applyBorder="true" applyAlignment="false" applyProtection="false">
      <alignment horizontal="general" vertical="bottom" textRotation="0" wrapText="false" indent="0" shrinkToFit="false"/>
      <protection locked="true" hidden="false"/>
    </xf>
    <xf numFmtId="167" fontId="10" fillId="2" borderId="0" xfId="0" applyFont="true" applyBorder="true" applyAlignment="false" applyProtection="false">
      <alignment horizontal="general" vertical="bottom" textRotation="0" wrapText="false" indent="0" shrinkToFit="false"/>
      <protection locked="true" hidden="false"/>
    </xf>
    <xf numFmtId="168" fontId="10" fillId="2" borderId="0"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6" fontId="5" fillId="4" borderId="1" xfId="0" applyFont="true" applyBorder="true" applyAlignment="false" applyProtection="false">
      <alignment horizontal="general" vertical="bottom" textRotation="0" wrapText="false" indent="0" shrinkToFit="false"/>
      <protection locked="true" hidden="false"/>
    </xf>
    <xf numFmtId="166" fontId="6" fillId="4" borderId="1" xfId="0" applyFont="true" applyBorder="true" applyAlignment="false" applyProtection="false">
      <alignment horizontal="general" vertical="bottom" textRotation="0" wrapText="false" indent="0" shrinkToFit="false"/>
      <protection locked="true" hidden="false"/>
    </xf>
    <xf numFmtId="167" fontId="5" fillId="4" borderId="1" xfId="0" applyFont="true" applyBorder="true" applyAlignment="false" applyProtection="false">
      <alignment horizontal="general" vertical="bottom" textRotation="0" wrapText="false" indent="0" shrinkToFit="false"/>
      <protection locked="true" hidden="false"/>
    </xf>
    <xf numFmtId="167" fontId="6" fillId="4"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5" fontId="5" fillId="4" borderId="1" xfId="0" applyFont="true" applyBorder="true" applyAlignment="false" applyProtection="false">
      <alignment horizontal="general" vertical="bottom" textRotation="0" wrapText="false" indent="0" shrinkToFit="false"/>
      <protection locked="true" hidden="false"/>
    </xf>
    <xf numFmtId="165" fontId="6" fillId="4"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9" fillId="2" borderId="0" xfId="0" applyFont="true" applyBorder="true" applyAlignment="true" applyProtection="false">
      <alignment horizontal="general" vertical="bottom" textRotation="0" wrapText="true" indent="0" shrinkToFit="false"/>
      <protection locked="true" hidden="false"/>
    </xf>
    <xf numFmtId="165" fontId="16" fillId="2" borderId="0" xfId="0" applyFont="true" applyBorder="true" applyAlignment="false" applyProtection="false">
      <alignment horizontal="general" vertical="bottom" textRotation="0" wrapText="false" indent="0" shrinkToFit="false"/>
      <protection locked="true" hidden="false"/>
    </xf>
    <xf numFmtId="166" fontId="16" fillId="2" borderId="0" xfId="0" applyFont="true" applyBorder="true" applyAlignment="false" applyProtection="false">
      <alignment horizontal="general" vertical="bottom" textRotation="0" wrapText="false" indent="0" shrinkToFit="false"/>
      <protection locked="true" hidden="false"/>
    </xf>
    <xf numFmtId="168" fontId="16" fillId="2" borderId="0" xfId="0" applyFont="true" applyBorder="true" applyAlignment="false" applyProtection="false">
      <alignment horizontal="general" vertical="bottom" textRotation="0" wrapText="false" indent="0" shrinkToFit="false"/>
      <protection locked="true" hidden="false"/>
    </xf>
    <xf numFmtId="169" fontId="16" fillId="2" borderId="0"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tru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70" fontId="5" fillId="4"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71" fontId="5" fillId="4" borderId="1" xfId="0" applyFont="true" applyBorder="true" applyAlignment="false" applyProtection="false">
      <alignment horizontal="general" vertical="bottom" textRotation="0" wrapText="false" indent="0" shrinkToFit="false"/>
      <protection locked="true" hidden="false"/>
    </xf>
    <xf numFmtId="172" fontId="5" fillId="4" borderId="1"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5" fontId="18" fillId="2" borderId="0" xfId="0" applyFont="true" applyBorder="true" applyAlignment="false" applyProtection="false">
      <alignment horizontal="general" vertical="bottom" textRotation="0" wrapText="false" indent="0" shrinkToFit="false"/>
      <protection locked="true" hidden="false"/>
    </xf>
    <xf numFmtId="166" fontId="18" fillId="2" borderId="0" xfId="0" applyFont="true" applyBorder="true" applyAlignment="false" applyProtection="false">
      <alignment horizontal="general" vertical="bottom" textRotation="0" wrapText="false" indent="0" shrinkToFit="false"/>
      <protection locked="true" hidden="false"/>
    </xf>
    <xf numFmtId="168" fontId="18" fillId="2" borderId="0" xfId="0" applyFont="true" applyBorder="true" applyAlignment="false" applyProtection="false">
      <alignment horizontal="general" vertical="bottom" textRotation="0" wrapText="false" indent="0" shrinkToFit="false"/>
      <protection locked="true" hidden="false"/>
    </xf>
    <xf numFmtId="169" fontId="18" fillId="2" borderId="0"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5" fontId="20" fillId="2" borderId="0" xfId="0" applyFont="true" applyBorder="true" applyAlignment="false" applyProtection="false">
      <alignment horizontal="general" vertical="bottom" textRotation="0" wrapText="false" indent="0" shrinkToFit="false"/>
      <protection locked="true" hidden="false"/>
    </xf>
    <xf numFmtId="170" fontId="20" fillId="2" borderId="0" xfId="0" applyFont="true" applyBorder="true" applyAlignment="false" applyProtection="false">
      <alignment horizontal="general" vertical="bottom" textRotation="0" wrapText="false" indent="0" shrinkToFit="false"/>
      <protection locked="true" hidden="false"/>
    </xf>
    <xf numFmtId="173" fontId="5" fillId="0" borderId="1" xfId="0" applyFont="true" applyBorder="true" applyAlignment="false" applyProtection="false">
      <alignment horizontal="general" vertical="bottom" textRotation="0" wrapText="false" indent="0" shrinkToFit="false"/>
      <protection locked="true" hidden="false"/>
    </xf>
    <xf numFmtId="173" fontId="5" fillId="4"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4"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74" fontId="0" fillId="4" borderId="1" xfId="0" applyFont="false" applyBorder="true" applyAlignment="false" applyProtection="false">
      <alignment horizontal="general" vertical="bottom" textRotation="0" wrapText="false" indent="0" shrinkToFit="false"/>
      <protection locked="true" hidden="false"/>
    </xf>
    <xf numFmtId="169" fontId="0" fillId="4" borderId="1" xfId="0" applyFont="false" applyBorder="tru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20" fillId="2" borderId="0" xfId="0" applyFont="true" applyBorder="true" applyAlignment="false" applyProtection="false">
      <alignment horizontal="general" vertical="bottom" textRotation="0" wrapText="false" indent="0" shrinkToFit="false"/>
      <protection locked="true" hidden="false"/>
    </xf>
    <xf numFmtId="172" fontId="20" fillId="2" borderId="0" xfId="0" applyFont="true" applyBorder="true" applyAlignment="false" applyProtection="false">
      <alignment horizontal="general" vertical="bottom" textRotation="0" wrapText="false" indent="0" shrinkToFit="false"/>
      <protection locked="true" hidden="false"/>
    </xf>
    <xf numFmtId="169" fontId="20" fillId="2"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72" fontId="16" fillId="2" borderId="0" xfId="0" applyFont="true" applyBorder="true" applyAlignment="false" applyProtection="false">
      <alignment horizontal="general" vertical="bottom" textRotation="0" wrapText="false" indent="0" shrinkToFit="false"/>
      <protection locked="true" hidden="false"/>
    </xf>
    <xf numFmtId="174" fontId="5" fillId="0" borderId="1" xfId="0" applyFont="true" applyBorder="true" applyAlignment="false" applyProtection="false">
      <alignment horizontal="general" vertical="bottom" textRotation="0" wrapText="false" indent="0" shrinkToFit="false"/>
      <protection locked="true" hidden="false"/>
    </xf>
    <xf numFmtId="175" fontId="5" fillId="0" borderId="1" xfId="0" applyFont="true" applyBorder="true" applyAlignment="false" applyProtection="false">
      <alignment horizontal="general" vertical="bottom" textRotation="0" wrapText="false" indent="0" shrinkToFit="false"/>
      <protection locked="true" hidden="false"/>
    </xf>
    <xf numFmtId="174" fontId="5" fillId="4" borderId="1" xfId="0" applyFont="true" applyBorder="true" applyAlignment="false" applyProtection="false">
      <alignment horizontal="general" vertical="bottom" textRotation="0" wrapText="false" indent="0" shrinkToFit="false"/>
      <protection locked="true" hidden="false"/>
    </xf>
    <xf numFmtId="175" fontId="5" fillId="4"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76" fontId="5" fillId="0" borderId="1" xfId="0" applyFont="true" applyBorder="true" applyAlignment="false" applyProtection="false">
      <alignment horizontal="general" vertical="bottom" textRotation="0" wrapText="false" indent="0" shrinkToFit="false"/>
      <protection locked="true" hidden="false"/>
    </xf>
    <xf numFmtId="174" fontId="5" fillId="0" borderId="1" xfId="0" applyFont="true" applyBorder="true" applyAlignment="false" applyProtection="false">
      <alignment horizontal="general" vertical="bottom" textRotation="0" wrapText="false" indent="0" shrinkToFit="false"/>
      <protection locked="true" hidden="false"/>
    </xf>
    <xf numFmtId="176" fontId="5" fillId="4" borderId="1" xfId="0" applyFont="true" applyBorder="true" applyAlignment="false" applyProtection="false">
      <alignment horizontal="general" vertical="bottom" textRotation="0" wrapText="false" indent="0" shrinkToFit="false"/>
      <protection locked="true" hidden="false"/>
    </xf>
    <xf numFmtId="174" fontId="5" fillId="4" borderId="1" xfId="0" applyFont="true" applyBorder="true" applyAlignment="false" applyProtection="false">
      <alignment horizontal="general" vertical="bottom" textRotation="0" wrapText="false" indent="0" shrinkToFit="false"/>
      <protection locked="true" hidden="false"/>
    </xf>
    <xf numFmtId="169" fontId="5" fillId="4" borderId="1" xfId="0" applyFont="true" applyBorder="tru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D9E1F2"/>
          <bgColor rgb="FF000000"/>
        </patternFill>
      </fill>
    </dxf>
    <dxf>
      <fill>
        <patternFill patternType="solid">
          <fgColor rgb="FFF2F2F2"/>
          <bgColor rgb="FF000000"/>
        </patternFill>
      </fill>
    </dxf>
    <dxf>
      <fill>
        <patternFill patternType="solid">
          <fgColor rgb="FFFBE2E0"/>
          <bgColor rgb="FF000000"/>
        </patternFill>
      </fill>
    </dxf>
    <dxf>
      <fill>
        <patternFill patternType="solid">
          <bgColor rgb="FF000000"/>
        </patternFill>
      </fill>
    </dxf>
    <dxf>
      <fill>
        <patternFill patternType="solid">
          <fgColor rgb="FFC00000"/>
          <bgColor rgb="FF000000"/>
        </patternFill>
      </fill>
    </dxf>
    <dxf>
      <font>
        <name val="Arial"/>
        <charset val="1"/>
        <family val="0"/>
        <b val="1"/>
        <color rgb="FFC00000"/>
        <sz val="16"/>
      </font>
      <fill>
        <patternFill>
          <bgColor rgb="FFFBE2E0"/>
        </patternFill>
      </fill>
    </dxf>
    <dxf>
      <font>
        <name val="Arial"/>
        <charset val="1"/>
        <family val="0"/>
        <b val="1"/>
        <color rgb="FFC00000"/>
        <sz val="10"/>
      </font>
      <fill>
        <patternFill>
          <bgColor rgb="FFFBE2E0"/>
        </patternFill>
      </fill>
    </dxf>
  </dxfs>
  <colors>
    <indexedColors>
      <rgbColor rgb="FF000000"/>
      <rgbColor rgb="FFF9F9F9"/>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2F2F2"/>
      <rgbColor rgb="FFEAF1F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CCFFCC"/>
      <rgbColor rgb="FFFFFF99"/>
      <rgbColor rgb="FF99CCFF"/>
      <rgbColor rgb="FFFF99CC"/>
      <rgbColor rgb="FFCC99FF"/>
      <rgbColor rgb="FFFBE2E0"/>
      <rgbColor rgb="FF4A7EBB"/>
      <rgbColor rgb="FF33CCCC"/>
      <rgbColor rgb="FF99CC00"/>
      <rgbColor rgb="FFFFCC00"/>
      <rgbColor rgb="FFFF9900"/>
      <rgbColor rgb="FFFF6600"/>
      <rgbColor rgb="FF595959"/>
      <rgbColor rgb="FF969696"/>
      <rgbColor rgb="FF003366"/>
      <rgbColor rgb="FF4F81BD"/>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Sessions by Time of Day (Combined)</a:t>
            </a:r>
          </a:p>
        </c:rich>
      </c:tx>
      <c:overlay val="0"/>
      <c:spPr>
        <a:noFill/>
        <a:ln w="0">
          <a:noFill/>
        </a:ln>
      </c:spPr>
    </c:title>
    <c:autoTitleDeleted val="0"/>
    <c:plotArea>
      <c:barChart>
        <c:barDir val="col"/>
        <c:grouping val="clustered"/>
        <c:varyColors val="0"/>
        <c:ser>
          <c:idx val="0"/>
          <c:order val="0"/>
          <c:tx>
            <c:strRef>
              <c:f>'Time of Day'!B4</c:f>
              <c:strCache>
                <c:ptCount val="1"/>
                <c:pt idx="0">
                  <c:v>Sessions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'Time of Day'!$A$5:$A$8</c:f>
              <c:strCache>
                <c:ptCount val="4"/>
                <c:pt idx="0">
                  <c:v>Morning (6-12)</c:v>
                </c:pt>
                <c:pt idx="1">
                  <c:v>Day (12-18)</c:v>
                </c:pt>
                <c:pt idx="2">
                  <c:v>Evening (18-22)</c:v>
                </c:pt>
                <c:pt idx="3">
                  <c:v>Night (22-6)</c:v>
                </c:pt>
              </c:strCache>
            </c:strRef>
          </c:cat>
          <c:val>
            <c:numRef>
              <c:f>'Time of Day'!$B$5:$B$8</c:f>
              <c:numCache>
                <c:formatCode>General</c:formatCode>
                <c:ptCount val="4"/>
                <c:pt idx="0">
                  <c:v>4</c:v>
                </c:pt>
                <c:pt idx="1">
                  <c:v>96</c:v>
                </c:pt>
                <c:pt idx="2">
                  <c:v>102</c:v>
                </c:pt>
                <c:pt idx="3">
                  <c:v>86</c:v>
                </c:pt>
              </c:numCache>
            </c:numRef>
          </c:val>
        </c:ser>
        <c:gapWidth val="150"/>
        <c:overlap val="0"/>
        <c:axId val="54394161"/>
        <c:axId val="58887100"/>
      </c:barChart>
      <c:catAx>
        <c:axId val="5439416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887100"/>
        <c:crosses val="autoZero"/>
        <c:auto val="1"/>
        <c:lblAlgn val="ctr"/>
        <c:lblOffset val="100"/>
        <c:noMultiLvlLbl val="0"/>
      </c:catAx>
      <c:valAx>
        <c:axId val="5888710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Sessions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39416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Sessions by Day of Week (Combined)</a:t>
            </a:r>
          </a:p>
        </c:rich>
      </c:tx>
      <c:overlay val="0"/>
      <c:spPr>
        <a:noFill/>
        <a:ln w="0">
          <a:noFill/>
        </a:ln>
      </c:spPr>
    </c:title>
    <c:autoTitleDeleted val="0"/>
    <c:plotArea>
      <c:barChart>
        <c:barDir val="col"/>
        <c:grouping val="clustered"/>
        <c:varyColors val="0"/>
        <c:ser>
          <c:idx val="0"/>
          <c:order val="0"/>
          <c:tx>
            <c:strRef>
              <c:f>'Frequency &amp; Day of Week'!B6</c:f>
              <c:strCache>
                <c:ptCount val="1"/>
                <c:pt idx="0">
                  <c:v>Sessions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'Frequency &amp; Day of Week'!$A$7:$A$13</c:f>
              <c:strCache>
                <c:ptCount val="7"/>
                <c:pt idx="0">
                  <c:v>Monday</c:v>
                </c:pt>
                <c:pt idx="1">
                  <c:v>Tuesday</c:v>
                </c:pt>
                <c:pt idx="2">
                  <c:v>Wednesday</c:v>
                </c:pt>
                <c:pt idx="3">
                  <c:v>Thursday</c:v>
                </c:pt>
                <c:pt idx="4">
                  <c:v>Friday</c:v>
                </c:pt>
                <c:pt idx="5">
                  <c:v>Saturday</c:v>
                </c:pt>
                <c:pt idx="6">
                  <c:v>Sunday</c:v>
                </c:pt>
              </c:strCache>
            </c:strRef>
          </c:cat>
          <c:val>
            <c:numRef>
              <c:f>'Frequency &amp; Day of Week'!$B$7:$B$13</c:f>
              <c:numCache>
                <c:formatCode>General</c:formatCode>
                <c:ptCount val="7"/>
                <c:pt idx="0">
                  <c:v>32</c:v>
                </c:pt>
                <c:pt idx="1">
                  <c:v>42</c:v>
                </c:pt>
                <c:pt idx="2">
                  <c:v>28</c:v>
                </c:pt>
                <c:pt idx="3">
                  <c:v>32</c:v>
                </c:pt>
                <c:pt idx="4">
                  <c:v>52</c:v>
                </c:pt>
                <c:pt idx="5">
                  <c:v>53</c:v>
                </c:pt>
                <c:pt idx="6">
                  <c:v>49</c:v>
                </c:pt>
              </c:numCache>
            </c:numRef>
          </c:val>
        </c:ser>
        <c:gapWidth val="150"/>
        <c:overlap val="0"/>
        <c:axId val="57973550"/>
        <c:axId val="54622917"/>
      </c:barChart>
      <c:catAx>
        <c:axId val="5797355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622917"/>
        <c:crosses val="autoZero"/>
        <c:auto val="1"/>
        <c:lblAlgn val="ctr"/>
        <c:lblOffset val="100"/>
        <c:noMultiLvlLbl val="0"/>
      </c:catAx>
      <c:valAx>
        <c:axId val="5462291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Sessions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97355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Revenue Trend (Combined)</a:t>
            </a:r>
          </a:p>
        </c:rich>
      </c:tx>
      <c:overlay val="0"/>
      <c:spPr>
        <a:noFill/>
        <a:ln w="0">
          <a:noFill/>
        </a:ln>
      </c:spPr>
    </c:title>
    <c:autoTitleDeleted val="0"/>
    <c:plotArea>
      <c:lineChart>
        <c:grouping val="standard"/>
        <c:varyColors val="0"/>
        <c:ser>
          <c:idx val="0"/>
          <c:order val="0"/>
          <c:tx>
            <c:strRef>
              <c:f>'Revenue &amp; Economic Impact'!C10</c:f>
              <c:strCache>
                <c:ptCount val="1"/>
                <c:pt idx="0">
                  <c:v>Revenue ($)</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&amp; Economic Impact'!$A$11:$A$20</c:f>
              <c:strCache>
                <c:ptCount val="10"/>
                <c:pt idx="0">
                  <c:v>Oct 2025</c:v>
                </c:pt>
                <c:pt idx="1">
                  <c:v>Nov 2025</c:v>
                </c:pt>
                <c:pt idx="2">
                  <c:v>Dec 2025</c:v>
                </c:pt>
                <c:pt idx="3">
                  <c:v>Jan 2026</c:v>
                </c:pt>
                <c:pt idx="4">
                  <c:v>Feb 2026</c:v>
                </c:pt>
                <c:pt idx="5">
                  <c:v>Mar 2026</c:v>
                </c:pt>
                <c:pt idx="6">
                  <c:v>Apr 2026</c:v>
                </c:pt>
                <c:pt idx="7">
                  <c:v>May 2026</c:v>
                </c:pt>
                <c:pt idx="8">
                  <c:v>Jun 2026</c:v>
                </c:pt>
                <c:pt idx="9">
                  <c:v>Jul 2026</c:v>
                </c:pt>
              </c:strCache>
            </c:strRef>
          </c:cat>
          <c:val>
            <c:numRef>
              <c:f>'Revenue &amp; Economic Impact'!$C$11:$C$20</c:f>
              <c:numCache>
                <c:formatCode>\$#,##0.00</c:formatCode>
                <c:ptCount val="10"/>
                <c:pt idx="0">
                  <c:v>188.56</c:v>
                </c:pt>
                <c:pt idx="1">
                  <c:v>401.35</c:v>
                </c:pt>
                <c:pt idx="2">
                  <c:v>479.65</c:v>
                </c:pt>
                <c:pt idx="3">
                  <c:v>50.49</c:v>
                </c:pt>
                <c:pt idx="4">
                  <c:v>503.39</c:v>
                </c:pt>
                <c:pt idx="5">
                  <c:v>462.35</c:v>
                </c:pt>
                <c:pt idx="6">
                  <c:v>825.21</c:v>
                </c:pt>
                <c:pt idx="7">
                  <c:v>606.14</c:v>
                </c:pt>
                <c:pt idx="8">
                  <c:v>425.72</c:v>
                </c:pt>
                <c:pt idx="9">
                  <c:v>93.26</c:v>
                </c:pt>
              </c:numCache>
            </c:numRef>
          </c:val>
          <c:smooth val="1"/>
        </c:ser>
        <c:hiLowLines>
          <c:spPr>
            <a:ln w="0">
              <a:noFill/>
            </a:ln>
          </c:spPr>
        </c:hiLowLines>
        <c:marker val="0"/>
        <c:axId val="23940738"/>
        <c:axId val="44272557"/>
      </c:lineChart>
      <c:catAx>
        <c:axId val="23940738"/>
        <c:scaling>
          <c:orientation val="minMax"/>
        </c:scaling>
        <c:delete val="0"/>
        <c:axPos val="b"/>
        <c:numFmt formatCode="mmm\ yyyy"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272557"/>
        <c:crosses val="autoZero"/>
        <c:auto val="1"/>
        <c:lblAlgn val="ctr"/>
        <c:lblOffset val="100"/>
        <c:noMultiLvlLbl val="0"/>
      </c:catAx>
      <c:valAx>
        <c:axId val="4427255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Revenue ($)</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94073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Visitor Origin by State (Combined)</a:t>
            </a:r>
          </a:p>
        </c:rich>
      </c:tx>
      <c:overlay val="0"/>
      <c:spPr>
        <a:noFill/>
        <a:ln w="0">
          <a:noFill/>
        </a:ln>
      </c:spPr>
    </c:title>
    <c:autoTitleDeleted val="0"/>
    <c:plotArea>
      <c:barChart>
        <c:barDir val="col"/>
        <c:grouping val="clustered"/>
        <c:varyColors val="0"/>
        <c:ser>
          <c:idx val="0"/>
          <c:order val="0"/>
          <c:tx>
            <c:strRef>
              <c:f>'Visitor Origin'!B4</c:f>
              <c:strCache>
                <c:ptCount val="1"/>
                <c:pt idx="0">
                  <c:v>Sessions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'Visitor Origin'!$A$5:$A$23</c:f>
              <c:strCache>
                <c:ptCount val="19"/>
                <c:pt idx="0">
                  <c:v>KY</c:v>
                </c:pt>
                <c:pt idx="1">
                  <c:v>TN</c:v>
                </c:pt>
                <c:pt idx="2">
                  <c:v>OH</c:v>
                </c:pt>
                <c:pt idx="3">
                  <c:v>NC</c:v>
                </c:pt>
                <c:pt idx="4">
                  <c:v>IL</c:v>
                </c:pt>
                <c:pt idx="5">
                  <c:v>FL</c:v>
                </c:pt>
                <c:pt idx="6">
                  <c:v>SC</c:v>
                </c:pt>
                <c:pt idx="7">
                  <c:v>MI</c:v>
                </c:pt>
                <c:pt idx="8">
                  <c:v>WI</c:v>
                </c:pt>
                <c:pt idx="9">
                  <c:v>IN</c:v>
                </c:pt>
                <c:pt idx="10">
                  <c:v>GA</c:v>
                </c:pt>
                <c:pt idx="11">
                  <c:v>TX</c:v>
                </c:pt>
                <c:pt idx="12">
                  <c:v>PA</c:v>
                </c:pt>
                <c:pt idx="13">
                  <c:v>CT</c:v>
                </c:pt>
                <c:pt idx="14">
                  <c:v>KS</c:v>
                </c:pt>
                <c:pt idx="15">
                  <c:v>MO</c:v>
                </c:pt>
                <c:pt idx="16">
                  <c:v>MN</c:v>
                </c:pt>
                <c:pt idx="17">
                  <c:v>MD</c:v>
                </c:pt>
                <c:pt idx="18">
                  <c:v>OK</c:v>
                </c:pt>
              </c:strCache>
            </c:strRef>
          </c:cat>
          <c:val>
            <c:numRef>
              <c:f>'Visitor Origin'!$B$5:$B$23</c:f>
              <c:numCache>
                <c:formatCode>General</c:formatCode>
                <c:ptCount val="19"/>
                <c:pt idx="0">
                  <c:v>96</c:v>
                </c:pt>
                <c:pt idx="1">
                  <c:v>18</c:v>
                </c:pt>
                <c:pt idx="2">
                  <c:v>10</c:v>
                </c:pt>
                <c:pt idx="3">
                  <c:v>9</c:v>
                </c:pt>
                <c:pt idx="4">
                  <c:v>5</c:v>
                </c:pt>
                <c:pt idx="5">
                  <c:v>3</c:v>
                </c:pt>
                <c:pt idx="6">
                  <c:v>3</c:v>
                </c:pt>
                <c:pt idx="7">
                  <c:v>3</c:v>
                </c:pt>
                <c:pt idx="8">
                  <c:v>3</c:v>
                </c:pt>
                <c:pt idx="9">
                  <c:v>2</c:v>
                </c:pt>
                <c:pt idx="10">
                  <c:v>2</c:v>
                </c:pt>
                <c:pt idx="11">
                  <c:v>2</c:v>
                </c:pt>
                <c:pt idx="12">
                  <c:v>2</c:v>
                </c:pt>
                <c:pt idx="13">
                  <c:v>1</c:v>
                </c:pt>
                <c:pt idx="14">
                  <c:v>1</c:v>
                </c:pt>
                <c:pt idx="15">
                  <c:v>1</c:v>
                </c:pt>
                <c:pt idx="16">
                  <c:v>1</c:v>
                </c:pt>
                <c:pt idx="17">
                  <c:v>1</c:v>
                </c:pt>
                <c:pt idx="18">
                  <c:v>1</c:v>
                </c:pt>
              </c:numCache>
            </c:numRef>
          </c:val>
        </c:ser>
        <c:gapWidth val="150"/>
        <c:overlap val="0"/>
        <c:axId val="45043242"/>
        <c:axId val="48344982"/>
      </c:barChart>
      <c:catAx>
        <c:axId val="4504324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344982"/>
        <c:crosses val="autoZero"/>
        <c:auto val="1"/>
        <c:lblAlgn val="ctr"/>
        <c:lblOffset val="100"/>
        <c:noMultiLvlLbl val="0"/>
      </c:catAx>
      <c:valAx>
        <c:axId val="4834498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Sessions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04324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Tourism Sessions by Time of Day</a:t>
            </a:r>
          </a:p>
        </c:rich>
      </c:tx>
      <c:overlay val="0"/>
      <c:spPr>
        <a:noFill/>
        <a:ln w="0">
          <a:noFill/>
        </a:ln>
      </c:spPr>
    </c:title>
    <c:autoTitleDeleted val="0"/>
    <c:plotArea>
      <c:barChart>
        <c:barDir val="col"/>
        <c:grouping val="clustered"/>
        <c:varyColors val="0"/>
        <c:ser>
          <c:idx val="0"/>
          <c:order val="0"/>
          <c:tx>
            <c:strRef>
              <c:f>'Tourism (Level 2)'!B11</c:f>
              <c:strCache>
                <c:ptCount val="1"/>
                <c:pt idx="0">
                  <c:v>Sessions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'Tourism (Level 2)'!$A$12:$A$15</c:f>
              <c:strCache>
                <c:ptCount val="4"/>
                <c:pt idx="0">
                  <c:v>Morning (6-12)</c:v>
                </c:pt>
                <c:pt idx="1">
                  <c:v>Day (12-18)</c:v>
                </c:pt>
                <c:pt idx="2">
                  <c:v>Evening (18-22)</c:v>
                </c:pt>
                <c:pt idx="3">
                  <c:v>Night (22-6)</c:v>
                </c:pt>
              </c:strCache>
            </c:strRef>
          </c:cat>
          <c:val>
            <c:numRef>
              <c:f>'Tourism (Level 2)'!$B$12:$B$15</c:f>
              <c:numCache>
                <c:formatCode>General</c:formatCode>
                <c:ptCount val="4"/>
                <c:pt idx="0">
                  <c:v>0</c:v>
                </c:pt>
                <c:pt idx="1">
                  <c:v>17</c:v>
                </c:pt>
                <c:pt idx="2">
                  <c:v>15</c:v>
                </c:pt>
                <c:pt idx="3">
                  <c:v>17</c:v>
                </c:pt>
              </c:numCache>
            </c:numRef>
          </c:val>
        </c:ser>
        <c:gapWidth val="150"/>
        <c:overlap val="0"/>
        <c:axId val="29653015"/>
        <c:axId val="16068706"/>
      </c:barChart>
      <c:catAx>
        <c:axId val="2965301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068706"/>
        <c:crosses val="autoZero"/>
        <c:auto val="1"/>
        <c:lblAlgn val="ctr"/>
        <c:lblOffset val="100"/>
        <c:noMultiLvlLbl val="0"/>
      </c:catAx>
      <c:valAx>
        <c:axId val="1606870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Sessions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65301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City Hall Sessions by Time of Day</a:t>
            </a:r>
          </a:p>
        </c:rich>
      </c:tx>
      <c:overlay val="0"/>
      <c:spPr>
        <a:noFill/>
        <a:ln w="0">
          <a:noFill/>
        </a:ln>
      </c:spPr>
    </c:title>
    <c:autoTitleDeleted val="0"/>
    <c:plotArea>
      <c:barChart>
        <c:barDir val="col"/>
        <c:grouping val="clustered"/>
        <c:varyColors val="0"/>
        <c:ser>
          <c:idx val="0"/>
          <c:order val="0"/>
          <c:tx>
            <c:strRef>
              <c:f>'City Hall (Level 3)'!B11</c:f>
              <c:strCache>
                <c:ptCount val="1"/>
                <c:pt idx="0">
                  <c:v>Sessions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'City Hall (Level 3)'!$A$12:$A$15</c:f>
              <c:strCache>
                <c:ptCount val="4"/>
                <c:pt idx="0">
                  <c:v>Morning (6-12)</c:v>
                </c:pt>
                <c:pt idx="1">
                  <c:v>Day (12-18)</c:v>
                </c:pt>
                <c:pt idx="2">
                  <c:v>Evening (18-22)</c:v>
                </c:pt>
                <c:pt idx="3">
                  <c:v>Night (22-6)</c:v>
                </c:pt>
              </c:strCache>
            </c:strRef>
          </c:cat>
          <c:val>
            <c:numRef>
              <c:f>'City Hall (Level 3)'!$B$12:$B$15</c:f>
              <c:numCache>
                <c:formatCode>General</c:formatCode>
                <c:ptCount val="4"/>
                <c:pt idx="0">
                  <c:v>4</c:v>
                </c:pt>
                <c:pt idx="1">
                  <c:v>79</c:v>
                </c:pt>
                <c:pt idx="2">
                  <c:v>87</c:v>
                </c:pt>
                <c:pt idx="3">
                  <c:v>69</c:v>
                </c:pt>
              </c:numCache>
            </c:numRef>
          </c:val>
        </c:ser>
        <c:gapWidth val="150"/>
        <c:overlap val="0"/>
        <c:axId val="40566060"/>
        <c:axId val="70655811"/>
      </c:barChart>
      <c:catAx>
        <c:axId val="4056606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655811"/>
        <c:crosses val="autoZero"/>
        <c:auto val="1"/>
        <c:lblAlgn val="ctr"/>
        <c:lblOffset val="100"/>
        <c:noMultiLvlLbl val="0"/>
      </c:catAx>
      <c:valAx>
        <c:axId val="7065581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Sessions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56606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Sessions by Time of Day</a:t>
            </a:r>
          </a:p>
        </c:rich>
      </c:tx>
      <c:overlay val="0"/>
      <c:spPr>
        <a:noFill/>
        <a:ln w="0">
          <a:noFill/>
        </a:ln>
      </c:spPr>
    </c:title>
    <c:autoTitleDeleted val="0"/>
    <c:plotArea>
      <c:barChart>
        <c:barDir val="col"/>
        <c:grouping val="clustered"/>
        <c:varyColors val="0"/>
        <c:ser>
          <c:idx val="0"/>
          <c:order val="0"/>
          <c:tx>
            <c:strRef>
              <c:f>'Time of Day'!B4</c:f>
              <c:strCache>
                <c:ptCount val="1"/>
                <c:pt idx="0">
                  <c:v>Sessions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'Time of Day'!$A$5:$A$8</c:f>
              <c:strCache>
                <c:ptCount val="4"/>
                <c:pt idx="0">
                  <c:v>Morning (6-12)</c:v>
                </c:pt>
                <c:pt idx="1">
                  <c:v>Day (12-18)</c:v>
                </c:pt>
                <c:pt idx="2">
                  <c:v>Evening (18-22)</c:v>
                </c:pt>
                <c:pt idx="3">
                  <c:v>Night (22-6)</c:v>
                </c:pt>
              </c:strCache>
            </c:strRef>
          </c:cat>
          <c:val>
            <c:numRef>
              <c:f>'Time of Day'!$B$5:$B$8</c:f>
              <c:numCache>
                <c:formatCode>General</c:formatCode>
                <c:ptCount val="4"/>
                <c:pt idx="0">
                  <c:v>4</c:v>
                </c:pt>
                <c:pt idx="1">
                  <c:v>96</c:v>
                </c:pt>
                <c:pt idx="2">
                  <c:v>102</c:v>
                </c:pt>
                <c:pt idx="3">
                  <c:v>86</c:v>
                </c:pt>
              </c:numCache>
            </c:numRef>
          </c:val>
        </c:ser>
        <c:gapWidth val="150"/>
        <c:overlap val="0"/>
        <c:axId val="88958314"/>
        <c:axId val="14276856"/>
      </c:barChart>
      <c:catAx>
        <c:axId val="8895831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276856"/>
        <c:crosses val="autoZero"/>
        <c:auto val="1"/>
        <c:lblAlgn val="ctr"/>
        <c:lblOffset val="100"/>
        <c:noMultiLvlLbl val="0"/>
      </c:catAx>
      <c:valAx>
        <c:axId val="1427685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Sessions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95831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Sessions by Day of Week</a:t>
            </a:r>
          </a:p>
        </c:rich>
      </c:tx>
      <c:overlay val="0"/>
      <c:spPr>
        <a:noFill/>
        <a:ln w="0">
          <a:noFill/>
        </a:ln>
      </c:spPr>
    </c:title>
    <c:autoTitleDeleted val="0"/>
    <c:plotArea>
      <c:barChart>
        <c:barDir val="col"/>
        <c:grouping val="clustered"/>
        <c:varyColors val="0"/>
        <c:ser>
          <c:idx val="0"/>
          <c:order val="0"/>
          <c:tx>
            <c:strRef>
              <c:f>'Frequency &amp; Day of Week'!B6</c:f>
              <c:strCache>
                <c:ptCount val="1"/>
                <c:pt idx="0">
                  <c:v>Sessions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'Frequency &amp; Day of Week'!$A$7:$A$13</c:f>
              <c:strCache>
                <c:ptCount val="7"/>
                <c:pt idx="0">
                  <c:v>Monday</c:v>
                </c:pt>
                <c:pt idx="1">
                  <c:v>Tuesday</c:v>
                </c:pt>
                <c:pt idx="2">
                  <c:v>Wednesday</c:v>
                </c:pt>
                <c:pt idx="3">
                  <c:v>Thursday</c:v>
                </c:pt>
                <c:pt idx="4">
                  <c:v>Friday</c:v>
                </c:pt>
                <c:pt idx="5">
                  <c:v>Saturday</c:v>
                </c:pt>
                <c:pt idx="6">
                  <c:v>Sunday</c:v>
                </c:pt>
              </c:strCache>
            </c:strRef>
          </c:cat>
          <c:val>
            <c:numRef>
              <c:f>'Frequency &amp; Day of Week'!$B$7:$B$13</c:f>
              <c:numCache>
                <c:formatCode>General</c:formatCode>
                <c:ptCount val="7"/>
                <c:pt idx="0">
                  <c:v>32</c:v>
                </c:pt>
                <c:pt idx="1">
                  <c:v>42</c:v>
                </c:pt>
                <c:pt idx="2">
                  <c:v>28</c:v>
                </c:pt>
                <c:pt idx="3">
                  <c:v>32</c:v>
                </c:pt>
                <c:pt idx="4">
                  <c:v>52</c:v>
                </c:pt>
                <c:pt idx="5">
                  <c:v>53</c:v>
                </c:pt>
                <c:pt idx="6">
                  <c:v>49</c:v>
                </c:pt>
              </c:numCache>
            </c:numRef>
          </c:val>
        </c:ser>
        <c:gapWidth val="150"/>
        <c:overlap val="0"/>
        <c:axId val="83457842"/>
        <c:axId val="7887790"/>
      </c:barChart>
      <c:catAx>
        <c:axId val="8345784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87790"/>
        <c:crosses val="autoZero"/>
        <c:auto val="1"/>
        <c:lblAlgn val="ctr"/>
        <c:lblOffset val="100"/>
        <c:noMultiLvlLbl val="0"/>
      </c:catAx>
      <c:valAx>
        <c:axId val="788779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Sessions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45784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Revenue Trend</a:t>
            </a:r>
          </a:p>
        </c:rich>
      </c:tx>
      <c:overlay val="0"/>
      <c:spPr>
        <a:noFill/>
        <a:ln w="0">
          <a:noFill/>
        </a:ln>
      </c:spPr>
    </c:title>
    <c:autoTitleDeleted val="0"/>
    <c:plotArea>
      <c:lineChart>
        <c:grouping val="standard"/>
        <c:varyColors val="0"/>
        <c:ser>
          <c:idx val="0"/>
          <c:order val="0"/>
          <c:tx>
            <c:strRef>
              <c:f>'Revenue &amp; Economic Impact'!C10</c:f>
              <c:strCache>
                <c:ptCount val="1"/>
                <c:pt idx="0">
                  <c:v>Revenue ($)</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&amp; Economic Impact'!$A$11:$A$20</c:f>
              <c:strCache>
                <c:ptCount val="10"/>
                <c:pt idx="0">
                  <c:v>Oct 2025</c:v>
                </c:pt>
                <c:pt idx="1">
                  <c:v>Nov 2025</c:v>
                </c:pt>
                <c:pt idx="2">
                  <c:v>Dec 2025</c:v>
                </c:pt>
                <c:pt idx="3">
                  <c:v>Jan 2026</c:v>
                </c:pt>
                <c:pt idx="4">
                  <c:v>Feb 2026</c:v>
                </c:pt>
                <c:pt idx="5">
                  <c:v>Mar 2026</c:v>
                </c:pt>
                <c:pt idx="6">
                  <c:v>Apr 2026</c:v>
                </c:pt>
                <c:pt idx="7">
                  <c:v>May 2026</c:v>
                </c:pt>
                <c:pt idx="8">
                  <c:v>Jun 2026</c:v>
                </c:pt>
                <c:pt idx="9">
                  <c:v>Jul 2026</c:v>
                </c:pt>
              </c:strCache>
            </c:strRef>
          </c:cat>
          <c:val>
            <c:numRef>
              <c:f>'Revenue &amp; Economic Impact'!$C$11:$C$20</c:f>
              <c:numCache>
                <c:formatCode>\$#,##0.00</c:formatCode>
                <c:ptCount val="10"/>
                <c:pt idx="0">
                  <c:v>188.56</c:v>
                </c:pt>
                <c:pt idx="1">
                  <c:v>401.35</c:v>
                </c:pt>
                <c:pt idx="2">
                  <c:v>479.65</c:v>
                </c:pt>
                <c:pt idx="3">
                  <c:v>50.49</c:v>
                </c:pt>
                <c:pt idx="4">
                  <c:v>503.39</c:v>
                </c:pt>
                <c:pt idx="5">
                  <c:v>462.35</c:v>
                </c:pt>
                <c:pt idx="6">
                  <c:v>825.21</c:v>
                </c:pt>
                <c:pt idx="7">
                  <c:v>606.14</c:v>
                </c:pt>
                <c:pt idx="8">
                  <c:v>425.72</c:v>
                </c:pt>
                <c:pt idx="9">
                  <c:v>93.26</c:v>
                </c:pt>
              </c:numCache>
            </c:numRef>
          </c:val>
          <c:smooth val="1"/>
        </c:ser>
        <c:hiLowLines>
          <c:spPr>
            <a:ln w="0">
              <a:noFill/>
            </a:ln>
          </c:spPr>
        </c:hiLowLines>
        <c:marker val="0"/>
        <c:axId val="79447281"/>
        <c:axId val="84231577"/>
      </c:lineChart>
      <c:catAx>
        <c:axId val="79447281"/>
        <c:scaling>
          <c:orientation val="minMax"/>
        </c:scaling>
        <c:delete val="0"/>
        <c:axPos val="b"/>
        <c:numFmt formatCode="mmm\ yyyy"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231577"/>
        <c:crosses val="autoZero"/>
        <c:auto val="1"/>
        <c:lblAlgn val="ctr"/>
        <c:lblOffset val="100"/>
        <c:noMultiLvlLbl val="0"/>
      </c:catAx>
      <c:valAx>
        <c:axId val="8423157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Revenue ($)</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44728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Sessions by Estimated State of Origin</a:t>
            </a:r>
          </a:p>
        </c:rich>
      </c:tx>
      <c:overlay val="0"/>
      <c:spPr>
        <a:noFill/>
        <a:ln w="0">
          <a:noFill/>
        </a:ln>
      </c:spPr>
    </c:title>
    <c:autoTitleDeleted val="0"/>
    <c:plotArea>
      <c:barChart>
        <c:barDir val="col"/>
        <c:grouping val="clustered"/>
        <c:varyColors val="0"/>
        <c:ser>
          <c:idx val="0"/>
          <c:order val="0"/>
          <c:tx>
            <c:strRef>
              <c:f>'Visitor Origin'!B4</c:f>
              <c:strCache>
                <c:ptCount val="1"/>
                <c:pt idx="0">
                  <c:v>Sessions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'Visitor Origin'!$A$5:$A$23</c:f>
              <c:strCache>
                <c:ptCount val="19"/>
                <c:pt idx="0">
                  <c:v>KY</c:v>
                </c:pt>
                <c:pt idx="1">
                  <c:v>TN</c:v>
                </c:pt>
                <c:pt idx="2">
                  <c:v>OH</c:v>
                </c:pt>
                <c:pt idx="3">
                  <c:v>NC</c:v>
                </c:pt>
                <c:pt idx="4">
                  <c:v>IL</c:v>
                </c:pt>
                <c:pt idx="5">
                  <c:v>FL</c:v>
                </c:pt>
                <c:pt idx="6">
                  <c:v>SC</c:v>
                </c:pt>
                <c:pt idx="7">
                  <c:v>MI</c:v>
                </c:pt>
                <c:pt idx="8">
                  <c:v>WI</c:v>
                </c:pt>
                <c:pt idx="9">
                  <c:v>IN</c:v>
                </c:pt>
                <c:pt idx="10">
                  <c:v>GA</c:v>
                </c:pt>
                <c:pt idx="11">
                  <c:v>TX</c:v>
                </c:pt>
                <c:pt idx="12">
                  <c:v>PA</c:v>
                </c:pt>
                <c:pt idx="13">
                  <c:v>CT</c:v>
                </c:pt>
                <c:pt idx="14">
                  <c:v>KS</c:v>
                </c:pt>
                <c:pt idx="15">
                  <c:v>MO</c:v>
                </c:pt>
                <c:pt idx="16">
                  <c:v>MN</c:v>
                </c:pt>
                <c:pt idx="17">
                  <c:v>MD</c:v>
                </c:pt>
                <c:pt idx="18">
                  <c:v>OK</c:v>
                </c:pt>
              </c:strCache>
            </c:strRef>
          </c:cat>
          <c:val>
            <c:numRef>
              <c:f>'Visitor Origin'!$B$5:$B$23</c:f>
              <c:numCache>
                <c:formatCode>General</c:formatCode>
                <c:ptCount val="19"/>
                <c:pt idx="0">
                  <c:v>96</c:v>
                </c:pt>
                <c:pt idx="1">
                  <c:v>18</c:v>
                </c:pt>
                <c:pt idx="2">
                  <c:v>10</c:v>
                </c:pt>
                <c:pt idx="3">
                  <c:v>9</c:v>
                </c:pt>
                <c:pt idx="4">
                  <c:v>5</c:v>
                </c:pt>
                <c:pt idx="5">
                  <c:v>3</c:v>
                </c:pt>
                <c:pt idx="6">
                  <c:v>3</c:v>
                </c:pt>
                <c:pt idx="7">
                  <c:v>3</c:v>
                </c:pt>
                <c:pt idx="8">
                  <c:v>3</c:v>
                </c:pt>
                <c:pt idx="9">
                  <c:v>2</c:v>
                </c:pt>
                <c:pt idx="10">
                  <c:v>2</c:v>
                </c:pt>
                <c:pt idx="11">
                  <c:v>2</c:v>
                </c:pt>
                <c:pt idx="12">
                  <c:v>2</c:v>
                </c:pt>
                <c:pt idx="13">
                  <c:v>1</c:v>
                </c:pt>
                <c:pt idx="14">
                  <c:v>1</c:v>
                </c:pt>
                <c:pt idx="15">
                  <c:v>1</c:v>
                </c:pt>
                <c:pt idx="16">
                  <c:v>1</c:v>
                </c:pt>
                <c:pt idx="17">
                  <c:v>1</c:v>
                </c:pt>
                <c:pt idx="18">
                  <c:v>1</c:v>
                </c:pt>
              </c:numCache>
            </c:numRef>
          </c:val>
        </c:ser>
        <c:gapWidth val="150"/>
        <c:overlap val="0"/>
        <c:axId val="29531487"/>
        <c:axId val="52295807"/>
      </c:barChart>
      <c:catAx>
        <c:axId val="2953148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295807"/>
        <c:crosses val="autoZero"/>
        <c:auto val="1"/>
        <c:lblAlgn val="ctr"/>
        <c:lblOffset val="100"/>
        <c:noMultiLvlLbl val="0"/>
      </c:catAx>
      <c:valAx>
        <c:axId val="5229580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Sessions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53148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2.xml.rels><?xml version="1.0" encoding="UTF-8"?>
<Relationships xmlns="http://schemas.openxmlformats.org/package/2006/relationships"><Relationship Id="rId1" Type="http://schemas.openxmlformats.org/officeDocument/2006/relationships/chart" Target="../charts/chart5.xml"/>
</Relationships>
</file>

<file path=xl/drawings/_rels/drawing3.xml.rels><?xml version="1.0" encoding="UTF-8"?>
<Relationships xmlns="http://schemas.openxmlformats.org/package/2006/relationships"><Relationship Id="rId1" Type="http://schemas.openxmlformats.org/officeDocument/2006/relationships/chart" Target="../charts/chart6.xml"/>
</Relationships>
</file>

<file path=xl/drawings/_rels/drawing4.xml.rels><?xml version="1.0" encoding="UTF-8"?>
<Relationships xmlns="http://schemas.openxmlformats.org/package/2006/relationships"><Relationship Id="rId1" Type="http://schemas.openxmlformats.org/officeDocument/2006/relationships/chart" Target="../charts/chart7.xml"/>
</Relationships>
</file>

<file path=xl/drawings/_rels/drawing5.xml.rels><?xml version="1.0" encoding="UTF-8"?>
<Relationships xmlns="http://schemas.openxmlformats.org/package/2006/relationships"><Relationship Id="rId1" Type="http://schemas.openxmlformats.org/officeDocument/2006/relationships/chart" Target="../charts/chart8.xml"/>
</Relationships>
</file>

<file path=xl/drawings/_rels/drawing6.xml.rels><?xml version="1.0" encoding="UTF-8"?>
<Relationships xmlns="http://schemas.openxmlformats.org/package/2006/relationships"><Relationship Id="rId1" Type="http://schemas.openxmlformats.org/officeDocument/2006/relationships/chart" Target="../charts/chart9.xml"/>
</Relationships>
</file>

<file path=xl/drawings/_rels/drawing8.xml.rels><?xml version="1.0" encoding="UTF-8"?>
<Relationships xmlns="http://schemas.openxmlformats.org/package/2006/relationships"><Relationship Id="rId1" Type="http://schemas.openxmlformats.org/officeDocument/2006/relationships/chart" Target="../charts/chart10.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22</xdr:row>
      <xdr:rowOff>0</xdr:rowOff>
    </xdr:from>
    <xdr:to>
      <xdr:col>4</xdr:col>
      <xdr:colOff>654480</xdr:colOff>
      <xdr:row>37</xdr:row>
      <xdr:rowOff>22320</xdr:rowOff>
    </xdr:to>
    <xdr:graphicFrame>
      <xdr:nvGraphicFramePr>
        <xdr:cNvPr id="0" name="Chart 1"/>
        <xdr:cNvGraphicFramePr/>
      </xdr:nvGraphicFramePr>
      <xdr:xfrm>
        <a:off x="0" y="4896000"/>
        <a:ext cx="43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22</xdr:row>
      <xdr:rowOff>0</xdr:rowOff>
    </xdr:from>
    <xdr:to>
      <xdr:col>8</xdr:col>
      <xdr:colOff>654480</xdr:colOff>
      <xdr:row>37</xdr:row>
      <xdr:rowOff>22320</xdr:rowOff>
    </xdr:to>
    <xdr:graphicFrame>
      <xdr:nvGraphicFramePr>
        <xdr:cNvPr id="1" name="Chart 2"/>
        <xdr:cNvGraphicFramePr/>
      </xdr:nvGraphicFramePr>
      <xdr:xfrm>
        <a:off x="3665160" y="4896000"/>
        <a:ext cx="43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22</xdr:row>
      <xdr:rowOff>0</xdr:rowOff>
    </xdr:from>
    <xdr:to>
      <xdr:col>12</xdr:col>
      <xdr:colOff>654120</xdr:colOff>
      <xdr:row>37</xdr:row>
      <xdr:rowOff>22320</xdr:rowOff>
    </xdr:to>
    <xdr:graphicFrame>
      <xdr:nvGraphicFramePr>
        <xdr:cNvPr id="2" name="Chart 3"/>
        <xdr:cNvGraphicFramePr/>
      </xdr:nvGraphicFramePr>
      <xdr:xfrm>
        <a:off x="7330320" y="4896000"/>
        <a:ext cx="431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0</xdr:colOff>
      <xdr:row>22</xdr:row>
      <xdr:rowOff>0</xdr:rowOff>
    </xdr:from>
    <xdr:to>
      <xdr:col>17</xdr:col>
      <xdr:colOff>43200</xdr:colOff>
      <xdr:row>37</xdr:row>
      <xdr:rowOff>22320</xdr:rowOff>
    </xdr:to>
    <xdr:graphicFrame>
      <xdr:nvGraphicFramePr>
        <xdr:cNvPr id="3" name="Chart 4"/>
        <xdr:cNvGraphicFramePr/>
      </xdr:nvGraphicFramePr>
      <xdr:xfrm>
        <a:off x="10995840" y="4896000"/>
        <a:ext cx="4319640" cy="287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9</xdr:row>
      <xdr:rowOff>0</xdr:rowOff>
    </xdr:from>
    <xdr:to>
      <xdr:col>11</xdr:col>
      <xdr:colOff>290880</xdr:colOff>
      <xdr:row>21</xdr:row>
      <xdr:rowOff>121320</xdr:rowOff>
    </xdr:to>
    <xdr:graphicFrame>
      <xdr:nvGraphicFramePr>
        <xdr:cNvPr id="4" name="Chart 1"/>
        <xdr:cNvGraphicFramePr/>
      </xdr:nvGraphicFramePr>
      <xdr:xfrm>
        <a:off x="4699800" y="2200320"/>
        <a:ext cx="395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9</xdr:row>
      <xdr:rowOff>0</xdr:rowOff>
    </xdr:from>
    <xdr:to>
      <xdr:col>11</xdr:col>
      <xdr:colOff>290880</xdr:colOff>
      <xdr:row>21</xdr:row>
      <xdr:rowOff>121320</xdr:rowOff>
    </xdr:to>
    <xdr:graphicFrame>
      <xdr:nvGraphicFramePr>
        <xdr:cNvPr id="5" name="Chart 1"/>
        <xdr:cNvGraphicFramePr/>
      </xdr:nvGraphicFramePr>
      <xdr:xfrm>
        <a:off x="4699800" y="2009880"/>
        <a:ext cx="395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9</xdr:row>
      <xdr:rowOff>63720</xdr:rowOff>
    </xdr:from>
    <xdr:to>
      <xdr:col>4</xdr:col>
      <xdr:colOff>372600</xdr:colOff>
      <xdr:row>24</xdr:row>
      <xdr:rowOff>85680</xdr:rowOff>
    </xdr:to>
    <xdr:graphicFrame>
      <xdr:nvGraphicFramePr>
        <xdr:cNvPr id="6" name="Chart 1"/>
        <xdr:cNvGraphicFramePr/>
      </xdr:nvGraphicFramePr>
      <xdr:xfrm>
        <a:off x="0" y="1905120"/>
        <a:ext cx="43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3</xdr:row>
      <xdr:rowOff>175680</xdr:rowOff>
    </xdr:from>
    <xdr:to>
      <xdr:col>11</xdr:col>
      <xdr:colOff>398880</xdr:colOff>
      <xdr:row>19</xdr:row>
      <xdr:rowOff>7200</xdr:rowOff>
    </xdr:to>
    <xdr:graphicFrame>
      <xdr:nvGraphicFramePr>
        <xdr:cNvPr id="7" name="Chart 1"/>
        <xdr:cNvGraphicFramePr/>
      </xdr:nvGraphicFramePr>
      <xdr:xfrm>
        <a:off x="3665160" y="923760"/>
        <a:ext cx="46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7</xdr:row>
      <xdr:rowOff>175680</xdr:rowOff>
    </xdr:from>
    <xdr:to>
      <xdr:col>13</xdr:col>
      <xdr:colOff>507600</xdr:colOff>
      <xdr:row>23</xdr:row>
      <xdr:rowOff>7560</xdr:rowOff>
    </xdr:to>
    <xdr:graphicFrame>
      <xdr:nvGraphicFramePr>
        <xdr:cNvPr id="8" name="Chart 1"/>
        <xdr:cNvGraphicFramePr/>
      </xdr:nvGraphicFramePr>
      <xdr:xfrm>
        <a:off x="4276800" y="152388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xdr:row>
      <xdr:rowOff>176040</xdr:rowOff>
    </xdr:from>
    <xdr:to>
      <xdr:col>14</xdr:col>
      <xdr:colOff>364680</xdr:colOff>
      <xdr:row>21</xdr:row>
      <xdr:rowOff>156240</xdr:rowOff>
    </xdr:to>
    <xdr:graphicFrame>
      <xdr:nvGraphicFramePr>
        <xdr:cNvPr id="9" name="Chart 1"/>
        <xdr:cNvGraphicFramePr/>
      </xdr:nvGraphicFramePr>
      <xdr:xfrm>
        <a:off x="3290040" y="571680"/>
        <a:ext cx="647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1" customFormat="false" ht="30" hidden="false" customHeight="true" outlineLevel="0" collapsed="false">
      <c r="A1" s="1" t="s">
        <v>0</v>
      </c>
      <c r="B1" s="1"/>
      <c r="C1" s="1"/>
      <c r="D1" s="1"/>
      <c r="E1" s="1"/>
      <c r="F1" s="1"/>
      <c r="G1" s="1"/>
      <c r="H1" s="1"/>
    </row>
    <row r="3" customFormat="false" ht="15" hidden="false" customHeight="false" outlineLevel="0" collapsed="false">
      <c r="B3" s="2" t="s">
        <v>1</v>
      </c>
    </row>
    <row r="4" customFormat="false" ht="15" hidden="false" customHeight="false" outlineLevel="0" collapsed="false">
      <c r="B4" s="2" t="s">
        <v>2</v>
      </c>
    </row>
    <row r="5" customFormat="false" ht="15" hidden="false" customHeight="false" outlineLevel="0" collapsed="false">
      <c r="B5" s="2" t="s">
        <v>3</v>
      </c>
    </row>
    <row r="6" customFormat="false" ht="15" hidden="false" customHeight="false" outlineLevel="0" collapsed="false">
      <c r="B6" s="2" t="s">
        <v>4</v>
      </c>
    </row>
    <row r="7" customFormat="false" ht="30" hidden="false" customHeight="true" outlineLevel="0" collapsed="false">
      <c r="B7" s="3" t="s">
        <v>5</v>
      </c>
      <c r="C7" s="3"/>
      <c r="D7" s="3"/>
      <c r="E7" s="3"/>
      <c r="F7" s="3"/>
      <c r="G7" s="3"/>
      <c r="H7" s="3"/>
    </row>
    <row r="8" customFormat="false" ht="15" hidden="false" customHeight="false" outlineLevel="0" collapsed="false">
      <c r="B8" s="4" t="s">
        <v>6</v>
      </c>
    </row>
    <row r="9" customFormat="false" ht="27.75" hidden="false" customHeight="true" outlineLevel="0" collapsed="false">
      <c r="B9" s="5" t="s">
        <v>7</v>
      </c>
    </row>
    <row r="10" customFormat="false" ht="27.75" hidden="false" customHeight="true" outlineLevel="0" collapsed="false">
      <c r="B10" s="5" t="s">
        <v>8</v>
      </c>
    </row>
    <row r="11" customFormat="false" ht="27.75" hidden="false" customHeight="true" outlineLevel="0" collapsed="false">
      <c r="B11" s="5" t="s">
        <v>9</v>
      </c>
    </row>
    <row r="12" customFormat="false" ht="27.75" hidden="false" customHeight="true" outlineLevel="0" collapsed="false">
      <c r="B12" s="5" t="s">
        <v>10</v>
      </c>
    </row>
    <row r="13" customFormat="false" ht="27.75" hidden="false" customHeight="true" outlineLevel="0" collapsed="false">
      <c r="B13" s="5" t="s">
        <v>11</v>
      </c>
    </row>
    <row r="15" customFormat="false" ht="15" hidden="false" customHeight="false" outlineLevel="0" collapsed="false">
      <c r="B15" s="4" t="s">
        <v>12</v>
      </c>
    </row>
    <row r="16" customFormat="false" ht="27.75" hidden="false" customHeight="true" outlineLevel="0" collapsed="false">
      <c r="B16" s="5" t="s">
        <v>13</v>
      </c>
    </row>
    <row r="17" customFormat="false" ht="27.75" hidden="false" customHeight="true" outlineLevel="0" collapsed="false">
      <c r="B17" s="5" t="s">
        <v>14</v>
      </c>
    </row>
    <row r="18" customFormat="false" ht="27.75" hidden="false" customHeight="true" outlineLevel="0" collapsed="false">
      <c r="B18" s="5" t="s">
        <v>15</v>
      </c>
    </row>
    <row r="19" customFormat="false" ht="27.75" hidden="false" customHeight="true" outlineLevel="0" collapsed="false">
      <c r="B19" s="5" t="s">
        <v>16</v>
      </c>
    </row>
    <row r="20" customFormat="false" ht="27.75" hidden="false" customHeight="true" outlineLevel="0" collapsed="false">
      <c r="B20" s="5" t="s">
        <v>17</v>
      </c>
    </row>
    <row r="21" customFormat="false" ht="27.75" hidden="false" customHeight="true" outlineLevel="0" collapsed="false">
      <c r="B21" s="5" t="s">
        <v>18</v>
      </c>
    </row>
    <row r="22" customFormat="false" ht="27.75" hidden="false" customHeight="true" outlineLevel="0" collapsed="false">
      <c r="B22" s="5" t="s">
        <v>19</v>
      </c>
    </row>
    <row r="23" customFormat="false" ht="27.75" hidden="false" customHeight="true" outlineLevel="0" collapsed="false">
      <c r="B23" s="5" t="s">
        <v>20</v>
      </c>
    </row>
    <row r="25" customFormat="false" ht="15" hidden="false" customHeight="false" outlineLevel="0" collapsed="false">
      <c r="B25" s="6" t="s">
        <v>21</v>
      </c>
    </row>
    <row r="26" customFormat="false" ht="90" hidden="false" customHeight="true" outlineLevel="0" collapsed="false">
      <c r="B26" s="5" t="s">
        <v>22</v>
      </c>
    </row>
    <row r="28" customFormat="false" ht="15" hidden="false" customHeight="false" outlineLevel="0" collapsed="false">
      <c r="B28" s="4" t="s">
        <v>23</v>
      </c>
    </row>
    <row r="29" customFormat="false" ht="21.75" hidden="false" customHeight="true" outlineLevel="0" collapsed="false">
      <c r="B29" s="5" t="s">
        <v>24</v>
      </c>
    </row>
    <row r="30" customFormat="false" ht="21.75" hidden="false" customHeight="true" outlineLevel="0" collapsed="false">
      <c r="B30" s="5" t="s">
        <v>25</v>
      </c>
    </row>
    <row r="31" customFormat="false" ht="21.75" hidden="false" customHeight="true" outlineLevel="0" collapsed="false">
      <c r="B31" s="5" t="s">
        <v>26</v>
      </c>
    </row>
    <row r="32" customFormat="false" ht="21.75" hidden="false" customHeight="true" outlineLevel="0" collapsed="false">
      <c r="B32" s="5" t="s">
        <v>27</v>
      </c>
    </row>
    <row r="33" customFormat="false" ht="21.75" hidden="false" customHeight="true" outlineLevel="0" collapsed="false">
      <c r="B33" s="5" t="s">
        <v>28</v>
      </c>
    </row>
    <row r="34" customFormat="false" ht="21.75" hidden="false" customHeight="true" outlineLevel="0" collapsed="false">
      <c r="B34" s="5" t="s">
        <v>29</v>
      </c>
    </row>
    <row r="35" customFormat="false" ht="21.75" hidden="false" customHeight="true" outlineLevel="0" collapsed="false">
      <c r="B35" s="5" t="s">
        <v>30</v>
      </c>
    </row>
    <row r="36" customFormat="false" ht="21.75" hidden="false" customHeight="true" outlineLevel="0" collapsed="false">
      <c r="B36" s="5" t="s">
        <v>31</v>
      </c>
    </row>
    <row r="37" customFormat="false" ht="21.75" hidden="false" customHeight="true" outlineLevel="0" collapsed="false">
      <c r="B37" s="5" t="s">
        <v>32</v>
      </c>
    </row>
    <row r="38" customFormat="false" ht="21.75" hidden="false" customHeight="true" outlineLevel="0" collapsed="false">
      <c r="B38" s="5" t="s">
        <v>33</v>
      </c>
    </row>
    <row r="39" customFormat="false" ht="21.75" hidden="false" customHeight="true" outlineLevel="0" collapsed="false">
      <c r="B39" s="5" t="s">
        <v>34</v>
      </c>
    </row>
  </sheetData>
  <mergeCells count="2">
    <mergeCell ref="A1:H1"/>
    <mergeCell ref="B7:H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R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6" min="1" style="0" width="13"/>
  </cols>
  <sheetData>
    <row r="1" customFormat="false" ht="31.5" hidden="false" customHeight="true" outlineLevel="0" collapsed="false">
      <c r="A1" s="1" t="s">
        <v>35</v>
      </c>
      <c r="B1" s="1"/>
      <c r="C1" s="1"/>
      <c r="D1" s="1"/>
      <c r="E1" s="1"/>
      <c r="F1" s="1"/>
      <c r="G1" s="1"/>
      <c r="H1" s="1"/>
      <c r="I1" s="1"/>
      <c r="J1" s="1"/>
      <c r="K1" s="1"/>
      <c r="L1" s="1"/>
      <c r="M1" s="1"/>
      <c r="N1" s="1"/>
      <c r="O1" s="1"/>
      <c r="P1" s="1"/>
    </row>
    <row r="2" customFormat="false" ht="15" hidden="false" customHeight="false" outlineLevel="0" collapsed="false">
      <c r="A2" s="7" t="s">
        <v>36</v>
      </c>
      <c r="B2" s="7"/>
      <c r="C2" s="7"/>
      <c r="D2" s="7"/>
      <c r="E2" s="7"/>
      <c r="F2" s="7"/>
      <c r="G2" s="7"/>
      <c r="H2" s="7"/>
      <c r="I2" s="7"/>
      <c r="J2" s="7"/>
      <c r="K2" s="7"/>
      <c r="L2" s="7"/>
      <c r="M2" s="7"/>
      <c r="N2" s="7"/>
      <c r="O2" s="7"/>
      <c r="P2" s="7"/>
    </row>
    <row r="4" customFormat="false" ht="25.5" hidden="false" customHeight="true" outlineLevel="0" collapsed="false">
      <c r="A4" s="8" t="s">
        <v>37</v>
      </c>
      <c r="B4" s="8"/>
      <c r="C4" s="8" t="s">
        <v>38</v>
      </c>
      <c r="D4" s="8"/>
      <c r="E4" s="8" t="s">
        <v>39</v>
      </c>
      <c r="F4" s="8"/>
      <c r="G4" s="8" t="s">
        <v>40</v>
      </c>
      <c r="H4" s="8"/>
      <c r="I4" s="8" t="s">
        <v>41</v>
      </c>
      <c r="J4" s="8"/>
      <c r="K4" s="8" t="s">
        <v>42</v>
      </c>
      <c r="L4" s="8"/>
      <c r="M4" s="8" t="s">
        <v>43</v>
      </c>
      <c r="N4" s="8"/>
      <c r="O4" s="8" t="s">
        <v>44</v>
      </c>
      <c r="P4" s="8"/>
      <c r="Q4" s="8" t="s">
        <v>45</v>
      </c>
      <c r="R4" s="8"/>
    </row>
    <row r="5" customFormat="false" ht="15" hidden="false" customHeight="false" outlineLevel="0" collapsed="false">
      <c r="A5" s="9" t="n">
        <f aca="false">COUNTA('Raw - Sessions'!A5:A292)</f>
        <v>288</v>
      </c>
      <c r="B5" s="9"/>
      <c r="C5" s="10" t="n">
        <f aca="false">SUM('Raw - Sessions'!E5:E292)</f>
        <v>6216.705528</v>
      </c>
      <c r="D5" s="10"/>
      <c r="E5" s="11" t="n">
        <f aca="false">SUM('Raw - Sessions'!E5:E292)/'Daily Summary'!C5</f>
        <v>17.032069939726</v>
      </c>
      <c r="F5" s="11"/>
      <c r="G5" s="11" t="n">
        <f aca="false">SUM('Raw - Sessions'!E5:E292)/SUM('Raw - Sessions'!AF5:AF292)</f>
        <v>45.0485907826087</v>
      </c>
      <c r="H5" s="11"/>
      <c r="I5" s="11" t="n">
        <f aca="false">SUM('Raw - Sessions'!E5:E292)/SUM('Raw - Sessions'!D5:D292)</f>
        <v>29.1832520746972</v>
      </c>
      <c r="J5" s="11"/>
      <c r="K5" s="12" t="n">
        <f aca="false">SUM('Raw - Sessions'!P5:P292)</f>
        <v>4036.12</v>
      </c>
      <c r="L5" s="12"/>
      <c r="M5" s="12" t="n">
        <f aca="false">SUM('Raw - Sessions'!Q5:Q292)</f>
        <v>3415.92</v>
      </c>
      <c r="N5" s="12"/>
      <c r="O5" s="9" t="n">
        <f aca="false">COUNTIFS('Raw - Sessions'!$O$5:$O$292,"&lt;&gt;",'Raw - Sessions'!$O$5:$O$292,"&lt;&gt;KY")</f>
        <v>68</v>
      </c>
      <c r="P5" s="9"/>
      <c r="Q5" s="9" t="n">
        <f aca="false">AVERAGE('Raw - Sessions'!D5:D292)*60</f>
        <v>44.3798032407407</v>
      </c>
      <c r="R5" s="9"/>
    </row>
    <row r="6" customFormat="false" ht="15" hidden="false" customHeight="false" outlineLevel="0" collapsed="false">
      <c r="A6" s="9"/>
      <c r="B6" s="9"/>
      <c r="C6" s="10"/>
      <c r="D6" s="10"/>
      <c r="E6" s="11"/>
      <c r="F6" s="11"/>
      <c r="G6" s="11"/>
      <c r="H6" s="11"/>
      <c r="I6" s="11"/>
      <c r="J6" s="11"/>
      <c r="K6" s="12"/>
      <c r="L6" s="12"/>
      <c r="M6" s="12"/>
      <c r="N6" s="12"/>
      <c r="O6" s="9"/>
      <c r="P6" s="9"/>
      <c r="Q6" s="9"/>
      <c r="R6" s="9"/>
    </row>
    <row r="9" customFormat="false" ht="15" hidden="false" customHeight="false" outlineLevel="0" collapsed="false">
      <c r="A9" s="4" t="s">
        <v>46</v>
      </c>
    </row>
    <row r="10" customFormat="false" ht="15" hidden="false" customHeight="false" outlineLevel="0" collapsed="false">
      <c r="A10" s="13" t="s">
        <v>47</v>
      </c>
      <c r="B10" s="13" t="s">
        <v>48</v>
      </c>
      <c r="C10" s="13" t="s">
        <v>49</v>
      </c>
      <c r="D10" s="13" t="s">
        <v>50</v>
      </c>
    </row>
    <row r="11" customFormat="false" ht="15" hidden="false" customHeight="false" outlineLevel="0" collapsed="false">
      <c r="A11" s="14" t="s">
        <v>51</v>
      </c>
      <c r="B11" s="15" t="n">
        <f aca="false">COUNTIF('Raw - Sessions'!$K$5:$K$292,"BARBOURVILLE / TOURISM")</f>
        <v>49</v>
      </c>
      <c r="C11" s="15" t="n">
        <f aca="false">COUNTIF('Raw - Sessions'!$K$5:$K$292,"BARBOURVILLE / CITY HALL")</f>
        <v>239</v>
      </c>
      <c r="D11" s="16" t="n">
        <f aca="false">COUNTA('Raw - Sessions'!$K$5:$K$292)</f>
        <v>288</v>
      </c>
    </row>
    <row r="12" customFormat="false" ht="15" hidden="false" customHeight="false" outlineLevel="0" collapsed="false">
      <c r="A12" s="17" t="s">
        <v>52</v>
      </c>
      <c r="B12" s="18" t="n">
        <f aca="false">SUMIF('Raw - Sessions'!$K$5:$K$292,"BARBOURVILLE / TOURISM",'Raw - Sessions'!$E$5:$E$292)</f>
        <v>392.20674</v>
      </c>
      <c r="C12" s="18" t="n">
        <f aca="false">SUMIF('Raw - Sessions'!$K$5:$K$292,"BARBOURVILLE / CITY HALL",'Raw - Sessions'!$E$5:$E$292)</f>
        <v>5824.498788</v>
      </c>
      <c r="D12" s="19" t="n">
        <f aca="false">SUM('Raw - Sessions'!$E$5:$E$292)</f>
        <v>6216.705528</v>
      </c>
    </row>
    <row r="13" customFormat="false" ht="15" hidden="false" customHeight="false" outlineLevel="0" collapsed="false">
      <c r="A13" s="14" t="s">
        <v>53</v>
      </c>
      <c r="B13" s="15" t="n">
        <f aca="false">SUMIF('Raw - Sessions'!$K$5:$K$292,"BARBOURVILLE / TOURISM",'Raw - Sessions'!$AG$5:$AG$292)</f>
        <v>27</v>
      </c>
      <c r="C13" s="15" t="n">
        <f aca="false">SUMIF('Raw - Sessions'!$K$5:$K$292,"BARBOURVILLE / CITY HALL",'Raw - Sessions'!$AG$5:$AG$292)</f>
        <v>127</v>
      </c>
      <c r="D13" s="16" t="n">
        <f aca="false">SUM('Raw - Sessions'!$AF$5:$AF$292)</f>
        <v>138</v>
      </c>
    </row>
    <row r="14" customFormat="false" ht="15" hidden="false" customHeight="false" outlineLevel="0" collapsed="false">
      <c r="A14" s="17" t="s">
        <v>39</v>
      </c>
      <c r="B14" s="20" t="n">
        <f aca="false">SUMIF('Raw - Sessions'!$K$5:$K$292,"BARBOURVILLE / TOURISM",'Raw - Sessions'!$E$5:$E$292)/'Daily Summary'!C5</f>
        <v>1.07453901369863</v>
      </c>
      <c r="C14" s="20" t="n">
        <f aca="false">SUMIF('Raw - Sessions'!$K$5:$K$292,"BARBOURVILLE / CITY HALL",'Raw - Sessions'!$E$5:$E$292)/'Daily Summary'!C5</f>
        <v>15.9575309260274</v>
      </c>
      <c r="D14" s="21" t="n">
        <f aca="false">SUM('Raw - Sessions'!$E$5:$E$292)/'Daily Summary'!C5</f>
        <v>17.032069939726</v>
      </c>
    </row>
    <row r="15" customFormat="false" ht="15" hidden="false" customHeight="false" outlineLevel="0" collapsed="false">
      <c r="A15" s="14" t="s">
        <v>40</v>
      </c>
      <c r="B15" s="22" t="n">
        <f aca="false">SUMIF('Raw - Sessions'!$K$5:$K$292,"BARBOURVILLE / TOURISM",'Raw - Sessions'!$E$5:$E$292)/SUMIF('Raw - Sessions'!$K$5:$K$292,"BARBOURVILLE / TOURISM",'Raw - Sessions'!$AG$5:$AG$292)</f>
        <v>14.5261755555556</v>
      </c>
      <c r="C15" s="22" t="n">
        <f aca="false">SUMIF('Raw - Sessions'!$K$5:$K$292,"BARBOURVILLE / CITY HALL",'Raw - Sessions'!$E$5:$E$292)/SUMIF('Raw - Sessions'!$K$5:$K$292,"BARBOURVILLE / CITY HALL",'Raw - Sessions'!$AG$5:$AG$292)</f>
        <v>45.8621951811024</v>
      </c>
      <c r="D15" s="23" t="n">
        <f aca="false">SUM('Raw - Sessions'!$E$5:$E$292)/SUM('Raw - Sessions'!$AF$5:$AF$292)</f>
        <v>45.0485907826087</v>
      </c>
    </row>
    <row r="16" customFormat="false" ht="15" hidden="false" customHeight="false" outlineLevel="0" collapsed="false">
      <c r="A16" s="17" t="s">
        <v>41</v>
      </c>
      <c r="B16" s="20" t="n">
        <f aca="false">SUMIF('Raw - Sessions'!$K$5:$K$292,"BARBOURVILLE / TOURISM",'Raw - Sessions'!$E$5:$E$292)/SUMIF('Raw - Sessions'!$K$5:$K$292,"BARBOURVILLE / TOURISM",'Raw - Sessions'!$D$5:$D$292)</f>
        <v>6.19368878555919</v>
      </c>
      <c r="C16" s="20" t="n">
        <f aca="false">SUMIF('Raw - Sessions'!$K$5:$K$292,"BARBOURVILLE / CITY HALL",'Raw - Sessions'!$E$5:$E$292)/SUMIF('Raw - Sessions'!$K$5:$K$292,"BARBOURVILLE / CITY HALL",'Raw - Sessions'!$D$5:$D$292)</f>
        <v>38.9079519273804</v>
      </c>
      <c r="D16" s="21" t="n">
        <f aca="false">SUM('Raw - Sessions'!$E$5:$E$292)/SUM('Raw - Sessions'!$D$5:$D$292)</f>
        <v>29.1832520746972</v>
      </c>
    </row>
    <row r="17" customFormat="false" ht="15" hidden="false" customHeight="false" outlineLevel="0" collapsed="false">
      <c r="A17" s="14" t="s">
        <v>54</v>
      </c>
      <c r="B17" s="24" t="n">
        <f aca="false">SUMIF('Raw - Sessions'!$K$5:$K$292,"BARBOURVILLE / TOURISM",'Raw - Sessions'!$P$5:$P$292)</f>
        <v>458.21</v>
      </c>
      <c r="C17" s="24" t="n">
        <f aca="false">SUMIF('Raw - Sessions'!$K$5:$K$292,"BARBOURVILLE / CITY HALL",'Raw - Sessions'!$P$5:$P$292)</f>
        <v>3577.91</v>
      </c>
      <c r="D17" s="25" t="n">
        <f aca="false">SUM('Raw - Sessions'!$P$5:$P$292)</f>
        <v>4036.12</v>
      </c>
    </row>
    <row r="18" customFormat="false" ht="15" hidden="false" customHeight="false" outlineLevel="0" collapsed="false">
      <c r="A18" s="17" t="s">
        <v>45</v>
      </c>
      <c r="B18" s="26" t="n">
        <f aca="false">AVERAGEIFS('Raw - Sessions'!$D$5:$D$292,'Raw - Sessions'!$K$5:$K$292,"BARBOURVILLE / TOURISM")*60</f>
        <v>77.5391156462585</v>
      </c>
      <c r="C18" s="26" t="n">
        <f aca="false">AVERAGEIFS('Raw - Sessions'!$D$5:$D$292,'Raw - Sessions'!$K$5:$K$292,"BARBOURVILLE / CITY HALL")*60</f>
        <v>37.5814504881451</v>
      </c>
      <c r="D18" s="27" t="n">
        <f aca="false">AVERAGE('Raw - Sessions'!$D$5:$D$292)*60</f>
        <v>44.3798032407407</v>
      </c>
    </row>
    <row r="19" customFormat="false" ht="15" hidden="false" customHeight="false" outlineLevel="0" collapsed="false">
      <c r="A19" s="14" t="s">
        <v>55</v>
      </c>
      <c r="B19" s="22" t="n">
        <f aca="false">SUMPRODUCT(MAX(('Raw - Sessions'!$K$5:$K$292="BARBOURVILLE / TOURISM")*'Raw - Sessions'!F5:F292))</f>
        <v>7.4007</v>
      </c>
      <c r="C19" s="22" t="n">
        <f aca="false">SUMPRODUCT(MAX(('Raw - Sessions'!$K$5:$K$292="BARBOURVILLE / CITY HALL")*'Raw - Sessions'!F5:F292))</f>
        <v>62.882</v>
      </c>
      <c r="D19" s="23" t="n">
        <f aca="false">MAX('Raw - Sessions'!F5:F292)</f>
        <v>62.882</v>
      </c>
    </row>
    <row r="21" customFormat="false" ht="43.5" hidden="false" customHeight="true" outlineLevel="0" collapsed="false">
      <c r="A21" s="28" t="s">
        <v>56</v>
      </c>
      <c r="B21" s="28"/>
      <c r="C21" s="28"/>
      <c r="D21" s="28"/>
      <c r="E21" s="28"/>
      <c r="F21" s="28"/>
      <c r="G21" s="28"/>
      <c r="H21" s="28"/>
    </row>
  </sheetData>
  <mergeCells count="21">
    <mergeCell ref="A1:P1"/>
    <mergeCell ref="A2:P2"/>
    <mergeCell ref="A4:B4"/>
    <mergeCell ref="C4:D4"/>
    <mergeCell ref="E4:F4"/>
    <mergeCell ref="G4:H4"/>
    <mergeCell ref="I4:J4"/>
    <mergeCell ref="K4:L4"/>
    <mergeCell ref="M4:N4"/>
    <mergeCell ref="O4:P4"/>
    <mergeCell ref="Q4:R4"/>
    <mergeCell ref="A5:B6"/>
    <mergeCell ref="C5:D6"/>
    <mergeCell ref="E5:F6"/>
    <mergeCell ref="G5:H6"/>
    <mergeCell ref="I5:J6"/>
    <mergeCell ref="K5:L6"/>
    <mergeCell ref="M5:N6"/>
    <mergeCell ref="O5:P6"/>
    <mergeCell ref="Q5:R6"/>
    <mergeCell ref="A21:H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0"/>
    <col collapsed="false" customWidth="true" hidden="false" outlineLevel="0" max="3" min="3" style="0" width="14"/>
    <col collapsed="false" customWidth="true" hidden="false" outlineLevel="0" max="4" min="4" style="0" width="16"/>
  </cols>
  <sheetData>
    <row r="1" customFormat="false" ht="25.5" hidden="false" customHeight="true" outlineLevel="0" collapsed="false">
      <c r="A1" s="29" t="s">
        <v>57</v>
      </c>
      <c r="B1" s="29"/>
      <c r="C1" s="29"/>
      <c r="D1" s="29"/>
      <c r="E1" s="29"/>
      <c r="F1" s="29"/>
      <c r="G1" s="29"/>
      <c r="H1" s="29"/>
    </row>
    <row r="2" customFormat="false" ht="15" hidden="false" customHeight="false" outlineLevel="0" collapsed="false">
      <c r="A2" s="30" t="s">
        <v>58</v>
      </c>
    </row>
    <row r="3" customFormat="false" ht="30" hidden="false" customHeight="true" outlineLevel="0" collapsed="false">
      <c r="A3" s="31" t="s">
        <v>59</v>
      </c>
      <c r="B3" s="31"/>
      <c r="C3" s="31"/>
      <c r="D3" s="31"/>
      <c r="E3" s="31"/>
      <c r="F3" s="31"/>
      <c r="G3" s="31"/>
      <c r="H3" s="31"/>
    </row>
    <row r="5" customFormat="false" ht="27.75" hidden="false" customHeight="true" outlineLevel="0" collapsed="false">
      <c r="A5" s="32" t="s">
        <v>51</v>
      </c>
      <c r="B5" s="32"/>
      <c r="C5" s="32" t="s">
        <v>38</v>
      </c>
      <c r="D5" s="32"/>
      <c r="E5" s="32" t="s">
        <v>60</v>
      </c>
      <c r="F5" s="32"/>
      <c r="G5" s="32" t="s">
        <v>45</v>
      </c>
      <c r="H5" s="32"/>
      <c r="I5" s="32" t="s">
        <v>61</v>
      </c>
      <c r="J5" s="32"/>
    </row>
    <row r="6" customFormat="false" ht="15" hidden="false" customHeight="false" outlineLevel="0" collapsed="false">
      <c r="A6" s="33" t="n">
        <f aca="false">COUNTIF('Raw - Sessions'!$K$5:$K$292,"BARBOURVILLE / TOURISM")</f>
        <v>49</v>
      </c>
      <c r="B6" s="33"/>
      <c r="C6" s="34" t="n">
        <f aca="false">SUMIF('Raw - Sessions'!$K$5:$K$292,"BARBOURVILLE / TOURISM",'Raw - Sessions'!$E$5:$E$292)</f>
        <v>392.20674</v>
      </c>
      <c r="D6" s="34"/>
      <c r="E6" s="35" t="n">
        <f aca="false">SUMIF('Raw - Sessions'!$K$5:$K$292,"BARBOURVILLE / TOURISM",'Raw - Sessions'!$P$5:$P$292)</f>
        <v>458.21</v>
      </c>
      <c r="F6" s="35"/>
      <c r="G6" s="33" t="n">
        <f aca="false">AVERAGEIFS('Raw - Sessions'!$D$5:$D$292,'Raw - Sessions'!$K$5:$K$292,"BARBOURVILLE / TOURISM")*60</f>
        <v>77.5391156462585</v>
      </c>
      <c r="H6" s="33"/>
      <c r="I6" s="36" t="n">
        <f aca="false">IFERROR(COUNTIFS('Raw - Sessions'!$K$5:$K$292,"BARBOURVILLE / TOURISM",'Raw - Sessions'!$F$5:$F$292,"&gt;3")/COUNTIFS('Raw - Sessions'!$K$5:$K$292,"BARBOURVILLE / TOURISM",'Raw - Sessions'!$F$5:$F$292,"&lt;&gt;"),0)</f>
        <v>0.777777777777778</v>
      </c>
      <c r="J6" s="36"/>
    </row>
    <row r="7" customFormat="false" ht="15" hidden="false" customHeight="false" outlineLevel="0" collapsed="false">
      <c r="A7" s="33"/>
      <c r="B7" s="33"/>
      <c r="C7" s="34"/>
      <c r="D7" s="34"/>
      <c r="E7" s="35"/>
      <c r="F7" s="35"/>
      <c r="G7" s="33"/>
      <c r="H7" s="33"/>
      <c r="I7" s="36"/>
      <c r="J7" s="36"/>
    </row>
    <row r="10" customFormat="false" ht="15" hidden="false" customHeight="false" outlineLevel="0" collapsed="false">
      <c r="A10" s="4" t="s">
        <v>62</v>
      </c>
    </row>
    <row r="11" customFormat="false" ht="23.85" hidden="false" customHeight="false" outlineLevel="0" collapsed="false">
      <c r="A11" s="37" t="s">
        <v>63</v>
      </c>
      <c r="B11" s="37" t="s">
        <v>51</v>
      </c>
      <c r="C11" s="37" t="s">
        <v>64</v>
      </c>
      <c r="D11" s="37" t="s">
        <v>38</v>
      </c>
    </row>
    <row r="12" customFormat="false" ht="15" hidden="false" customHeight="false" outlineLevel="0" collapsed="false">
      <c r="A12" s="14" t="s">
        <v>65</v>
      </c>
      <c r="B12" s="14" t="n">
        <f aca="false">COUNTIFS('Raw - Sessions'!$K$5:$K$292,"BARBOURVILLE / TOURISM",'Raw - Sessions'!$G$5:$G$292,A12)</f>
        <v>0</v>
      </c>
      <c r="C12" s="38" t="n">
        <f aca="false">IFERROR(AVERAGEIFS('Raw - Sessions'!$D$5:$D$292,'Raw - Sessions'!$K$5:$K$292,"BARBOURVILLE / TOURISM",'Raw - Sessions'!$G$5:$G$292,A12),0)</f>
        <v>0</v>
      </c>
      <c r="D12" s="22" t="n">
        <f aca="false">SUMIFS('Raw - Sessions'!$E$5:$E$292,'Raw - Sessions'!$K$5:$K$292,"BARBOURVILLE / TOURISM",'Raw - Sessions'!$G$5:$G$292,A12)</f>
        <v>0</v>
      </c>
    </row>
    <row r="13" customFormat="false" ht="15" hidden="false" customHeight="false" outlineLevel="0" collapsed="false">
      <c r="A13" s="17" t="s">
        <v>66</v>
      </c>
      <c r="B13" s="17" t="n">
        <f aca="false">COUNTIFS('Raw - Sessions'!$K$5:$K$292,"BARBOURVILLE / TOURISM",'Raw - Sessions'!$G$5:$G$292,A13)</f>
        <v>17</v>
      </c>
      <c r="C13" s="39" t="n">
        <f aca="false">IFERROR(AVERAGEIFS('Raw - Sessions'!$D$5:$D$292,'Raw - Sessions'!$K$5:$K$292,"BARBOURVILLE / TOURISM",'Raw - Sessions'!$G$5:$G$292,A13),0)</f>
        <v>1.09633986928105</v>
      </c>
      <c r="D13" s="20" t="n">
        <f aca="false">SUMIFS('Raw - Sessions'!$E$5:$E$292,'Raw - Sessions'!$K$5:$K$292,"BARBOURVILLE / TOURISM",'Raw - Sessions'!$G$5:$G$292,A13)</f>
        <v>130.907189</v>
      </c>
    </row>
    <row r="14" customFormat="false" ht="15" hidden="false" customHeight="false" outlineLevel="0" collapsed="false">
      <c r="A14" s="14" t="s">
        <v>67</v>
      </c>
      <c r="B14" s="14" t="n">
        <f aca="false">COUNTIFS('Raw - Sessions'!$K$5:$K$292,"BARBOURVILLE / TOURISM",'Raw - Sessions'!$G$5:$G$292,A14)</f>
        <v>15</v>
      </c>
      <c r="C14" s="38" t="n">
        <f aca="false">IFERROR(AVERAGEIFS('Raw - Sessions'!$D$5:$D$292,'Raw - Sessions'!$K$5:$K$292,"BARBOURVILLE / TOURISM",'Raw - Sessions'!$G$5:$G$292,A14),0)</f>
        <v>1.62535185185185</v>
      </c>
      <c r="D14" s="22" t="n">
        <f aca="false">SUMIFS('Raw - Sessions'!$E$5:$E$292,'Raw - Sessions'!$K$5:$K$292,"BARBOURVILLE / TOURISM",'Raw - Sessions'!$G$5:$G$292,A14)</f>
        <v>142.403637</v>
      </c>
    </row>
    <row r="15" customFormat="false" ht="15" hidden="false" customHeight="false" outlineLevel="0" collapsed="false">
      <c r="A15" s="17" t="s">
        <v>68</v>
      </c>
      <c r="B15" s="17" t="n">
        <f aca="false">COUNTIFS('Raw - Sessions'!$K$5:$K$292,"BARBOURVILLE / TOURISM",'Raw - Sessions'!$G$5:$G$292,A15)</f>
        <v>17</v>
      </c>
      <c r="C15" s="39" t="n">
        <f aca="false">IFERROR(AVERAGEIFS('Raw - Sessions'!$D$5:$D$292,'Raw - Sessions'!$K$5:$K$292,"BARBOURVILLE / TOURISM",'Raw - Sessions'!$G$5:$G$292,A15),0)</f>
        <v>1.19444444444444</v>
      </c>
      <c r="D15" s="20" t="n">
        <f aca="false">SUMIFS('Raw - Sessions'!$E$5:$E$292,'Raw - Sessions'!$K$5:$K$292,"BARBOURVILLE / TOURISM",'Raw - Sessions'!$G$5:$G$292,A15)</f>
        <v>118.895914</v>
      </c>
    </row>
    <row r="17" customFormat="false" ht="15" hidden="false" customHeight="false" outlineLevel="0" collapsed="false">
      <c r="A17" s="2" t="s">
        <v>69</v>
      </c>
      <c r="C17" s="2" t="n">
        <f aca="false">COUNTIFS('Raw - Sessions'!$K$5:$K$292,"BARBOURVILLE / TOURISM",'Raw - Sessions'!$I$5:$I$292,TRUE())</f>
        <v>17</v>
      </c>
    </row>
    <row r="20" customFormat="false" ht="15" hidden="false" customHeight="false" outlineLevel="0" collapsed="false">
      <c r="A20" s="4" t="s">
        <v>70</v>
      </c>
    </row>
    <row r="21" customFormat="false" ht="15" hidden="false" customHeight="false" outlineLevel="0" collapsed="false">
      <c r="A21" s="40" t="s">
        <v>71</v>
      </c>
      <c r="B21" s="40" t="s">
        <v>51</v>
      </c>
      <c r="C21" s="40" t="s">
        <v>54</v>
      </c>
      <c r="D21" s="40" t="s">
        <v>52</v>
      </c>
    </row>
    <row r="22" customFormat="false" ht="15" hidden="false" customHeight="false" outlineLevel="0" collapsed="false">
      <c r="A22" s="41" t="n">
        <v>45931</v>
      </c>
      <c r="B22" s="14" t="n">
        <f aca="false">COUNTIFS('Raw - Sessions'!$K$5:$K$292,"BARBOURVILLE / TOURISM",'Raw - Sessions'!$B$5:$B$292,"&gt;="&amp;A22,'Raw - Sessions'!$B$5:$B$292,"&lt;"&amp;DATE(YEAR(A22),MONTH(A22)+1,1))</f>
        <v>5</v>
      </c>
      <c r="C22" s="42" t="n">
        <f aca="false">SUMIFS('Raw - Sessions'!$P$5:$P$292,'Raw - Sessions'!$K$5:$K$292,"BARBOURVILLE / TOURISM",'Raw - Sessions'!$B$5:$B$292,"&gt;="&amp;A22,'Raw - Sessions'!$B$5:$B$292,"&lt;"&amp;DATE(YEAR(A22),MONTH(A22)+1,1))</f>
        <v>5.8</v>
      </c>
      <c r="D22" s="22" t="n">
        <f aca="false">SUMIFS('Raw - Sessions'!$E$5:$E$292,'Raw - Sessions'!$K$5:$K$292,"BARBOURVILLE / TOURISM",'Raw - Sessions'!$B$5:$B$292,"&gt;="&amp;A22,'Raw - Sessions'!$B$5:$B$292,"&lt;"&amp;DATE(YEAR(A22),MONTH(A22)+1,1))</f>
        <v>21.88127</v>
      </c>
    </row>
    <row r="23" customFormat="false" ht="15" hidden="false" customHeight="false" outlineLevel="0" collapsed="false">
      <c r="A23" s="43" t="n">
        <v>45962</v>
      </c>
      <c r="B23" s="17" t="n">
        <f aca="false">COUNTIFS('Raw - Sessions'!$K$5:$K$292,"BARBOURVILLE / TOURISM",'Raw - Sessions'!$B$5:$B$292,"&gt;="&amp;A23,'Raw - Sessions'!$B$5:$B$292,"&lt;"&amp;DATE(YEAR(A23),MONTH(A23)+1,1))</f>
        <v>5</v>
      </c>
      <c r="C23" s="44" t="n">
        <f aca="false">SUMIFS('Raw - Sessions'!$P$5:$P$292,'Raw - Sessions'!$K$5:$K$292,"BARBOURVILLE / TOURISM",'Raw - Sessions'!$B$5:$B$292,"&gt;="&amp;A23,'Raw - Sessions'!$B$5:$B$292,"&lt;"&amp;DATE(YEAR(A23),MONTH(A23)+1,1))</f>
        <v>7.28</v>
      </c>
      <c r="D23" s="20" t="n">
        <f aca="false">SUMIFS('Raw - Sessions'!$E$5:$E$292,'Raw - Sessions'!$K$5:$K$292,"BARBOURVILLE / TOURISM",'Raw - Sessions'!$B$5:$B$292,"&gt;="&amp;A23,'Raw - Sessions'!$B$5:$B$292,"&lt;"&amp;DATE(YEAR(A23),MONTH(A23)+1,1))</f>
        <v>7.177646</v>
      </c>
    </row>
    <row r="24" customFormat="false" ht="15" hidden="false" customHeight="false" outlineLevel="0" collapsed="false">
      <c r="A24" s="41" t="n">
        <v>45992</v>
      </c>
      <c r="B24" s="14" t="n">
        <f aca="false">COUNTIFS('Raw - Sessions'!$K$5:$K$292,"BARBOURVILLE / TOURISM",'Raw - Sessions'!$B$5:$B$292,"&gt;="&amp;A24,'Raw - Sessions'!$B$5:$B$292,"&lt;"&amp;DATE(YEAR(A24),MONTH(A24)+1,1))</f>
        <v>7</v>
      </c>
      <c r="C24" s="42" t="n">
        <f aca="false">SUMIFS('Raw - Sessions'!$P$5:$P$292,'Raw - Sessions'!$K$5:$K$292,"BARBOURVILLE / TOURISM",'Raw - Sessions'!$B$5:$B$292,"&gt;="&amp;A24,'Raw - Sessions'!$B$5:$B$292,"&lt;"&amp;DATE(YEAR(A24),MONTH(A24)+1,1))</f>
        <v>152.82</v>
      </c>
      <c r="D24" s="22" t="n">
        <f aca="false">SUMIFS('Raw - Sessions'!$E$5:$E$292,'Raw - Sessions'!$K$5:$K$292,"BARBOURVILLE / TOURISM",'Raw - Sessions'!$B$5:$B$292,"&gt;="&amp;A24,'Raw - Sessions'!$B$5:$B$292,"&lt;"&amp;DATE(YEAR(A24),MONTH(A24)+1,1))</f>
        <v>151.488664</v>
      </c>
    </row>
    <row r="25" customFormat="false" ht="15" hidden="false" customHeight="false" outlineLevel="0" collapsed="false">
      <c r="A25" s="43" t="n">
        <v>46023</v>
      </c>
      <c r="B25" s="17" t="n">
        <f aca="false">COUNTIFS('Raw - Sessions'!$K$5:$K$292,"BARBOURVILLE / TOURISM",'Raw - Sessions'!$B$5:$B$292,"&gt;="&amp;A25,'Raw - Sessions'!$B$5:$B$292,"&lt;"&amp;DATE(YEAR(A25),MONTH(A25)+1,1))</f>
        <v>0</v>
      </c>
      <c r="C25" s="44" t="n">
        <f aca="false">SUMIFS('Raw - Sessions'!$P$5:$P$292,'Raw - Sessions'!$K$5:$K$292,"BARBOURVILLE / TOURISM",'Raw - Sessions'!$B$5:$B$292,"&gt;="&amp;A25,'Raw - Sessions'!$B$5:$B$292,"&lt;"&amp;DATE(YEAR(A25),MONTH(A25)+1,1))</f>
        <v>0</v>
      </c>
      <c r="D25" s="20" t="n">
        <f aca="false">SUMIFS('Raw - Sessions'!$E$5:$E$292,'Raw - Sessions'!$K$5:$K$292,"BARBOURVILLE / TOURISM",'Raw - Sessions'!$B$5:$B$292,"&gt;="&amp;A25,'Raw - Sessions'!$B$5:$B$292,"&lt;"&amp;DATE(YEAR(A25),MONTH(A25)+1,1))</f>
        <v>0</v>
      </c>
    </row>
    <row r="26" customFormat="false" ht="15" hidden="false" customHeight="false" outlineLevel="0" collapsed="false">
      <c r="A26" s="41" t="n">
        <v>46054</v>
      </c>
      <c r="B26" s="14" t="n">
        <f aca="false">COUNTIFS('Raw - Sessions'!$K$5:$K$292,"BARBOURVILLE / TOURISM",'Raw - Sessions'!$B$5:$B$292,"&gt;="&amp;A26,'Raw - Sessions'!$B$5:$B$292,"&lt;"&amp;DATE(YEAR(A26),MONTH(A26)+1,1))</f>
        <v>3</v>
      </c>
      <c r="C26" s="42" t="n">
        <f aca="false">SUMIFS('Raw - Sessions'!$P$5:$P$292,'Raw - Sessions'!$K$5:$K$292,"BARBOURVILLE / TOURISM",'Raw - Sessions'!$B$5:$B$292,"&gt;="&amp;A26,'Raw - Sessions'!$B$5:$B$292,"&lt;"&amp;DATE(YEAR(A26),MONTH(A26)+1,1))</f>
        <v>35.46</v>
      </c>
      <c r="D26" s="22" t="n">
        <f aca="false">SUMIFS('Raw - Sessions'!$E$5:$E$292,'Raw - Sessions'!$K$5:$K$292,"BARBOURVILLE / TOURISM",'Raw - Sessions'!$B$5:$B$292,"&gt;="&amp;A26,'Raw - Sessions'!$B$5:$B$292,"&lt;"&amp;DATE(YEAR(A26),MONTH(A26)+1,1))</f>
        <v>22.638451</v>
      </c>
    </row>
    <row r="27" customFormat="false" ht="15" hidden="false" customHeight="false" outlineLevel="0" collapsed="false">
      <c r="A27" s="43" t="n">
        <v>46082</v>
      </c>
      <c r="B27" s="17" t="n">
        <f aca="false">COUNTIFS('Raw - Sessions'!$K$5:$K$292,"BARBOURVILLE / TOURISM",'Raw - Sessions'!$B$5:$B$292,"&gt;="&amp;A27,'Raw - Sessions'!$B$5:$B$292,"&lt;"&amp;DATE(YEAR(A27),MONTH(A27)+1,1))</f>
        <v>3</v>
      </c>
      <c r="C27" s="44" t="n">
        <f aca="false">SUMIFS('Raw - Sessions'!$P$5:$P$292,'Raw - Sessions'!$K$5:$K$292,"BARBOURVILLE / TOURISM",'Raw - Sessions'!$B$5:$B$292,"&gt;="&amp;A27,'Raw - Sessions'!$B$5:$B$292,"&lt;"&amp;DATE(YEAR(A27),MONTH(A27)+1,1))</f>
        <v>52.15</v>
      </c>
      <c r="D27" s="20" t="n">
        <f aca="false">SUMIFS('Raw - Sessions'!$E$5:$E$292,'Raw - Sessions'!$K$5:$K$292,"BARBOURVILLE / TOURISM",'Raw - Sessions'!$B$5:$B$292,"&gt;="&amp;A27,'Raw - Sessions'!$B$5:$B$292,"&lt;"&amp;DATE(YEAR(A27),MONTH(A27)+1,1))</f>
        <v>41.212752</v>
      </c>
    </row>
    <row r="28" customFormat="false" ht="15" hidden="false" customHeight="false" outlineLevel="0" collapsed="false">
      <c r="A28" s="41" t="n">
        <v>46113</v>
      </c>
      <c r="B28" s="14" t="n">
        <f aca="false">COUNTIFS('Raw - Sessions'!$K$5:$K$292,"BARBOURVILLE / TOURISM",'Raw - Sessions'!$B$5:$B$292,"&gt;="&amp;A28,'Raw - Sessions'!$B$5:$B$292,"&lt;"&amp;DATE(YEAR(A28),MONTH(A28)+1,1))</f>
        <v>10</v>
      </c>
      <c r="C28" s="42" t="n">
        <f aca="false">SUMIFS('Raw - Sessions'!$P$5:$P$292,'Raw - Sessions'!$K$5:$K$292,"BARBOURVILLE / TOURISM",'Raw - Sessions'!$B$5:$B$292,"&gt;="&amp;A28,'Raw - Sessions'!$B$5:$B$292,"&lt;"&amp;DATE(YEAR(A28),MONTH(A28)+1,1))</f>
        <v>88.35</v>
      </c>
      <c r="D28" s="22" t="n">
        <f aca="false">SUMIFS('Raw - Sessions'!$E$5:$E$292,'Raw - Sessions'!$K$5:$K$292,"BARBOURVILLE / TOURISM",'Raw - Sessions'!$B$5:$B$292,"&gt;="&amp;A28,'Raw - Sessions'!$B$5:$B$292,"&lt;"&amp;DATE(YEAR(A28),MONTH(A28)+1,1))</f>
        <v>69.705949</v>
      </c>
    </row>
    <row r="29" customFormat="false" ht="15" hidden="false" customHeight="false" outlineLevel="0" collapsed="false">
      <c r="A29" s="43" t="n">
        <v>46143</v>
      </c>
      <c r="B29" s="17" t="n">
        <f aca="false">COUNTIFS('Raw - Sessions'!$K$5:$K$292,"BARBOURVILLE / TOURISM",'Raw - Sessions'!$B$5:$B$292,"&gt;="&amp;A29,'Raw - Sessions'!$B$5:$B$292,"&lt;"&amp;DATE(YEAR(A29),MONTH(A29)+1,1))</f>
        <v>9</v>
      </c>
      <c r="C29" s="44" t="n">
        <f aca="false">SUMIFS('Raw - Sessions'!$P$5:$P$292,'Raw - Sessions'!$K$5:$K$292,"BARBOURVILLE / TOURISM",'Raw - Sessions'!$B$5:$B$292,"&gt;="&amp;A29,'Raw - Sessions'!$B$5:$B$292,"&lt;"&amp;DATE(YEAR(A29),MONTH(A29)+1,1))</f>
        <v>68.98</v>
      </c>
      <c r="D29" s="20" t="n">
        <f aca="false">SUMIFS('Raw - Sessions'!$E$5:$E$292,'Raw - Sessions'!$K$5:$K$292,"BARBOURVILLE / TOURISM",'Raw - Sessions'!$B$5:$B$292,"&gt;="&amp;A29,'Raw - Sessions'!$B$5:$B$292,"&lt;"&amp;DATE(YEAR(A29),MONTH(A29)+1,1))</f>
        <v>52.069591</v>
      </c>
    </row>
    <row r="30" customFormat="false" ht="15" hidden="false" customHeight="false" outlineLevel="0" collapsed="false">
      <c r="A30" s="41" t="n">
        <v>46174</v>
      </c>
      <c r="B30" s="14" t="n">
        <f aca="false">COUNTIFS('Raw - Sessions'!$K$5:$K$292,"BARBOURVILLE / TOURISM",'Raw - Sessions'!$B$5:$B$292,"&gt;="&amp;A30,'Raw - Sessions'!$B$5:$B$292,"&lt;"&amp;DATE(YEAR(A30),MONTH(A30)+1,1))</f>
        <v>6</v>
      </c>
      <c r="C30" s="42" t="n">
        <f aca="false">SUMIFS('Raw - Sessions'!$P$5:$P$292,'Raw - Sessions'!$K$5:$K$292,"BARBOURVILLE / TOURISM",'Raw - Sessions'!$B$5:$B$292,"&gt;="&amp;A30,'Raw - Sessions'!$B$5:$B$292,"&lt;"&amp;DATE(YEAR(A30),MONTH(A30)+1,1))</f>
        <v>20.67</v>
      </c>
      <c r="D30" s="22" t="n">
        <f aca="false">SUMIFS('Raw - Sessions'!$E$5:$E$292,'Raw - Sessions'!$K$5:$K$292,"BARBOURVILLE / TOURISM",'Raw - Sessions'!$B$5:$B$292,"&gt;="&amp;A30,'Raw - Sessions'!$B$5:$B$292,"&lt;"&amp;DATE(YEAR(A30),MONTH(A30)+1,1))</f>
        <v>13.727628</v>
      </c>
    </row>
    <row r="31" customFormat="false" ht="15" hidden="false" customHeight="false" outlineLevel="0" collapsed="false">
      <c r="A31" s="43" t="n">
        <v>46204</v>
      </c>
      <c r="B31" s="17" t="n">
        <f aca="false">COUNTIFS('Raw - Sessions'!$K$5:$K$292,"BARBOURVILLE / TOURISM",'Raw - Sessions'!$B$5:$B$292,"&gt;="&amp;A31,'Raw - Sessions'!$B$5:$B$292,"&lt;"&amp;DATE(YEAR(A31),MONTH(A31)+1,1))</f>
        <v>1</v>
      </c>
      <c r="C31" s="44" t="n">
        <f aca="false">SUMIFS('Raw - Sessions'!$P$5:$P$292,'Raw - Sessions'!$K$5:$K$292,"BARBOURVILLE / TOURISM",'Raw - Sessions'!$B$5:$B$292,"&gt;="&amp;A31,'Raw - Sessions'!$B$5:$B$292,"&lt;"&amp;DATE(YEAR(A31),MONTH(A31)+1,1))</f>
        <v>26.7</v>
      </c>
      <c r="D31" s="20" t="n">
        <f aca="false">SUMIFS('Raw - Sessions'!$E$5:$E$292,'Raw - Sessions'!$K$5:$K$292,"BARBOURVILLE / TOURISM",'Raw - Sessions'!$B$5:$B$292,"&gt;="&amp;A31,'Raw - Sessions'!$B$5:$B$292,"&lt;"&amp;DATE(YEAR(A31),MONTH(A31)+1,1))</f>
        <v>12.304789</v>
      </c>
    </row>
    <row r="34" customFormat="false" ht="15" hidden="false" customHeight="false" outlineLevel="0" collapsed="false">
      <c r="A34" s="4" t="s">
        <v>72</v>
      </c>
    </row>
    <row r="35" customFormat="false" ht="15" hidden="false" customHeight="false" outlineLevel="0" collapsed="false">
      <c r="A35" s="13" t="s">
        <v>73</v>
      </c>
      <c r="B35" s="13" t="s">
        <v>51</v>
      </c>
    </row>
    <row r="36" customFormat="false" ht="15" hidden="false" customHeight="false" outlineLevel="0" collapsed="false">
      <c r="A36" s="14" t="str">
        <f aca="false">'Visitor Origin'!A5</f>
        <v>KY</v>
      </c>
      <c r="B36" s="14" t="n">
        <f aca="false">COUNTIFS('Raw - Sessions'!$K$5:$K$292,"BARBOURVILLE / TOURISM",'Raw - Sessions'!$O$5:$O$292,A36)</f>
        <v>7</v>
      </c>
    </row>
    <row r="37" customFormat="false" ht="15" hidden="false" customHeight="false" outlineLevel="0" collapsed="false">
      <c r="A37" s="17" t="str">
        <f aca="false">'Visitor Origin'!A6</f>
        <v>TN</v>
      </c>
      <c r="B37" s="17" t="n">
        <f aca="false">COUNTIFS('Raw - Sessions'!$K$5:$K$292,"BARBOURVILLE / TOURISM",'Raw - Sessions'!$O$5:$O$292,A37)</f>
        <v>1</v>
      </c>
    </row>
    <row r="38" customFormat="false" ht="15" hidden="false" customHeight="false" outlineLevel="0" collapsed="false">
      <c r="A38" s="14" t="str">
        <f aca="false">'Visitor Origin'!A7</f>
        <v>OH</v>
      </c>
      <c r="B38" s="14" t="n">
        <f aca="false">COUNTIFS('Raw - Sessions'!$K$5:$K$292,"BARBOURVILLE / TOURISM",'Raw - Sessions'!$O$5:$O$292,A38)</f>
        <v>1</v>
      </c>
    </row>
    <row r="39" customFormat="false" ht="15" hidden="false" customHeight="false" outlineLevel="0" collapsed="false">
      <c r="A39" s="17" t="str">
        <f aca="false">'Visitor Origin'!A8</f>
        <v>NC</v>
      </c>
      <c r="B39" s="17" t="n">
        <f aca="false">COUNTIFS('Raw - Sessions'!$K$5:$K$292,"BARBOURVILLE / TOURISM",'Raw - Sessions'!$O$5:$O$292,A39)</f>
        <v>0</v>
      </c>
    </row>
    <row r="40" customFormat="false" ht="15" hidden="false" customHeight="false" outlineLevel="0" collapsed="false">
      <c r="A40" s="14" t="str">
        <f aca="false">'Visitor Origin'!A9</f>
        <v>IL</v>
      </c>
      <c r="B40" s="14" t="n">
        <f aca="false">COUNTIFS('Raw - Sessions'!$K$5:$K$292,"BARBOURVILLE / TOURISM",'Raw - Sessions'!$O$5:$O$292,A40)</f>
        <v>4</v>
      </c>
    </row>
    <row r="41" customFormat="false" ht="15" hidden="false" customHeight="false" outlineLevel="0" collapsed="false">
      <c r="A41" s="17" t="str">
        <f aca="false">'Visitor Origin'!A10</f>
        <v>FL</v>
      </c>
      <c r="B41" s="17" t="n">
        <f aca="false">COUNTIFS('Raw - Sessions'!$K$5:$K$292,"BARBOURVILLE / TOURISM",'Raw - Sessions'!$O$5:$O$292,A41)</f>
        <v>0</v>
      </c>
    </row>
    <row r="42" customFormat="false" ht="15" hidden="false" customHeight="false" outlineLevel="0" collapsed="false">
      <c r="A42" s="14" t="str">
        <f aca="false">'Visitor Origin'!A11</f>
        <v>SC</v>
      </c>
      <c r="B42" s="14" t="n">
        <f aca="false">COUNTIFS('Raw - Sessions'!$K$5:$K$292,"BARBOURVILLE / TOURISM",'Raw - Sessions'!$O$5:$O$292,A42)</f>
        <v>0</v>
      </c>
    </row>
    <row r="43" customFormat="false" ht="15" hidden="false" customHeight="false" outlineLevel="0" collapsed="false">
      <c r="A43" s="17" t="str">
        <f aca="false">'Visitor Origin'!A12</f>
        <v>MI</v>
      </c>
      <c r="B43" s="17" t="n">
        <f aca="false">COUNTIFS('Raw - Sessions'!$K$5:$K$292,"BARBOURVILLE / TOURISM",'Raw - Sessions'!$O$5:$O$292,A43)</f>
        <v>0</v>
      </c>
    </row>
    <row r="44" customFormat="false" ht="15" hidden="false" customHeight="false" outlineLevel="0" collapsed="false">
      <c r="A44" s="14" t="str">
        <f aca="false">'Visitor Origin'!A13</f>
        <v>WI</v>
      </c>
      <c r="B44" s="14" t="n">
        <f aca="false">COUNTIFS('Raw - Sessions'!$K$5:$K$292,"BARBOURVILLE / TOURISM",'Raw - Sessions'!$O$5:$O$292,A44)</f>
        <v>0</v>
      </c>
    </row>
    <row r="45" customFormat="false" ht="15" hidden="false" customHeight="false" outlineLevel="0" collapsed="false">
      <c r="A45" s="17" t="str">
        <f aca="false">'Visitor Origin'!A14</f>
        <v>IN</v>
      </c>
      <c r="B45" s="17" t="n">
        <f aca="false">COUNTIFS('Raw - Sessions'!$K$5:$K$292,"BARBOURVILLE / TOURISM",'Raw - Sessions'!$O$5:$O$292,A45)</f>
        <v>0</v>
      </c>
    </row>
    <row r="46" customFormat="false" ht="15" hidden="false" customHeight="false" outlineLevel="0" collapsed="false">
      <c r="A46" s="14" t="str">
        <f aca="false">'Visitor Origin'!A15</f>
        <v>GA</v>
      </c>
      <c r="B46" s="14" t="n">
        <f aca="false">COUNTIFS('Raw - Sessions'!$K$5:$K$292,"BARBOURVILLE / TOURISM",'Raw - Sessions'!$O$5:$O$292,A46)</f>
        <v>0</v>
      </c>
    </row>
    <row r="47" customFormat="false" ht="15" hidden="false" customHeight="false" outlineLevel="0" collapsed="false">
      <c r="A47" s="17" t="str">
        <f aca="false">'Visitor Origin'!A16</f>
        <v>TX</v>
      </c>
      <c r="B47" s="17" t="n">
        <f aca="false">COUNTIFS('Raw - Sessions'!$K$5:$K$292,"BARBOURVILLE / TOURISM",'Raw - Sessions'!$O$5:$O$292,A47)</f>
        <v>0</v>
      </c>
    </row>
    <row r="48" customFormat="false" ht="15" hidden="false" customHeight="false" outlineLevel="0" collapsed="false">
      <c r="A48" s="14" t="str">
        <f aca="false">'Visitor Origin'!A17</f>
        <v>PA</v>
      </c>
      <c r="B48" s="14" t="n">
        <f aca="false">COUNTIFS('Raw - Sessions'!$K$5:$K$292,"BARBOURVILLE / TOURISM",'Raw - Sessions'!$O$5:$O$292,A48)</f>
        <v>2</v>
      </c>
    </row>
    <row r="49" customFormat="false" ht="15" hidden="false" customHeight="false" outlineLevel="0" collapsed="false">
      <c r="A49" s="17" t="str">
        <f aca="false">'Visitor Origin'!A18</f>
        <v>CT</v>
      </c>
      <c r="B49" s="17" t="n">
        <f aca="false">COUNTIFS('Raw - Sessions'!$K$5:$K$292,"BARBOURVILLE / TOURISM",'Raw - Sessions'!$O$5:$O$292,A49)</f>
        <v>0</v>
      </c>
    </row>
    <row r="50" customFormat="false" ht="15" hidden="false" customHeight="false" outlineLevel="0" collapsed="false">
      <c r="A50" s="14" t="str">
        <f aca="false">'Visitor Origin'!A19</f>
        <v>KS</v>
      </c>
      <c r="B50" s="14" t="n">
        <f aca="false">COUNTIFS('Raw - Sessions'!$K$5:$K$292,"BARBOURVILLE / TOURISM",'Raw - Sessions'!$O$5:$O$292,A50)</f>
        <v>0</v>
      </c>
    </row>
    <row r="51" customFormat="false" ht="15" hidden="false" customHeight="false" outlineLevel="0" collapsed="false">
      <c r="A51" s="17" t="str">
        <f aca="false">'Visitor Origin'!A20</f>
        <v>MO</v>
      </c>
      <c r="B51" s="17" t="n">
        <f aca="false">COUNTIFS('Raw - Sessions'!$K$5:$K$292,"BARBOURVILLE / TOURISM",'Raw - Sessions'!$O$5:$O$292,A51)</f>
        <v>0</v>
      </c>
    </row>
    <row r="52" customFormat="false" ht="15" hidden="false" customHeight="false" outlineLevel="0" collapsed="false">
      <c r="A52" s="14" t="str">
        <f aca="false">'Visitor Origin'!A21</f>
        <v>MN</v>
      </c>
      <c r="B52" s="14" t="n">
        <f aca="false">COUNTIFS('Raw - Sessions'!$K$5:$K$292,"BARBOURVILLE / TOURISM",'Raw - Sessions'!$O$5:$O$292,A52)</f>
        <v>0</v>
      </c>
    </row>
    <row r="53" customFormat="false" ht="15" hidden="false" customHeight="false" outlineLevel="0" collapsed="false">
      <c r="A53" s="17" t="str">
        <f aca="false">'Visitor Origin'!A22</f>
        <v>MD</v>
      </c>
      <c r="B53" s="17" t="n">
        <f aca="false">COUNTIFS('Raw - Sessions'!$K$5:$K$292,"BARBOURVILLE / TOURISM",'Raw - Sessions'!$O$5:$O$292,A53)</f>
        <v>0</v>
      </c>
    </row>
    <row r="54" customFormat="false" ht="15" hidden="false" customHeight="false" outlineLevel="0" collapsed="false">
      <c r="A54" s="14" t="str">
        <f aca="false">'Visitor Origin'!A23</f>
        <v>OK</v>
      </c>
      <c r="B54" s="14" t="n">
        <f aca="false">COUNTIFS('Raw - Sessions'!$K$5:$K$292,"BARBOURVILLE / TOURISM",'Raw - Sessions'!$O$5:$O$292,A54)</f>
        <v>0</v>
      </c>
    </row>
    <row r="56" customFormat="false" ht="15" hidden="false" customHeight="false" outlineLevel="0" collapsed="false">
      <c r="A56" s="30" t="s">
        <v>74</v>
      </c>
    </row>
  </sheetData>
  <mergeCells count="12">
    <mergeCell ref="A1:H1"/>
    <mergeCell ref="A3:H3"/>
    <mergeCell ref="A5:B5"/>
    <mergeCell ref="C5:D5"/>
    <mergeCell ref="E5:F5"/>
    <mergeCell ref="G5:H5"/>
    <mergeCell ref="I5:J5"/>
    <mergeCell ref="A6:B7"/>
    <mergeCell ref="C6:D7"/>
    <mergeCell ref="E6:F7"/>
    <mergeCell ref="G6:H7"/>
    <mergeCell ref="I6:J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0"/>
    <col collapsed="false" customWidth="true" hidden="false" outlineLevel="0" max="3" min="3" style="0" width="14"/>
    <col collapsed="false" customWidth="true" hidden="false" outlineLevel="0" max="4" min="4" style="0" width="16"/>
  </cols>
  <sheetData>
    <row r="1" customFormat="false" ht="25.5" hidden="false" customHeight="true" outlineLevel="0" collapsed="false">
      <c r="A1" s="45" t="s">
        <v>75</v>
      </c>
      <c r="B1" s="45"/>
      <c r="C1" s="45"/>
      <c r="D1" s="45"/>
      <c r="E1" s="45"/>
      <c r="F1" s="45"/>
      <c r="G1" s="45"/>
      <c r="H1" s="45"/>
    </row>
    <row r="2" customFormat="false" ht="15" hidden="false" customHeight="false" outlineLevel="0" collapsed="false">
      <c r="A2" s="30" t="s">
        <v>76</v>
      </c>
    </row>
    <row r="5" customFormat="false" ht="27.75" hidden="false" customHeight="true" outlineLevel="0" collapsed="false">
      <c r="A5" s="32" t="s">
        <v>51</v>
      </c>
      <c r="B5" s="32"/>
      <c r="C5" s="32" t="s">
        <v>38</v>
      </c>
      <c r="D5" s="32"/>
      <c r="E5" s="32" t="s">
        <v>60</v>
      </c>
      <c r="F5" s="32"/>
      <c r="G5" s="32" t="s">
        <v>45</v>
      </c>
      <c r="H5" s="32"/>
      <c r="I5" s="32" t="s">
        <v>77</v>
      </c>
      <c r="J5" s="32"/>
    </row>
    <row r="6" customFormat="false" ht="15" hidden="false" customHeight="false" outlineLevel="0" collapsed="false">
      <c r="A6" s="46" t="n">
        <f aca="false">COUNTIF('Raw - Sessions'!$K$5:$K$292,"BARBOURVILLE / CITY HALL")</f>
        <v>239</v>
      </c>
      <c r="B6" s="46"/>
      <c r="C6" s="47" t="n">
        <f aca="false">SUMIF('Raw - Sessions'!$K$5:$K$292,"BARBOURVILLE / CITY HALL",'Raw - Sessions'!$E$5:$E$292)</f>
        <v>5824.498788</v>
      </c>
      <c r="D6" s="47"/>
      <c r="E6" s="48" t="n">
        <f aca="false">SUMIF('Raw - Sessions'!$K$5:$K$292,"BARBOURVILLE / CITY HALL",'Raw - Sessions'!$P$5:$P$292)</f>
        <v>3577.91</v>
      </c>
      <c r="F6" s="48"/>
      <c r="G6" s="46" t="n">
        <f aca="false">AVERAGEIFS('Raw - Sessions'!$D$5:$D$292,'Raw - Sessions'!$K$5:$K$292,"BARBOURVILLE / CITY HALL")*60</f>
        <v>37.5814504881451</v>
      </c>
      <c r="H6" s="46"/>
      <c r="I6" s="49" t="n">
        <f aca="false">IFERROR(COUNTIFS('Raw - Sessions'!$K$5:$K$292,"BARBOURVILLE / CITY HALL",'Raw - Sessions'!$F$5:$F$292,"&gt;10")/COUNTIFS('Raw - Sessions'!$K$5:$K$292,"BARBOURVILLE / CITY HALL",'Raw - Sessions'!$F$5:$F$292,"&lt;&gt;"),0)</f>
        <v>0.785407725321888</v>
      </c>
      <c r="J6" s="49"/>
    </row>
    <row r="7" customFormat="false" ht="15" hidden="false" customHeight="false" outlineLevel="0" collapsed="false">
      <c r="A7" s="46"/>
      <c r="B7" s="46"/>
      <c r="C7" s="47"/>
      <c r="D7" s="47"/>
      <c r="E7" s="48"/>
      <c r="F7" s="48"/>
      <c r="G7" s="46"/>
      <c r="H7" s="46"/>
      <c r="I7" s="49"/>
      <c r="J7" s="49"/>
    </row>
    <row r="10" customFormat="false" ht="15" hidden="false" customHeight="false" outlineLevel="0" collapsed="false">
      <c r="A10" s="4" t="s">
        <v>62</v>
      </c>
    </row>
    <row r="11" customFormat="false" ht="23.85" hidden="false" customHeight="false" outlineLevel="0" collapsed="false">
      <c r="A11" s="37" t="s">
        <v>63</v>
      </c>
      <c r="B11" s="37" t="s">
        <v>51</v>
      </c>
      <c r="C11" s="37" t="s">
        <v>64</v>
      </c>
      <c r="D11" s="37" t="s">
        <v>38</v>
      </c>
    </row>
    <row r="12" customFormat="false" ht="15" hidden="false" customHeight="false" outlineLevel="0" collapsed="false">
      <c r="A12" s="14" t="s">
        <v>65</v>
      </c>
      <c r="B12" s="14" t="n">
        <f aca="false">COUNTIFS('Raw - Sessions'!$K$5:$K$292,"BARBOURVILLE / CITY HALL",'Raw - Sessions'!$G$5:$G$292,A12)</f>
        <v>4</v>
      </c>
      <c r="C12" s="38" t="n">
        <f aca="false">IFERROR(AVERAGEIFS('Raw - Sessions'!$D$5:$D$292,'Raw - Sessions'!$K$5:$K$292,"BARBOURVILLE / CITY HALL",'Raw - Sessions'!$G$5:$G$292,A12),0)</f>
        <v>0.541805555555555</v>
      </c>
      <c r="D12" s="22" t="n">
        <f aca="false">SUMIFS('Raw - Sessions'!$E$5:$E$292,'Raw - Sessions'!$K$5:$K$292,"BARBOURVILLE / CITY HALL",'Raw - Sessions'!$G$5:$G$292,A12)</f>
        <v>57.8262</v>
      </c>
    </row>
    <row r="13" customFormat="false" ht="15" hidden="false" customHeight="false" outlineLevel="0" collapsed="false">
      <c r="A13" s="17" t="s">
        <v>66</v>
      </c>
      <c r="B13" s="17" t="n">
        <f aca="false">COUNTIFS('Raw - Sessions'!$K$5:$K$292,"BARBOURVILLE / CITY HALL",'Raw - Sessions'!$G$5:$G$292,A13)</f>
        <v>79</v>
      </c>
      <c r="C13" s="39" t="n">
        <f aca="false">IFERROR(AVERAGEIFS('Raw - Sessions'!$D$5:$D$292,'Raw - Sessions'!$K$5:$K$292,"BARBOURVILLE / CITY HALL",'Raw - Sessions'!$G$5:$G$292,A13),0)</f>
        <v>0.64993670886076</v>
      </c>
      <c r="D13" s="20" t="n">
        <f aca="false">SUMIFS('Raw - Sessions'!$E$5:$E$292,'Raw - Sessions'!$K$5:$K$292,"BARBOURVILLE / CITY HALL",'Raw - Sessions'!$G$5:$G$292,A13)</f>
        <v>2101.072493</v>
      </c>
    </row>
    <row r="14" customFormat="false" ht="15" hidden="false" customHeight="false" outlineLevel="0" collapsed="false">
      <c r="A14" s="14" t="s">
        <v>67</v>
      </c>
      <c r="B14" s="14" t="n">
        <f aca="false">COUNTIFS('Raw - Sessions'!$K$5:$K$292,"BARBOURVILLE / CITY HALL",'Raw - Sessions'!$G$5:$G$292,A14)</f>
        <v>87</v>
      </c>
      <c r="C14" s="38" t="n">
        <f aca="false">IFERROR(AVERAGEIFS('Raw - Sessions'!$D$5:$D$292,'Raw - Sessions'!$K$5:$K$292,"BARBOURVILLE / CITY HALL",'Raw - Sessions'!$G$5:$G$292,A14),0)</f>
        <v>0.646740102171137</v>
      </c>
      <c r="D14" s="22" t="n">
        <f aca="false">SUMIFS('Raw - Sessions'!$E$5:$E$292,'Raw - Sessions'!$K$5:$K$292,"BARBOURVILLE / CITY HALL",'Raw - Sessions'!$G$5:$G$292,A14)</f>
        <v>2123.860091</v>
      </c>
    </row>
    <row r="15" customFormat="false" ht="15" hidden="false" customHeight="false" outlineLevel="0" collapsed="false">
      <c r="A15" s="17" t="s">
        <v>68</v>
      </c>
      <c r="B15" s="17" t="n">
        <f aca="false">COUNTIFS('Raw - Sessions'!$K$5:$K$292,"BARBOURVILLE / CITY HALL",'Raw - Sessions'!$G$5:$G$292,A15)</f>
        <v>69</v>
      </c>
      <c r="C15" s="39" t="n">
        <f aca="false">IFERROR(AVERAGEIFS('Raw - Sessions'!$D$5:$D$292,'Raw - Sessions'!$K$5:$K$292,"BARBOURVILLE / CITY HALL",'Raw - Sessions'!$G$5:$G$292,A15),0)</f>
        <v>0.578562801932367</v>
      </c>
      <c r="D15" s="20" t="n">
        <f aca="false">SUMIFS('Raw - Sessions'!$E$5:$E$292,'Raw - Sessions'!$K$5:$K$292,"BARBOURVILLE / CITY HALL",'Raw - Sessions'!$G$5:$G$292,A15)</f>
        <v>1541.740004</v>
      </c>
    </row>
    <row r="17" customFormat="false" ht="15" hidden="false" customHeight="false" outlineLevel="0" collapsed="false">
      <c r="A17" s="2" t="s">
        <v>69</v>
      </c>
      <c r="C17" s="2" t="n">
        <f aca="false">COUNTIFS('Raw - Sessions'!$K$5:$K$292,"BARBOURVILLE / CITY HALL",'Raw - Sessions'!$I$5:$I$292,TRUE())</f>
        <v>69</v>
      </c>
    </row>
    <row r="20" customFormat="false" ht="15" hidden="false" customHeight="false" outlineLevel="0" collapsed="false">
      <c r="A20" s="4" t="s">
        <v>70</v>
      </c>
    </row>
    <row r="21" customFormat="false" ht="15" hidden="false" customHeight="false" outlineLevel="0" collapsed="false">
      <c r="A21" s="40" t="s">
        <v>71</v>
      </c>
      <c r="B21" s="40" t="s">
        <v>51</v>
      </c>
      <c r="C21" s="40" t="s">
        <v>54</v>
      </c>
      <c r="D21" s="40" t="s">
        <v>52</v>
      </c>
    </row>
    <row r="22" customFormat="false" ht="15" hidden="false" customHeight="false" outlineLevel="0" collapsed="false">
      <c r="A22" s="41" t="n">
        <v>45931</v>
      </c>
      <c r="B22" s="14" t="n">
        <f aca="false">COUNTIFS('Raw - Sessions'!$K$5:$K$292,"BARBOURVILLE / CITY HALL",'Raw - Sessions'!$B$5:$B$292,"&gt;="&amp;A22,'Raw - Sessions'!$B$5:$B$292,"&lt;"&amp;DATE(YEAR(A22),MONTH(A22)+1,1))</f>
        <v>22</v>
      </c>
      <c r="C22" s="42" t="n">
        <f aca="false">SUMIFS('Raw - Sessions'!$P$5:$P$292,'Raw - Sessions'!$K$5:$K$292,"BARBOURVILLE / CITY HALL",'Raw - Sessions'!$B$5:$B$292,"&gt;="&amp;A22,'Raw - Sessions'!$B$5:$B$292,"&lt;"&amp;DATE(YEAR(A22),MONTH(A22)+1,1))</f>
        <v>182.76</v>
      </c>
      <c r="D22" s="22" t="n">
        <f aca="false">SUMIFS('Raw - Sessions'!$E$5:$E$292,'Raw - Sessions'!$K$5:$K$292,"BARBOURVILLE / CITY HALL",'Raw - Sessions'!$B$5:$B$292,"&gt;="&amp;A22,'Raw - Sessions'!$B$5:$B$292,"&lt;"&amp;DATE(YEAR(A22),MONTH(A22)+1,1))</f>
        <v>385.2387</v>
      </c>
    </row>
    <row r="23" customFormat="false" ht="15" hidden="false" customHeight="false" outlineLevel="0" collapsed="false">
      <c r="A23" s="43" t="n">
        <v>45962</v>
      </c>
      <c r="B23" s="17" t="n">
        <f aca="false">COUNTIFS('Raw - Sessions'!$K$5:$K$292,"BARBOURVILLE / CITY HALL",'Raw - Sessions'!$B$5:$B$292,"&gt;="&amp;A23,'Raw - Sessions'!$B$5:$B$292,"&lt;"&amp;DATE(YEAR(A23),MONTH(A23)+1,1))</f>
        <v>24</v>
      </c>
      <c r="C23" s="44" t="n">
        <f aca="false">SUMIFS('Raw - Sessions'!$P$5:$P$292,'Raw - Sessions'!$K$5:$K$292,"BARBOURVILLE / CITY HALL",'Raw - Sessions'!$B$5:$B$292,"&gt;="&amp;A23,'Raw - Sessions'!$B$5:$B$292,"&lt;"&amp;DATE(YEAR(A23),MONTH(A23)+1,1))</f>
        <v>394.07</v>
      </c>
      <c r="D23" s="20" t="n">
        <f aca="false">SUMIFS('Raw - Sessions'!$E$5:$E$292,'Raw - Sessions'!$K$5:$K$292,"BARBOURVILLE / CITY HALL",'Raw - Sessions'!$B$5:$B$292,"&gt;="&amp;A23,'Raw - Sessions'!$B$5:$B$292,"&lt;"&amp;DATE(YEAR(A23),MONTH(A23)+1,1))</f>
        <v>775.995002</v>
      </c>
    </row>
    <row r="24" customFormat="false" ht="15" hidden="false" customHeight="false" outlineLevel="0" collapsed="false">
      <c r="A24" s="41" t="n">
        <v>45992</v>
      </c>
      <c r="B24" s="14" t="n">
        <f aca="false">COUNTIFS('Raw - Sessions'!$K$5:$K$292,"BARBOURVILLE / CITY HALL",'Raw - Sessions'!$B$5:$B$292,"&gt;="&amp;A24,'Raw - Sessions'!$B$5:$B$292,"&lt;"&amp;DATE(YEAR(A24),MONTH(A24)+1,1))</f>
        <v>26</v>
      </c>
      <c r="C24" s="42" t="n">
        <f aca="false">SUMIFS('Raw - Sessions'!$P$5:$P$292,'Raw - Sessions'!$K$5:$K$292,"BARBOURVILLE / CITY HALL",'Raw - Sessions'!$B$5:$B$292,"&gt;="&amp;A24,'Raw - Sessions'!$B$5:$B$292,"&lt;"&amp;DATE(YEAR(A24),MONTH(A24)+1,1))</f>
        <v>326.83</v>
      </c>
      <c r="D24" s="22" t="n">
        <f aca="false">SUMIFS('Raw - Sessions'!$E$5:$E$292,'Raw - Sessions'!$K$5:$K$292,"BARBOURVILLE / CITY HALL",'Raw - Sessions'!$B$5:$B$292,"&gt;="&amp;A24,'Raw - Sessions'!$B$5:$B$292,"&lt;"&amp;DATE(YEAR(A24),MONTH(A24)+1,1))</f>
        <v>612.647298</v>
      </c>
    </row>
    <row r="25" customFormat="false" ht="15" hidden="false" customHeight="false" outlineLevel="0" collapsed="false">
      <c r="A25" s="43" t="n">
        <v>46023</v>
      </c>
      <c r="B25" s="17" t="n">
        <f aca="false">COUNTIFS('Raw - Sessions'!$K$5:$K$292,"BARBOURVILLE / CITY HALL",'Raw - Sessions'!$B$5:$B$292,"&gt;="&amp;A25,'Raw - Sessions'!$B$5:$B$292,"&lt;"&amp;DATE(YEAR(A25),MONTH(A25)+1,1))</f>
        <v>11</v>
      </c>
      <c r="C25" s="44" t="n">
        <f aca="false">SUMIFS('Raw - Sessions'!$P$5:$P$292,'Raw - Sessions'!$K$5:$K$292,"BARBOURVILLE / CITY HALL",'Raw - Sessions'!$B$5:$B$292,"&gt;="&amp;A25,'Raw - Sessions'!$B$5:$B$292,"&lt;"&amp;DATE(YEAR(A25),MONTH(A25)+1,1))</f>
        <v>50.49</v>
      </c>
      <c r="D25" s="20" t="n">
        <f aca="false">SUMIFS('Raw - Sessions'!$E$5:$E$292,'Raw - Sessions'!$K$5:$K$292,"BARBOURVILLE / CITY HALL",'Raw - Sessions'!$B$5:$B$292,"&gt;="&amp;A25,'Raw - Sessions'!$B$5:$B$292,"&lt;"&amp;DATE(YEAR(A25),MONTH(A25)+1,1))</f>
        <v>98.330102</v>
      </c>
    </row>
    <row r="26" customFormat="false" ht="15" hidden="false" customHeight="false" outlineLevel="0" collapsed="false">
      <c r="A26" s="41" t="n">
        <v>46054</v>
      </c>
      <c r="B26" s="14" t="n">
        <f aca="false">COUNTIFS('Raw - Sessions'!$K$5:$K$292,"BARBOURVILLE / CITY HALL",'Raw - Sessions'!$B$5:$B$292,"&gt;="&amp;A26,'Raw - Sessions'!$B$5:$B$292,"&lt;"&amp;DATE(YEAR(A26),MONTH(A26)+1,1))</f>
        <v>24</v>
      </c>
      <c r="C26" s="42" t="n">
        <f aca="false">SUMIFS('Raw - Sessions'!$P$5:$P$292,'Raw - Sessions'!$K$5:$K$292,"BARBOURVILLE / CITY HALL",'Raw - Sessions'!$B$5:$B$292,"&gt;="&amp;A26,'Raw - Sessions'!$B$5:$B$292,"&lt;"&amp;DATE(YEAR(A26),MONTH(A26)+1,1))</f>
        <v>467.93</v>
      </c>
      <c r="D26" s="22" t="n">
        <f aca="false">SUMIFS('Raw - Sessions'!$E$5:$E$292,'Raw - Sessions'!$K$5:$K$292,"BARBOURVILLE / CITY HALL",'Raw - Sessions'!$B$5:$B$292,"&gt;="&amp;A26,'Raw - Sessions'!$B$5:$B$292,"&lt;"&amp;DATE(YEAR(A26),MONTH(A26)+1,1))</f>
        <v>784.6669</v>
      </c>
    </row>
    <row r="27" customFormat="false" ht="15" hidden="false" customHeight="false" outlineLevel="0" collapsed="false">
      <c r="A27" s="43" t="n">
        <v>46082</v>
      </c>
      <c r="B27" s="17" t="n">
        <f aca="false">COUNTIFS('Raw - Sessions'!$K$5:$K$292,"BARBOURVILLE / CITY HALL",'Raw - Sessions'!$B$5:$B$292,"&gt;="&amp;A27,'Raw - Sessions'!$B$5:$B$292,"&lt;"&amp;DATE(YEAR(A27),MONTH(A27)+1,1))</f>
        <v>18</v>
      </c>
      <c r="C27" s="44" t="n">
        <f aca="false">SUMIFS('Raw - Sessions'!$P$5:$P$292,'Raw - Sessions'!$K$5:$K$292,"BARBOURVILLE / CITY HALL",'Raw - Sessions'!$B$5:$B$292,"&gt;="&amp;A27,'Raw - Sessions'!$B$5:$B$292,"&lt;"&amp;DATE(YEAR(A27),MONTH(A27)+1,1))</f>
        <v>410.2</v>
      </c>
      <c r="D27" s="20" t="n">
        <f aca="false">SUMIFS('Raw - Sessions'!$E$5:$E$292,'Raw - Sessions'!$K$5:$K$292,"BARBOURVILLE / CITY HALL",'Raw - Sessions'!$B$5:$B$292,"&gt;="&amp;A27,'Raw - Sessions'!$B$5:$B$292,"&lt;"&amp;DATE(YEAR(A27),MONTH(A27)+1,1))</f>
        <v>613.970595</v>
      </c>
    </row>
    <row r="28" customFormat="false" ht="15" hidden="false" customHeight="false" outlineLevel="0" collapsed="false">
      <c r="A28" s="41" t="n">
        <v>46113</v>
      </c>
      <c r="B28" s="14" t="n">
        <f aca="false">COUNTIFS('Raw - Sessions'!$K$5:$K$292,"BARBOURVILLE / CITY HALL",'Raw - Sessions'!$B$5:$B$292,"&gt;="&amp;A28,'Raw - Sessions'!$B$5:$B$292,"&lt;"&amp;DATE(YEAR(A28),MONTH(A28)+1,1))</f>
        <v>37</v>
      </c>
      <c r="C28" s="42" t="n">
        <f aca="false">SUMIFS('Raw - Sessions'!$P$5:$P$292,'Raw - Sessions'!$K$5:$K$292,"BARBOURVILLE / CITY HALL",'Raw - Sessions'!$B$5:$B$292,"&gt;="&amp;A28,'Raw - Sessions'!$B$5:$B$292,"&lt;"&amp;DATE(YEAR(A28),MONTH(A28)+1,1))</f>
        <v>736.86</v>
      </c>
      <c r="D28" s="22" t="n">
        <f aca="false">SUMIFS('Raw - Sessions'!$E$5:$E$292,'Raw - Sessions'!$K$5:$K$292,"BARBOURVILLE / CITY HALL",'Raw - Sessions'!$B$5:$B$292,"&gt;="&amp;A28,'Raw - Sessions'!$B$5:$B$292,"&lt;"&amp;DATE(YEAR(A28),MONTH(A28)+1,1))</f>
        <v>1125.882091</v>
      </c>
    </row>
    <row r="29" customFormat="false" ht="15" hidden="false" customHeight="false" outlineLevel="0" collapsed="false">
      <c r="A29" s="43" t="n">
        <v>46143</v>
      </c>
      <c r="B29" s="17" t="n">
        <f aca="false">COUNTIFS('Raw - Sessions'!$K$5:$K$292,"BARBOURVILLE / CITY HALL",'Raw - Sessions'!$B$5:$B$292,"&gt;="&amp;A29,'Raw - Sessions'!$B$5:$B$292,"&lt;"&amp;DATE(YEAR(A29),MONTH(A29)+1,1))</f>
        <v>31</v>
      </c>
      <c r="C29" s="44" t="n">
        <f aca="false">SUMIFS('Raw - Sessions'!$P$5:$P$292,'Raw - Sessions'!$K$5:$K$292,"BARBOURVILLE / CITY HALL",'Raw - Sessions'!$B$5:$B$292,"&gt;="&amp;A29,'Raw - Sessions'!$B$5:$B$292,"&lt;"&amp;DATE(YEAR(A29),MONTH(A29)+1,1))</f>
        <v>537.16</v>
      </c>
      <c r="D29" s="20" t="n">
        <f aca="false">SUMIFS('Raw - Sessions'!$E$5:$E$292,'Raw - Sessions'!$K$5:$K$292,"BARBOURVILLE / CITY HALL",'Raw - Sessions'!$B$5:$B$292,"&gt;="&amp;A29,'Raw - Sessions'!$B$5:$B$292,"&lt;"&amp;DATE(YEAR(A29),MONTH(A29)+1,1))</f>
        <v>766.1055</v>
      </c>
    </row>
    <row r="30" customFormat="false" ht="15" hidden="false" customHeight="false" outlineLevel="0" collapsed="false">
      <c r="A30" s="41" t="n">
        <v>46174</v>
      </c>
      <c r="B30" s="14" t="n">
        <f aca="false">COUNTIFS('Raw - Sessions'!$K$5:$K$292,"BARBOURVILLE / CITY HALL",'Raw - Sessions'!$B$5:$B$292,"&gt;="&amp;A30,'Raw - Sessions'!$B$5:$B$292,"&lt;"&amp;DATE(YEAR(A30),MONTH(A30)+1,1))</f>
        <v>40</v>
      </c>
      <c r="C30" s="42" t="n">
        <f aca="false">SUMIFS('Raw - Sessions'!$P$5:$P$292,'Raw - Sessions'!$K$5:$K$292,"BARBOURVILLE / CITY HALL",'Raw - Sessions'!$B$5:$B$292,"&gt;="&amp;A30,'Raw - Sessions'!$B$5:$B$292,"&lt;"&amp;DATE(YEAR(A30),MONTH(A30)+1,1))</f>
        <v>405.05</v>
      </c>
      <c r="D30" s="22" t="n">
        <f aca="false">SUMIFS('Raw - Sessions'!$E$5:$E$292,'Raw - Sessions'!$K$5:$K$292,"BARBOURVILLE / CITY HALL",'Raw - Sessions'!$B$5:$B$292,"&gt;="&amp;A30,'Raw - Sessions'!$B$5:$B$292,"&lt;"&amp;DATE(YEAR(A30),MONTH(A30)+1,1))</f>
        <v>568.0701</v>
      </c>
    </row>
    <row r="31" customFormat="false" ht="15" hidden="false" customHeight="false" outlineLevel="0" collapsed="false">
      <c r="A31" s="43" t="n">
        <v>46204</v>
      </c>
      <c r="B31" s="17" t="n">
        <f aca="false">COUNTIFS('Raw - Sessions'!$K$5:$K$292,"BARBOURVILLE / CITY HALL",'Raw - Sessions'!$B$5:$B$292,"&gt;="&amp;A31,'Raw - Sessions'!$B$5:$B$292,"&lt;"&amp;DATE(YEAR(A31),MONTH(A31)+1,1))</f>
        <v>6</v>
      </c>
      <c r="C31" s="44" t="n">
        <f aca="false">SUMIFS('Raw - Sessions'!$P$5:$P$292,'Raw - Sessions'!$K$5:$K$292,"BARBOURVILLE / CITY HALL",'Raw - Sessions'!$B$5:$B$292,"&gt;="&amp;A31,'Raw - Sessions'!$B$5:$B$292,"&lt;"&amp;DATE(YEAR(A31),MONTH(A31)+1,1))</f>
        <v>66.56</v>
      </c>
      <c r="D31" s="20" t="n">
        <f aca="false">SUMIFS('Raw - Sessions'!$E$5:$E$292,'Raw - Sessions'!$K$5:$K$292,"BARBOURVILLE / CITY HALL",'Raw - Sessions'!$B$5:$B$292,"&gt;="&amp;A31,'Raw - Sessions'!$B$5:$B$292,"&lt;"&amp;DATE(YEAR(A31),MONTH(A31)+1,1))</f>
        <v>93.5925</v>
      </c>
    </row>
    <row r="34" customFormat="false" ht="15" hidden="false" customHeight="false" outlineLevel="0" collapsed="false">
      <c r="A34" s="4" t="s">
        <v>72</v>
      </c>
    </row>
    <row r="35" customFormat="false" ht="15" hidden="false" customHeight="false" outlineLevel="0" collapsed="false">
      <c r="A35" s="13" t="s">
        <v>73</v>
      </c>
      <c r="B35" s="13" t="s">
        <v>51</v>
      </c>
    </row>
    <row r="36" customFormat="false" ht="15" hidden="false" customHeight="false" outlineLevel="0" collapsed="false">
      <c r="A36" s="14" t="str">
        <f aca="false">'Visitor Origin'!A5</f>
        <v>KY</v>
      </c>
      <c r="B36" s="14" t="n">
        <f aca="false">COUNTIFS('Raw - Sessions'!$K$5:$K$292,"BARBOURVILLE / CITY HALL",'Raw - Sessions'!$O$5:$O$292,A36)</f>
        <v>89</v>
      </c>
    </row>
    <row r="37" customFormat="false" ht="15" hidden="false" customHeight="false" outlineLevel="0" collapsed="false">
      <c r="A37" s="17" t="str">
        <f aca="false">'Visitor Origin'!A6</f>
        <v>TN</v>
      </c>
      <c r="B37" s="17" t="n">
        <f aca="false">COUNTIFS('Raw - Sessions'!$K$5:$K$292,"BARBOURVILLE / CITY HALL",'Raw - Sessions'!$O$5:$O$292,A37)</f>
        <v>17</v>
      </c>
    </row>
    <row r="38" customFormat="false" ht="15" hidden="false" customHeight="false" outlineLevel="0" collapsed="false">
      <c r="A38" s="14" t="str">
        <f aca="false">'Visitor Origin'!A7</f>
        <v>OH</v>
      </c>
      <c r="B38" s="14" t="n">
        <f aca="false">COUNTIFS('Raw - Sessions'!$K$5:$K$292,"BARBOURVILLE / CITY HALL",'Raw - Sessions'!$O$5:$O$292,A38)</f>
        <v>9</v>
      </c>
    </row>
    <row r="39" customFormat="false" ht="15" hidden="false" customHeight="false" outlineLevel="0" collapsed="false">
      <c r="A39" s="17" t="str">
        <f aca="false">'Visitor Origin'!A8</f>
        <v>NC</v>
      </c>
      <c r="B39" s="17" t="n">
        <f aca="false">COUNTIFS('Raw - Sessions'!$K$5:$K$292,"BARBOURVILLE / CITY HALL",'Raw - Sessions'!$O$5:$O$292,A39)</f>
        <v>9</v>
      </c>
    </row>
    <row r="40" customFormat="false" ht="15" hidden="false" customHeight="false" outlineLevel="0" collapsed="false">
      <c r="A40" s="14" t="str">
        <f aca="false">'Visitor Origin'!A9</f>
        <v>IL</v>
      </c>
      <c r="B40" s="14" t="n">
        <f aca="false">COUNTIFS('Raw - Sessions'!$K$5:$K$292,"BARBOURVILLE / CITY HALL",'Raw - Sessions'!$O$5:$O$292,A40)</f>
        <v>1</v>
      </c>
    </row>
    <row r="41" customFormat="false" ht="15" hidden="false" customHeight="false" outlineLevel="0" collapsed="false">
      <c r="A41" s="17" t="str">
        <f aca="false">'Visitor Origin'!A10</f>
        <v>FL</v>
      </c>
      <c r="B41" s="17" t="n">
        <f aca="false">COUNTIFS('Raw - Sessions'!$K$5:$K$292,"BARBOURVILLE / CITY HALL",'Raw - Sessions'!$O$5:$O$292,A41)</f>
        <v>3</v>
      </c>
    </row>
    <row r="42" customFormat="false" ht="15" hidden="false" customHeight="false" outlineLevel="0" collapsed="false">
      <c r="A42" s="14" t="str">
        <f aca="false">'Visitor Origin'!A11</f>
        <v>SC</v>
      </c>
      <c r="B42" s="14" t="n">
        <f aca="false">COUNTIFS('Raw - Sessions'!$K$5:$K$292,"BARBOURVILLE / CITY HALL",'Raw - Sessions'!$O$5:$O$292,A42)</f>
        <v>3</v>
      </c>
    </row>
    <row r="43" customFormat="false" ht="15" hidden="false" customHeight="false" outlineLevel="0" collapsed="false">
      <c r="A43" s="17" t="str">
        <f aca="false">'Visitor Origin'!A12</f>
        <v>MI</v>
      </c>
      <c r="B43" s="17" t="n">
        <f aca="false">COUNTIFS('Raw - Sessions'!$K$5:$K$292,"BARBOURVILLE / CITY HALL",'Raw - Sessions'!$O$5:$O$292,A43)</f>
        <v>3</v>
      </c>
    </row>
    <row r="44" customFormat="false" ht="15" hidden="false" customHeight="false" outlineLevel="0" collapsed="false">
      <c r="A44" s="14" t="str">
        <f aca="false">'Visitor Origin'!A13</f>
        <v>WI</v>
      </c>
      <c r="B44" s="14" t="n">
        <f aca="false">COUNTIFS('Raw - Sessions'!$K$5:$K$292,"BARBOURVILLE / CITY HALL",'Raw - Sessions'!$O$5:$O$292,A44)</f>
        <v>3</v>
      </c>
    </row>
    <row r="45" customFormat="false" ht="15" hidden="false" customHeight="false" outlineLevel="0" collapsed="false">
      <c r="A45" s="17" t="str">
        <f aca="false">'Visitor Origin'!A14</f>
        <v>IN</v>
      </c>
      <c r="B45" s="17" t="n">
        <f aca="false">COUNTIFS('Raw - Sessions'!$K$5:$K$292,"BARBOURVILLE / CITY HALL",'Raw - Sessions'!$O$5:$O$292,A45)</f>
        <v>2</v>
      </c>
    </row>
    <row r="46" customFormat="false" ht="15" hidden="false" customHeight="false" outlineLevel="0" collapsed="false">
      <c r="A46" s="14" t="str">
        <f aca="false">'Visitor Origin'!A15</f>
        <v>GA</v>
      </c>
      <c r="B46" s="14" t="n">
        <f aca="false">COUNTIFS('Raw - Sessions'!$K$5:$K$292,"BARBOURVILLE / CITY HALL",'Raw - Sessions'!$O$5:$O$292,A46)</f>
        <v>2</v>
      </c>
    </row>
    <row r="47" customFormat="false" ht="15" hidden="false" customHeight="false" outlineLevel="0" collapsed="false">
      <c r="A47" s="17" t="str">
        <f aca="false">'Visitor Origin'!A16</f>
        <v>TX</v>
      </c>
      <c r="B47" s="17" t="n">
        <f aca="false">COUNTIFS('Raw - Sessions'!$K$5:$K$292,"BARBOURVILLE / CITY HALL",'Raw - Sessions'!$O$5:$O$292,A47)</f>
        <v>2</v>
      </c>
    </row>
    <row r="48" customFormat="false" ht="15" hidden="false" customHeight="false" outlineLevel="0" collapsed="false">
      <c r="A48" s="14" t="str">
        <f aca="false">'Visitor Origin'!A17</f>
        <v>PA</v>
      </c>
      <c r="B48" s="14" t="n">
        <f aca="false">COUNTIFS('Raw - Sessions'!$K$5:$K$292,"BARBOURVILLE / CITY HALL",'Raw - Sessions'!$O$5:$O$292,A48)</f>
        <v>0</v>
      </c>
    </row>
    <row r="49" customFormat="false" ht="15" hidden="false" customHeight="false" outlineLevel="0" collapsed="false">
      <c r="A49" s="17" t="str">
        <f aca="false">'Visitor Origin'!A18</f>
        <v>CT</v>
      </c>
      <c r="B49" s="17" t="n">
        <f aca="false">COUNTIFS('Raw - Sessions'!$K$5:$K$292,"BARBOURVILLE / CITY HALL",'Raw - Sessions'!$O$5:$O$292,A49)</f>
        <v>1</v>
      </c>
    </row>
    <row r="50" customFormat="false" ht="15" hidden="false" customHeight="false" outlineLevel="0" collapsed="false">
      <c r="A50" s="14" t="str">
        <f aca="false">'Visitor Origin'!A19</f>
        <v>KS</v>
      </c>
      <c r="B50" s="14" t="n">
        <f aca="false">COUNTIFS('Raw - Sessions'!$K$5:$K$292,"BARBOURVILLE / CITY HALL",'Raw - Sessions'!$O$5:$O$292,A50)</f>
        <v>1</v>
      </c>
    </row>
    <row r="51" customFormat="false" ht="15" hidden="false" customHeight="false" outlineLevel="0" collapsed="false">
      <c r="A51" s="17" t="str">
        <f aca="false">'Visitor Origin'!A20</f>
        <v>MO</v>
      </c>
      <c r="B51" s="17" t="n">
        <f aca="false">COUNTIFS('Raw - Sessions'!$K$5:$K$292,"BARBOURVILLE / CITY HALL",'Raw - Sessions'!$O$5:$O$292,A51)</f>
        <v>1</v>
      </c>
    </row>
    <row r="52" customFormat="false" ht="15" hidden="false" customHeight="false" outlineLevel="0" collapsed="false">
      <c r="A52" s="14" t="str">
        <f aca="false">'Visitor Origin'!A21</f>
        <v>MN</v>
      </c>
      <c r="B52" s="14" t="n">
        <f aca="false">COUNTIFS('Raw - Sessions'!$K$5:$K$292,"BARBOURVILLE / CITY HALL",'Raw - Sessions'!$O$5:$O$292,A52)</f>
        <v>1</v>
      </c>
    </row>
    <row r="53" customFormat="false" ht="15" hidden="false" customHeight="false" outlineLevel="0" collapsed="false">
      <c r="A53" s="17" t="str">
        <f aca="false">'Visitor Origin'!A22</f>
        <v>MD</v>
      </c>
      <c r="B53" s="17" t="n">
        <f aca="false">COUNTIFS('Raw - Sessions'!$K$5:$K$292,"BARBOURVILLE / CITY HALL",'Raw - Sessions'!$O$5:$O$292,A53)</f>
        <v>1</v>
      </c>
    </row>
    <row r="54" customFormat="false" ht="15" hidden="false" customHeight="false" outlineLevel="0" collapsed="false">
      <c r="A54" s="14" t="str">
        <f aca="false">'Visitor Origin'!A23</f>
        <v>OK</v>
      </c>
      <c r="B54" s="14" t="n">
        <f aca="false">COUNTIFS('Raw - Sessions'!$K$5:$K$292,"BARBOURVILLE / CITY HALL",'Raw - Sessions'!$O$5:$O$292,A54)</f>
        <v>1</v>
      </c>
    </row>
    <row r="56" customFormat="false" ht="15" hidden="false" customHeight="false" outlineLevel="0" collapsed="false">
      <c r="A56" s="30" t="s">
        <v>74</v>
      </c>
    </row>
  </sheetData>
  <mergeCells count="11">
    <mergeCell ref="A1:H1"/>
    <mergeCell ref="A5:B5"/>
    <mergeCell ref="C5:D5"/>
    <mergeCell ref="E5:F5"/>
    <mergeCell ref="G5:H5"/>
    <mergeCell ref="I5:J5"/>
    <mergeCell ref="A6:B7"/>
    <mergeCell ref="C6:D7"/>
    <mergeCell ref="E6:F7"/>
    <mergeCell ref="G6:H7"/>
    <mergeCell ref="I6:J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4" min="3" style="0" width="20"/>
    <col collapsed="false" customWidth="true" hidden="false" outlineLevel="0" max="5" min="5" style="0" width="22"/>
    <col collapsed="false" customWidth="true" hidden="false" outlineLevel="0" max="6" min="6" style="0" width="16"/>
  </cols>
  <sheetData>
    <row r="1" customFormat="false" ht="16.15" hidden="false" customHeight="false" outlineLevel="0" collapsed="false">
      <c r="A1" s="50" t="s">
        <v>78</v>
      </c>
    </row>
    <row r="2" customFormat="false" ht="15" hidden="false" customHeight="false" outlineLevel="0" collapsed="false">
      <c r="A2" s="30" t="s">
        <v>79</v>
      </c>
    </row>
    <row r="4" customFormat="false" ht="27.75" hidden="false" customHeight="true" outlineLevel="0" collapsed="false">
      <c r="A4" s="32" t="s">
        <v>37</v>
      </c>
      <c r="B4" s="32"/>
      <c r="C4" s="32" t="s">
        <v>80</v>
      </c>
      <c r="D4" s="32"/>
      <c r="E4" s="32" t="s">
        <v>81</v>
      </c>
      <c r="F4" s="32"/>
      <c r="G4" s="32" t="s">
        <v>82</v>
      </c>
      <c r="H4" s="32"/>
      <c r="I4" s="32" t="s">
        <v>83</v>
      </c>
      <c r="J4" s="32"/>
      <c r="K4" s="32" t="s">
        <v>40</v>
      </c>
      <c r="L4" s="32"/>
      <c r="M4" s="32" t="s">
        <v>41</v>
      </c>
      <c r="N4" s="32"/>
      <c r="O4" s="32" t="s">
        <v>84</v>
      </c>
      <c r="P4" s="32"/>
    </row>
    <row r="5" customFormat="false" ht="15" hidden="false" customHeight="false" outlineLevel="0" collapsed="false">
      <c r="A5" s="51" t="n">
        <f aca="false">COUNTA('Raw - Sessions'!A5:A292)</f>
        <v>288</v>
      </c>
      <c r="B5" s="51"/>
      <c r="C5" s="51" t="n">
        <f aca="false">'Raw - Daily Energy'!A369-'Raw - Daily Energy'!A5+1</f>
        <v>365</v>
      </c>
      <c r="D5" s="51"/>
      <c r="E5" s="52" t="n">
        <f aca="false">SUM(B10:B374)/COUNTIF(B10:B374,"&gt;0")</f>
        <v>2.02816901408451</v>
      </c>
      <c r="F5" s="52"/>
      <c r="G5" s="52" t="n">
        <f aca="false">SUM(C10:C374)/(A374-A10+1)</f>
        <v>0.583624809741248</v>
      </c>
      <c r="H5" s="52"/>
      <c r="I5" s="52" t="n">
        <f aca="false">SUM('Raw - Sessions'!E5:E292)/C5</f>
        <v>17.032069939726</v>
      </c>
      <c r="J5" s="52"/>
      <c r="K5" s="52" t="n">
        <f aca="false">SUM('Raw - Sessions'!E5:E292)/SUM('Raw - Sessions'!AF5:AF292)</f>
        <v>45.0485907826087</v>
      </c>
      <c r="L5" s="52"/>
      <c r="M5" s="52" t="n">
        <f aca="false">SUM('Raw - Sessions'!E5:E292)/SUM('Raw - Sessions'!D5:D292)</f>
        <v>29.1832520746972</v>
      </c>
      <c r="N5" s="52"/>
      <c r="O5" s="52" t="n">
        <v>1.2</v>
      </c>
      <c r="P5" s="52"/>
    </row>
    <row r="6" customFormat="false" ht="15" hidden="false" customHeight="false" outlineLevel="0" collapsed="false">
      <c r="A6" s="51"/>
      <c r="B6" s="51"/>
      <c r="C6" s="51"/>
      <c r="D6" s="51"/>
      <c r="E6" s="52"/>
      <c r="F6" s="52"/>
      <c r="G6" s="52"/>
      <c r="H6" s="52"/>
      <c r="I6" s="52"/>
      <c r="J6" s="52"/>
      <c r="K6" s="52"/>
      <c r="L6" s="52"/>
      <c r="M6" s="52"/>
      <c r="N6" s="52"/>
      <c r="O6" s="52"/>
      <c r="P6" s="52"/>
    </row>
    <row r="8" customFormat="false" ht="15" hidden="false" customHeight="false" outlineLevel="0" collapsed="false">
      <c r="A8" s="4" t="s">
        <v>85</v>
      </c>
    </row>
    <row r="9" customFormat="false" ht="23.85" hidden="false" customHeight="false" outlineLevel="0" collapsed="false">
      <c r="A9" s="37" t="s">
        <v>86</v>
      </c>
      <c r="B9" s="37" t="s">
        <v>51</v>
      </c>
      <c r="C9" s="37" t="s">
        <v>87</v>
      </c>
      <c r="D9" s="37" t="s">
        <v>88</v>
      </c>
      <c r="E9" s="37" t="s">
        <v>89</v>
      </c>
      <c r="F9" s="37" t="s">
        <v>90</v>
      </c>
    </row>
    <row r="10" customFormat="false" ht="15" hidden="false" customHeight="false" outlineLevel="0" collapsed="false">
      <c r="A10" s="53" t="n">
        <f aca="false">'Raw - Daily Energy'!A5</f>
        <v>45850</v>
      </c>
      <c r="B10" s="14" t="n">
        <f aca="false">COUNTIF('Raw - Sessions'!$R$5:$R$292,A10)</f>
        <v>0</v>
      </c>
      <c r="C10" s="38" t="n">
        <f aca="false">SUMIF('Raw - Sessions'!$R$5:$R$292,A10,'Raw - Sessions'!$D$5:$D$292)</f>
        <v>0</v>
      </c>
      <c r="D10" s="38" t="n">
        <f aca="false">SUMIF('Raw - Sessions'!$R$5:$R$292,A10,'Raw - Sessions'!$E$5:$E$292)</f>
        <v>0</v>
      </c>
      <c r="E10" s="38" t="n">
        <f aca="false">'Raw - Daily Energy'!B5</f>
        <v>0</v>
      </c>
      <c r="F10" s="42" t="n">
        <f aca="false">SUMIF('Raw - Sessions'!$R$5:$R$292,A10,'Raw - Sessions'!$P$5:$P$292)</f>
        <v>0</v>
      </c>
    </row>
    <row r="11" customFormat="false" ht="15" hidden="false" customHeight="false" outlineLevel="0" collapsed="false">
      <c r="A11" s="54" t="n">
        <f aca="false">'Raw - Daily Energy'!A6</f>
        <v>45851</v>
      </c>
      <c r="B11" s="17" t="n">
        <f aca="false">COUNTIF('Raw - Sessions'!$R$5:$R$292,A11)</f>
        <v>0</v>
      </c>
      <c r="C11" s="39" t="n">
        <f aca="false">SUMIF('Raw - Sessions'!$R$5:$R$292,A11,'Raw - Sessions'!$D$5:$D$292)</f>
        <v>0</v>
      </c>
      <c r="D11" s="39" t="n">
        <f aca="false">SUMIF('Raw - Sessions'!$R$5:$R$292,A11,'Raw - Sessions'!$E$5:$E$292)</f>
        <v>0</v>
      </c>
      <c r="E11" s="39" t="n">
        <f aca="false">'Raw - Daily Energy'!B6</f>
        <v>0</v>
      </c>
      <c r="F11" s="44" t="n">
        <f aca="false">SUMIF('Raw - Sessions'!$R$5:$R$292,A11,'Raw - Sessions'!$P$5:$P$292)</f>
        <v>0</v>
      </c>
    </row>
    <row r="12" customFormat="false" ht="15" hidden="false" customHeight="false" outlineLevel="0" collapsed="false">
      <c r="A12" s="53" t="n">
        <f aca="false">'Raw - Daily Energy'!A7</f>
        <v>45852</v>
      </c>
      <c r="B12" s="14" t="n">
        <f aca="false">COUNTIF('Raw - Sessions'!$R$5:$R$292,A12)</f>
        <v>0</v>
      </c>
      <c r="C12" s="38" t="n">
        <f aca="false">SUMIF('Raw - Sessions'!$R$5:$R$292,A12,'Raw - Sessions'!$D$5:$D$292)</f>
        <v>0</v>
      </c>
      <c r="D12" s="38" t="n">
        <f aca="false">SUMIF('Raw - Sessions'!$R$5:$R$292,A12,'Raw - Sessions'!$E$5:$E$292)</f>
        <v>0</v>
      </c>
      <c r="E12" s="38" t="n">
        <f aca="false">'Raw - Daily Energy'!B7</f>
        <v>0</v>
      </c>
      <c r="F12" s="42" t="n">
        <f aca="false">SUMIF('Raw - Sessions'!$R$5:$R$292,A12,'Raw - Sessions'!$P$5:$P$292)</f>
        <v>0</v>
      </c>
    </row>
    <row r="13" customFormat="false" ht="15" hidden="false" customHeight="false" outlineLevel="0" collapsed="false">
      <c r="A13" s="54" t="n">
        <f aca="false">'Raw - Daily Energy'!A8</f>
        <v>45853</v>
      </c>
      <c r="B13" s="17" t="n">
        <f aca="false">COUNTIF('Raw - Sessions'!$R$5:$R$292,A13)</f>
        <v>0</v>
      </c>
      <c r="C13" s="39" t="n">
        <f aca="false">SUMIF('Raw - Sessions'!$R$5:$R$292,A13,'Raw - Sessions'!$D$5:$D$292)</f>
        <v>0</v>
      </c>
      <c r="D13" s="39" t="n">
        <f aca="false">SUMIF('Raw - Sessions'!$R$5:$R$292,A13,'Raw - Sessions'!$E$5:$E$292)</f>
        <v>0</v>
      </c>
      <c r="E13" s="39" t="n">
        <f aca="false">'Raw - Daily Energy'!B8</f>
        <v>0</v>
      </c>
      <c r="F13" s="44" t="n">
        <f aca="false">SUMIF('Raw - Sessions'!$R$5:$R$292,A13,'Raw - Sessions'!$P$5:$P$292)</f>
        <v>0</v>
      </c>
    </row>
    <row r="14" customFormat="false" ht="15" hidden="false" customHeight="false" outlineLevel="0" collapsed="false">
      <c r="A14" s="53" t="n">
        <f aca="false">'Raw - Daily Energy'!A9</f>
        <v>45854</v>
      </c>
      <c r="B14" s="14" t="n">
        <f aca="false">COUNTIF('Raw - Sessions'!$R$5:$R$292,A14)</f>
        <v>0</v>
      </c>
      <c r="C14" s="38" t="n">
        <f aca="false">SUMIF('Raw - Sessions'!$R$5:$R$292,A14,'Raw - Sessions'!$D$5:$D$292)</f>
        <v>0</v>
      </c>
      <c r="D14" s="38" t="n">
        <f aca="false">SUMIF('Raw - Sessions'!$R$5:$R$292,A14,'Raw - Sessions'!$E$5:$E$292)</f>
        <v>0</v>
      </c>
      <c r="E14" s="38" t="n">
        <f aca="false">'Raw - Daily Energy'!B9</f>
        <v>0</v>
      </c>
      <c r="F14" s="42" t="n">
        <f aca="false">SUMIF('Raw - Sessions'!$R$5:$R$292,A14,'Raw - Sessions'!$P$5:$P$292)</f>
        <v>0</v>
      </c>
    </row>
    <row r="15" customFormat="false" ht="15" hidden="false" customHeight="false" outlineLevel="0" collapsed="false">
      <c r="A15" s="54" t="n">
        <f aca="false">'Raw - Daily Energy'!A10</f>
        <v>45855</v>
      </c>
      <c r="B15" s="17" t="n">
        <f aca="false">COUNTIF('Raw - Sessions'!$R$5:$R$292,A15)</f>
        <v>0</v>
      </c>
      <c r="C15" s="39" t="n">
        <f aca="false">SUMIF('Raw - Sessions'!$R$5:$R$292,A15,'Raw - Sessions'!$D$5:$D$292)</f>
        <v>0</v>
      </c>
      <c r="D15" s="39" t="n">
        <f aca="false">SUMIF('Raw - Sessions'!$R$5:$R$292,A15,'Raw - Sessions'!$E$5:$E$292)</f>
        <v>0</v>
      </c>
      <c r="E15" s="39" t="n">
        <f aca="false">'Raw - Daily Energy'!B10</f>
        <v>0</v>
      </c>
      <c r="F15" s="44" t="n">
        <f aca="false">SUMIF('Raw - Sessions'!$R$5:$R$292,A15,'Raw - Sessions'!$P$5:$P$292)</f>
        <v>0</v>
      </c>
    </row>
    <row r="16" customFormat="false" ht="15" hidden="false" customHeight="false" outlineLevel="0" collapsed="false">
      <c r="A16" s="53" t="n">
        <f aca="false">'Raw - Daily Energy'!A11</f>
        <v>45856</v>
      </c>
      <c r="B16" s="14" t="n">
        <f aca="false">COUNTIF('Raw - Sessions'!$R$5:$R$292,A16)</f>
        <v>0</v>
      </c>
      <c r="C16" s="38" t="n">
        <f aca="false">SUMIF('Raw - Sessions'!$R$5:$R$292,A16,'Raw - Sessions'!$D$5:$D$292)</f>
        <v>0</v>
      </c>
      <c r="D16" s="38" t="n">
        <f aca="false">SUMIF('Raw - Sessions'!$R$5:$R$292,A16,'Raw - Sessions'!$E$5:$E$292)</f>
        <v>0</v>
      </c>
      <c r="E16" s="38" t="n">
        <f aca="false">'Raw - Daily Energy'!B11</f>
        <v>0</v>
      </c>
      <c r="F16" s="42" t="n">
        <f aca="false">SUMIF('Raw - Sessions'!$R$5:$R$292,A16,'Raw - Sessions'!$P$5:$P$292)</f>
        <v>0</v>
      </c>
    </row>
    <row r="17" customFormat="false" ht="15" hidden="false" customHeight="false" outlineLevel="0" collapsed="false">
      <c r="A17" s="54" t="n">
        <f aca="false">'Raw - Daily Energy'!A12</f>
        <v>45857</v>
      </c>
      <c r="B17" s="17" t="n">
        <f aca="false">COUNTIF('Raw - Sessions'!$R$5:$R$292,A17)</f>
        <v>0</v>
      </c>
      <c r="C17" s="39" t="n">
        <f aca="false">SUMIF('Raw - Sessions'!$R$5:$R$292,A17,'Raw - Sessions'!$D$5:$D$292)</f>
        <v>0</v>
      </c>
      <c r="D17" s="39" t="n">
        <f aca="false">SUMIF('Raw - Sessions'!$R$5:$R$292,A17,'Raw - Sessions'!$E$5:$E$292)</f>
        <v>0</v>
      </c>
      <c r="E17" s="39" t="n">
        <f aca="false">'Raw - Daily Energy'!B12</f>
        <v>0</v>
      </c>
      <c r="F17" s="44" t="n">
        <f aca="false">SUMIF('Raw - Sessions'!$R$5:$R$292,A17,'Raw - Sessions'!$P$5:$P$292)</f>
        <v>0</v>
      </c>
    </row>
    <row r="18" customFormat="false" ht="15" hidden="false" customHeight="false" outlineLevel="0" collapsed="false">
      <c r="A18" s="53" t="n">
        <f aca="false">'Raw - Daily Energy'!A13</f>
        <v>45858</v>
      </c>
      <c r="B18" s="14" t="n">
        <f aca="false">COUNTIF('Raw - Sessions'!$R$5:$R$292,A18)</f>
        <v>0</v>
      </c>
      <c r="C18" s="38" t="n">
        <f aca="false">SUMIF('Raw - Sessions'!$R$5:$R$292,A18,'Raw - Sessions'!$D$5:$D$292)</f>
        <v>0</v>
      </c>
      <c r="D18" s="38" t="n">
        <f aca="false">SUMIF('Raw - Sessions'!$R$5:$R$292,A18,'Raw - Sessions'!$E$5:$E$292)</f>
        <v>0</v>
      </c>
      <c r="E18" s="38" t="n">
        <f aca="false">'Raw - Daily Energy'!B13</f>
        <v>0</v>
      </c>
      <c r="F18" s="42" t="n">
        <f aca="false">SUMIF('Raw - Sessions'!$R$5:$R$292,A18,'Raw - Sessions'!$P$5:$P$292)</f>
        <v>0</v>
      </c>
    </row>
    <row r="19" customFormat="false" ht="15" hidden="false" customHeight="false" outlineLevel="0" collapsed="false">
      <c r="A19" s="54" t="n">
        <f aca="false">'Raw - Daily Energy'!A14</f>
        <v>45859</v>
      </c>
      <c r="B19" s="17" t="n">
        <f aca="false">COUNTIF('Raw - Sessions'!$R$5:$R$292,A19)</f>
        <v>0</v>
      </c>
      <c r="C19" s="39" t="n">
        <f aca="false">SUMIF('Raw - Sessions'!$R$5:$R$292,A19,'Raw - Sessions'!$D$5:$D$292)</f>
        <v>0</v>
      </c>
      <c r="D19" s="39" t="n">
        <f aca="false">SUMIF('Raw - Sessions'!$R$5:$R$292,A19,'Raw - Sessions'!$E$5:$E$292)</f>
        <v>0</v>
      </c>
      <c r="E19" s="39" t="n">
        <f aca="false">'Raw - Daily Energy'!B14</f>
        <v>0</v>
      </c>
      <c r="F19" s="44" t="n">
        <f aca="false">SUMIF('Raw - Sessions'!$R$5:$R$292,A19,'Raw - Sessions'!$P$5:$P$292)</f>
        <v>0</v>
      </c>
    </row>
    <row r="20" customFormat="false" ht="15" hidden="false" customHeight="false" outlineLevel="0" collapsed="false">
      <c r="A20" s="53" t="n">
        <f aca="false">'Raw - Daily Energy'!A15</f>
        <v>45860</v>
      </c>
      <c r="B20" s="14" t="n">
        <f aca="false">COUNTIF('Raw - Sessions'!$R$5:$R$292,A20)</f>
        <v>0</v>
      </c>
      <c r="C20" s="38" t="n">
        <f aca="false">SUMIF('Raw - Sessions'!$R$5:$R$292,A20,'Raw - Sessions'!$D$5:$D$292)</f>
        <v>0</v>
      </c>
      <c r="D20" s="38" t="n">
        <f aca="false">SUMIF('Raw - Sessions'!$R$5:$R$292,A20,'Raw - Sessions'!$E$5:$E$292)</f>
        <v>0</v>
      </c>
      <c r="E20" s="38" t="n">
        <f aca="false">'Raw - Daily Energy'!B15</f>
        <v>0</v>
      </c>
      <c r="F20" s="42" t="n">
        <f aca="false">SUMIF('Raw - Sessions'!$R$5:$R$292,A20,'Raw - Sessions'!$P$5:$P$292)</f>
        <v>0</v>
      </c>
    </row>
    <row r="21" customFormat="false" ht="15" hidden="false" customHeight="false" outlineLevel="0" collapsed="false">
      <c r="A21" s="54" t="n">
        <f aca="false">'Raw - Daily Energy'!A16</f>
        <v>45861</v>
      </c>
      <c r="B21" s="17" t="n">
        <f aca="false">COUNTIF('Raw - Sessions'!$R$5:$R$292,A21)</f>
        <v>0</v>
      </c>
      <c r="C21" s="39" t="n">
        <f aca="false">SUMIF('Raw - Sessions'!$R$5:$R$292,A21,'Raw - Sessions'!$D$5:$D$292)</f>
        <v>0</v>
      </c>
      <c r="D21" s="39" t="n">
        <f aca="false">SUMIF('Raw - Sessions'!$R$5:$R$292,A21,'Raw - Sessions'!$E$5:$E$292)</f>
        <v>0</v>
      </c>
      <c r="E21" s="39" t="n">
        <f aca="false">'Raw - Daily Energy'!B16</f>
        <v>0</v>
      </c>
      <c r="F21" s="44" t="n">
        <f aca="false">SUMIF('Raw - Sessions'!$R$5:$R$292,A21,'Raw - Sessions'!$P$5:$P$292)</f>
        <v>0</v>
      </c>
    </row>
    <row r="22" customFormat="false" ht="15" hidden="false" customHeight="false" outlineLevel="0" collapsed="false">
      <c r="A22" s="53" t="n">
        <f aca="false">'Raw - Daily Energy'!A17</f>
        <v>45862</v>
      </c>
      <c r="B22" s="14" t="n">
        <f aca="false">COUNTIF('Raw - Sessions'!$R$5:$R$292,A22)</f>
        <v>0</v>
      </c>
      <c r="C22" s="38" t="n">
        <f aca="false">SUMIF('Raw - Sessions'!$R$5:$R$292,A22,'Raw - Sessions'!$D$5:$D$292)</f>
        <v>0</v>
      </c>
      <c r="D22" s="38" t="n">
        <f aca="false">SUMIF('Raw - Sessions'!$R$5:$R$292,A22,'Raw - Sessions'!$E$5:$E$292)</f>
        <v>0</v>
      </c>
      <c r="E22" s="38" t="n">
        <f aca="false">'Raw - Daily Energy'!B17</f>
        <v>0</v>
      </c>
      <c r="F22" s="42" t="n">
        <f aca="false">SUMIF('Raw - Sessions'!$R$5:$R$292,A22,'Raw - Sessions'!$P$5:$P$292)</f>
        <v>0</v>
      </c>
    </row>
    <row r="23" customFormat="false" ht="15" hidden="false" customHeight="false" outlineLevel="0" collapsed="false">
      <c r="A23" s="54" t="n">
        <f aca="false">'Raw - Daily Energy'!A18</f>
        <v>45863</v>
      </c>
      <c r="B23" s="17" t="n">
        <f aca="false">COUNTIF('Raw - Sessions'!$R$5:$R$292,A23)</f>
        <v>0</v>
      </c>
      <c r="C23" s="39" t="n">
        <f aca="false">SUMIF('Raw - Sessions'!$R$5:$R$292,A23,'Raw - Sessions'!$D$5:$D$292)</f>
        <v>0</v>
      </c>
      <c r="D23" s="39" t="n">
        <f aca="false">SUMIF('Raw - Sessions'!$R$5:$R$292,A23,'Raw - Sessions'!$E$5:$E$292)</f>
        <v>0</v>
      </c>
      <c r="E23" s="39" t="n">
        <f aca="false">'Raw - Daily Energy'!B18</f>
        <v>0</v>
      </c>
      <c r="F23" s="44" t="n">
        <f aca="false">SUMIF('Raw - Sessions'!$R$5:$R$292,A23,'Raw - Sessions'!$P$5:$P$292)</f>
        <v>0</v>
      </c>
    </row>
    <row r="24" customFormat="false" ht="15" hidden="false" customHeight="false" outlineLevel="0" collapsed="false">
      <c r="A24" s="53" t="n">
        <f aca="false">'Raw - Daily Energy'!A19</f>
        <v>45864</v>
      </c>
      <c r="B24" s="14" t="n">
        <f aca="false">COUNTIF('Raw - Sessions'!$R$5:$R$292,A24)</f>
        <v>0</v>
      </c>
      <c r="C24" s="38" t="n">
        <f aca="false">SUMIF('Raw - Sessions'!$R$5:$R$292,A24,'Raw - Sessions'!$D$5:$D$292)</f>
        <v>0</v>
      </c>
      <c r="D24" s="38" t="n">
        <f aca="false">SUMIF('Raw - Sessions'!$R$5:$R$292,A24,'Raw - Sessions'!$E$5:$E$292)</f>
        <v>0</v>
      </c>
      <c r="E24" s="38" t="n">
        <f aca="false">'Raw - Daily Energy'!B19</f>
        <v>0</v>
      </c>
      <c r="F24" s="42" t="n">
        <f aca="false">SUMIF('Raw - Sessions'!$R$5:$R$292,A24,'Raw - Sessions'!$P$5:$P$292)</f>
        <v>0</v>
      </c>
    </row>
    <row r="25" customFormat="false" ht="15" hidden="false" customHeight="false" outlineLevel="0" collapsed="false">
      <c r="A25" s="54" t="n">
        <f aca="false">'Raw - Daily Energy'!A20</f>
        <v>45865</v>
      </c>
      <c r="B25" s="17" t="n">
        <f aca="false">COUNTIF('Raw - Sessions'!$R$5:$R$292,A25)</f>
        <v>0</v>
      </c>
      <c r="C25" s="39" t="n">
        <f aca="false">SUMIF('Raw - Sessions'!$R$5:$R$292,A25,'Raw - Sessions'!$D$5:$D$292)</f>
        <v>0</v>
      </c>
      <c r="D25" s="39" t="n">
        <f aca="false">SUMIF('Raw - Sessions'!$R$5:$R$292,A25,'Raw - Sessions'!$E$5:$E$292)</f>
        <v>0</v>
      </c>
      <c r="E25" s="39" t="n">
        <f aca="false">'Raw - Daily Energy'!B20</f>
        <v>0</v>
      </c>
      <c r="F25" s="44" t="n">
        <f aca="false">SUMIF('Raw - Sessions'!$R$5:$R$292,A25,'Raw - Sessions'!$P$5:$P$292)</f>
        <v>0</v>
      </c>
    </row>
    <row r="26" customFormat="false" ht="15" hidden="false" customHeight="false" outlineLevel="0" collapsed="false">
      <c r="A26" s="53" t="n">
        <f aca="false">'Raw - Daily Energy'!A21</f>
        <v>45866</v>
      </c>
      <c r="B26" s="14" t="n">
        <f aca="false">COUNTIF('Raw - Sessions'!$R$5:$R$292,A26)</f>
        <v>0</v>
      </c>
      <c r="C26" s="38" t="n">
        <f aca="false">SUMIF('Raw - Sessions'!$R$5:$R$292,A26,'Raw - Sessions'!$D$5:$D$292)</f>
        <v>0</v>
      </c>
      <c r="D26" s="38" t="n">
        <f aca="false">SUMIF('Raw - Sessions'!$R$5:$R$292,A26,'Raw - Sessions'!$E$5:$E$292)</f>
        <v>0</v>
      </c>
      <c r="E26" s="38" t="n">
        <f aca="false">'Raw - Daily Energy'!B21</f>
        <v>0</v>
      </c>
      <c r="F26" s="42" t="n">
        <f aca="false">SUMIF('Raw - Sessions'!$R$5:$R$292,A26,'Raw - Sessions'!$P$5:$P$292)</f>
        <v>0</v>
      </c>
    </row>
    <row r="27" customFormat="false" ht="15" hidden="false" customHeight="false" outlineLevel="0" collapsed="false">
      <c r="A27" s="54" t="n">
        <f aca="false">'Raw - Daily Energy'!A22</f>
        <v>45867</v>
      </c>
      <c r="B27" s="17" t="n">
        <f aca="false">COUNTIF('Raw - Sessions'!$R$5:$R$292,A27)</f>
        <v>0</v>
      </c>
      <c r="C27" s="39" t="n">
        <f aca="false">SUMIF('Raw - Sessions'!$R$5:$R$292,A27,'Raw - Sessions'!$D$5:$D$292)</f>
        <v>0</v>
      </c>
      <c r="D27" s="39" t="n">
        <f aca="false">SUMIF('Raw - Sessions'!$R$5:$R$292,A27,'Raw - Sessions'!$E$5:$E$292)</f>
        <v>0</v>
      </c>
      <c r="E27" s="39" t="n">
        <f aca="false">'Raw - Daily Energy'!B22</f>
        <v>0</v>
      </c>
      <c r="F27" s="44" t="n">
        <f aca="false">SUMIF('Raw - Sessions'!$R$5:$R$292,A27,'Raw - Sessions'!$P$5:$P$292)</f>
        <v>0</v>
      </c>
    </row>
    <row r="28" customFormat="false" ht="15" hidden="false" customHeight="false" outlineLevel="0" collapsed="false">
      <c r="A28" s="53" t="n">
        <f aca="false">'Raw - Daily Energy'!A23</f>
        <v>45868</v>
      </c>
      <c r="B28" s="14" t="n">
        <f aca="false">COUNTIF('Raw - Sessions'!$R$5:$R$292,A28)</f>
        <v>0</v>
      </c>
      <c r="C28" s="38" t="n">
        <f aca="false">SUMIF('Raw - Sessions'!$R$5:$R$292,A28,'Raw - Sessions'!$D$5:$D$292)</f>
        <v>0</v>
      </c>
      <c r="D28" s="38" t="n">
        <f aca="false">SUMIF('Raw - Sessions'!$R$5:$R$292,A28,'Raw - Sessions'!$E$5:$E$292)</f>
        <v>0</v>
      </c>
      <c r="E28" s="38" t="n">
        <f aca="false">'Raw - Daily Energy'!B23</f>
        <v>0</v>
      </c>
      <c r="F28" s="42" t="n">
        <f aca="false">SUMIF('Raw - Sessions'!$R$5:$R$292,A28,'Raw - Sessions'!$P$5:$P$292)</f>
        <v>0</v>
      </c>
    </row>
    <row r="29" customFormat="false" ht="15" hidden="false" customHeight="false" outlineLevel="0" collapsed="false">
      <c r="A29" s="54" t="n">
        <f aca="false">'Raw - Daily Energy'!A24</f>
        <v>45869</v>
      </c>
      <c r="B29" s="17" t="n">
        <f aca="false">COUNTIF('Raw - Sessions'!$R$5:$R$292,A29)</f>
        <v>0</v>
      </c>
      <c r="C29" s="39" t="n">
        <f aca="false">SUMIF('Raw - Sessions'!$R$5:$R$292,A29,'Raw - Sessions'!$D$5:$D$292)</f>
        <v>0</v>
      </c>
      <c r="D29" s="39" t="n">
        <f aca="false">SUMIF('Raw - Sessions'!$R$5:$R$292,A29,'Raw - Sessions'!$E$5:$E$292)</f>
        <v>0</v>
      </c>
      <c r="E29" s="39" t="n">
        <f aca="false">'Raw - Daily Energy'!B24</f>
        <v>0</v>
      </c>
      <c r="F29" s="44" t="n">
        <f aca="false">SUMIF('Raw - Sessions'!$R$5:$R$292,A29,'Raw - Sessions'!$P$5:$P$292)</f>
        <v>0</v>
      </c>
    </row>
    <row r="30" customFormat="false" ht="15" hidden="false" customHeight="false" outlineLevel="0" collapsed="false">
      <c r="A30" s="53" t="n">
        <f aca="false">'Raw - Daily Energy'!A25</f>
        <v>45870</v>
      </c>
      <c r="B30" s="14" t="n">
        <f aca="false">COUNTIF('Raw - Sessions'!$R$5:$R$292,A30)</f>
        <v>0</v>
      </c>
      <c r="C30" s="38" t="n">
        <f aca="false">SUMIF('Raw - Sessions'!$R$5:$R$292,A30,'Raw - Sessions'!$D$5:$D$292)</f>
        <v>0</v>
      </c>
      <c r="D30" s="38" t="n">
        <f aca="false">SUMIF('Raw - Sessions'!$R$5:$R$292,A30,'Raw - Sessions'!$E$5:$E$292)</f>
        <v>0</v>
      </c>
      <c r="E30" s="38" t="n">
        <f aca="false">'Raw - Daily Energy'!B25</f>
        <v>0</v>
      </c>
      <c r="F30" s="42" t="n">
        <f aca="false">SUMIF('Raw - Sessions'!$R$5:$R$292,A30,'Raw - Sessions'!$P$5:$P$292)</f>
        <v>0</v>
      </c>
    </row>
    <row r="31" customFormat="false" ht="15" hidden="false" customHeight="false" outlineLevel="0" collapsed="false">
      <c r="A31" s="54" t="n">
        <f aca="false">'Raw - Daily Energy'!A26</f>
        <v>45871</v>
      </c>
      <c r="B31" s="17" t="n">
        <f aca="false">COUNTIF('Raw - Sessions'!$R$5:$R$292,A31)</f>
        <v>0</v>
      </c>
      <c r="C31" s="39" t="n">
        <f aca="false">SUMIF('Raw - Sessions'!$R$5:$R$292,A31,'Raw - Sessions'!$D$5:$D$292)</f>
        <v>0</v>
      </c>
      <c r="D31" s="39" t="n">
        <f aca="false">SUMIF('Raw - Sessions'!$R$5:$R$292,A31,'Raw - Sessions'!$E$5:$E$292)</f>
        <v>0</v>
      </c>
      <c r="E31" s="39" t="n">
        <f aca="false">'Raw - Daily Energy'!B26</f>
        <v>0</v>
      </c>
      <c r="F31" s="44" t="n">
        <f aca="false">SUMIF('Raw - Sessions'!$R$5:$R$292,A31,'Raw - Sessions'!$P$5:$P$292)</f>
        <v>0</v>
      </c>
    </row>
    <row r="32" customFormat="false" ht="15" hidden="false" customHeight="false" outlineLevel="0" collapsed="false">
      <c r="A32" s="53" t="n">
        <f aca="false">'Raw - Daily Energy'!A27</f>
        <v>45872</v>
      </c>
      <c r="B32" s="14" t="n">
        <f aca="false">COUNTIF('Raw - Sessions'!$R$5:$R$292,A32)</f>
        <v>0</v>
      </c>
      <c r="C32" s="38" t="n">
        <f aca="false">SUMIF('Raw - Sessions'!$R$5:$R$292,A32,'Raw - Sessions'!$D$5:$D$292)</f>
        <v>0</v>
      </c>
      <c r="D32" s="38" t="n">
        <f aca="false">SUMIF('Raw - Sessions'!$R$5:$R$292,A32,'Raw - Sessions'!$E$5:$E$292)</f>
        <v>0</v>
      </c>
      <c r="E32" s="38" t="n">
        <f aca="false">'Raw - Daily Energy'!B27</f>
        <v>0</v>
      </c>
      <c r="F32" s="42" t="n">
        <f aca="false">SUMIF('Raw - Sessions'!$R$5:$R$292,A32,'Raw - Sessions'!$P$5:$P$292)</f>
        <v>0</v>
      </c>
    </row>
    <row r="33" customFormat="false" ht="15" hidden="false" customHeight="false" outlineLevel="0" collapsed="false">
      <c r="A33" s="54" t="n">
        <f aca="false">'Raw - Daily Energy'!A28</f>
        <v>45873</v>
      </c>
      <c r="B33" s="17" t="n">
        <f aca="false">COUNTIF('Raw - Sessions'!$R$5:$R$292,A33)</f>
        <v>0</v>
      </c>
      <c r="C33" s="39" t="n">
        <f aca="false">SUMIF('Raw - Sessions'!$R$5:$R$292,A33,'Raw - Sessions'!$D$5:$D$292)</f>
        <v>0</v>
      </c>
      <c r="D33" s="39" t="n">
        <f aca="false">SUMIF('Raw - Sessions'!$R$5:$R$292,A33,'Raw - Sessions'!$E$5:$E$292)</f>
        <v>0</v>
      </c>
      <c r="E33" s="39" t="n">
        <f aca="false">'Raw - Daily Energy'!B28</f>
        <v>0</v>
      </c>
      <c r="F33" s="44" t="n">
        <f aca="false">SUMIF('Raw - Sessions'!$R$5:$R$292,A33,'Raw - Sessions'!$P$5:$P$292)</f>
        <v>0</v>
      </c>
    </row>
    <row r="34" customFormat="false" ht="15" hidden="false" customHeight="false" outlineLevel="0" collapsed="false">
      <c r="A34" s="53" t="n">
        <f aca="false">'Raw - Daily Energy'!A29</f>
        <v>45874</v>
      </c>
      <c r="B34" s="14" t="n">
        <f aca="false">COUNTIF('Raw - Sessions'!$R$5:$R$292,A34)</f>
        <v>0</v>
      </c>
      <c r="C34" s="38" t="n">
        <f aca="false">SUMIF('Raw - Sessions'!$R$5:$R$292,A34,'Raw - Sessions'!$D$5:$D$292)</f>
        <v>0</v>
      </c>
      <c r="D34" s="38" t="n">
        <f aca="false">SUMIF('Raw - Sessions'!$R$5:$R$292,A34,'Raw - Sessions'!$E$5:$E$292)</f>
        <v>0</v>
      </c>
      <c r="E34" s="38" t="n">
        <f aca="false">'Raw - Daily Energy'!B29</f>
        <v>0</v>
      </c>
      <c r="F34" s="42" t="n">
        <f aca="false">SUMIF('Raw - Sessions'!$R$5:$R$292,A34,'Raw - Sessions'!$P$5:$P$292)</f>
        <v>0</v>
      </c>
    </row>
    <row r="35" customFormat="false" ht="15" hidden="false" customHeight="false" outlineLevel="0" collapsed="false">
      <c r="A35" s="54" t="n">
        <f aca="false">'Raw - Daily Energy'!A30</f>
        <v>45875</v>
      </c>
      <c r="B35" s="17" t="n">
        <f aca="false">COUNTIF('Raw - Sessions'!$R$5:$R$292,A35)</f>
        <v>0</v>
      </c>
      <c r="C35" s="39" t="n">
        <f aca="false">SUMIF('Raw - Sessions'!$R$5:$R$292,A35,'Raw - Sessions'!$D$5:$D$292)</f>
        <v>0</v>
      </c>
      <c r="D35" s="39" t="n">
        <f aca="false">SUMIF('Raw - Sessions'!$R$5:$R$292,A35,'Raw - Sessions'!$E$5:$E$292)</f>
        <v>0</v>
      </c>
      <c r="E35" s="39" t="n">
        <f aca="false">'Raw - Daily Energy'!B30</f>
        <v>0</v>
      </c>
      <c r="F35" s="44" t="n">
        <f aca="false">SUMIF('Raw - Sessions'!$R$5:$R$292,A35,'Raw - Sessions'!$P$5:$P$292)</f>
        <v>0</v>
      </c>
    </row>
    <row r="36" customFormat="false" ht="15" hidden="false" customHeight="false" outlineLevel="0" collapsed="false">
      <c r="A36" s="53" t="n">
        <f aca="false">'Raw - Daily Energy'!A31</f>
        <v>45876</v>
      </c>
      <c r="B36" s="14" t="n">
        <f aca="false">COUNTIF('Raw - Sessions'!$R$5:$R$292,A36)</f>
        <v>0</v>
      </c>
      <c r="C36" s="38" t="n">
        <f aca="false">SUMIF('Raw - Sessions'!$R$5:$R$292,A36,'Raw - Sessions'!$D$5:$D$292)</f>
        <v>0</v>
      </c>
      <c r="D36" s="38" t="n">
        <f aca="false">SUMIF('Raw - Sessions'!$R$5:$R$292,A36,'Raw - Sessions'!$E$5:$E$292)</f>
        <v>0</v>
      </c>
      <c r="E36" s="38" t="n">
        <f aca="false">'Raw - Daily Energy'!B31</f>
        <v>0</v>
      </c>
      <c r="F36" s="42" t="n">
        <f aca="false">SUMIF('Raw - Sessions'!$R$5:$R$292,A36,'Raw - Sessions'!$P$5:$P$292)</f>
        <v>0</v>
      </c>
    </row>
    <row r="37" customFormat="false" ht="15" hidden="false" customHeight="false" outlineLevel="0" collapsed="false">
      <c r="A37" s="54" t="n">
        <f aca="false">'Raw - Daily Energy'!A32</f>
        <v>45877</v>
      </c>
      <c r="B37" s="17" t="n">
        <f aca="false">COUNTIF('Raw - Sessions'!$R$5:$R$292,A37)</f>
        <v>0</v>
      </c>
      <c r="C37" s="39" t="n">
        <f aca="false">SUMIF('Raw - Sessions'!$R$5:$R$292,A37,'Raw - Sessions'!$D$5:$D$292)</f>
        <v>0</v>
      </c>
      <c r="D37" s="39" t="n">
        <f aca="false">SUMIF('Raw - Sessions'!$R$5:$R$292,A37,'Raw - Sessions'!$E$5:$E$292)</f>
        <v>0</v>
      </c>
      <c r="E37" s="39" t="n">
        <f aca="false">'Raw - Daily Energy'!B32</f>
        <v>0</v>
      </c>
      <c r="F37" s="44" t="n">
        <f aca="false">SUMIF('Raw - Sessions'!$R$5:$R$292,A37,'Raw - Sessions'!$P$5:$P$292)</f>
        <v>0</v>
      </c>
    </row>
    <row r="38" customFormat="false" ht="15" hidden="false" customHeight="false" outlineLevel="0" collapsed="false">
      <c r="A38" s="53" t="n">
        <f aca="false">'Raw - Daily Energy'!A33</f>
        <v>45878</v>
      </c>
      <c r="B38" s="14" t="n">
        <f aca="false">COUNTIF('Raw - Sessions'!$R$5:$R$292,A38)</f>
        <v>0</v>
      </c>
      <c r="C38" s="38" t="n">
        <f aca="false">SUMIF('Raw - Sessions'!$R$5:$R$292,A38,'Raw - Sessions'!$D$5:$D$292)</f>
        <v>0</v>
      </c>
      <c r="D38" s="38" t="n">
        <f aca="false">SUMIF('Raw - Sessions'!$R$5:$R$292,A38,'Raw - Sessions'!$E$5:$E$292)</f>
        <v>0</v>
      </c>
      <c r="E38" s="38" t="n">
        <f aca="false">'Raw - Daily Energy'!B33</f>
        <v>0</v>
      </c>
      <c r="F38" s="42" t="n">
        <f aca="false">SUMIF('Raw - Sessions'!$R$5:$R$292,A38,'Raw - Sessions'!$P$5:$P$292)</f>
        <v>0</v>
      </c>
    </row>
    <row r="39" customFormat="false" ht="15" hidden="false" customHeight="false" outlineLevel="0" collapsed="false">
      <c r="A39" s="54" t="n">
        <f aca="false">'Raw - Daily Energy'!A34</f>
        <v>45879</v>
      </c>
      <c r="B39" s="17" t="n">
        <f aca="false">COUNTIF('Raw - Sessions'!$R$5:$R$292,A39)</f>
        <v>0</v>
      </c>
      <c r="C39" s="39" t="n">
        <f aca="false">SUMIF('Raw - Sessions'!$R$5:$R$292,A39,'Raw - Sessions'!$D$5:$D$292)</f>
        <v>0</v>
      </c>
      <c r="D39" s="39" t="n">
        <f aca="false">SUMIF('Raw - Sessions'!$R$5:$R$292,A39,'Raw - Sessions'!$E$5:$E$292)</f>
        <v>0</v>
      </c>
      <c r="E39" s="39" t="n">
        <f aca="false">'Raw - Daily Energy'!B34</f>
        <v>0</v>
      </c>
      <c r="F39" s="44" t="n">
        <f aca="false">SUMIF('Raw - Sessions'!$R$5:$R$292,A39,'Raw - Sessions'!$P$5:$P$292)</f>
        <v>0</v>
      </c>
    </row>
    <row r="40" customFormat="false" ht="15" hidden="false" customHeight="false" outlineLevel="0" collapsed="false">
      <c r="A40" s="53" t="n">
        <f aca="false">'Raw - Daily Energy'!A35</f>
        <v>45880</v>
      </c>
      <c r="B40" s="14" t="n">
        <f aca="false">COUNTIF('Raw - Sessions'!$R$5:$R$292,A40)</f>
        <v>0</v>
      </c>
      <c r="C40" s="38" t="n">
        <f aca="false">SUMIF('Raw - Sessions'!$R$5:$R$292,A40,'Raw - Sessions'!$D$5:$D$292)</f>
        <v>0</v>
      </c>
      <c r="D40" s="38" t="n">
        <f aca="false">SUMIF('Raw - Sessions'!$R$5:$R$292,A40,'Raw - Sessions'!$E$5:$E$292)</f>
        <v>0</v>
      </c>
      <c r="E40" s="38" t="n">
        <f aca="false">'Raw - Daily Energy'!B35</f>
        <v>0</v>
      </c>
      <c r="F40" s="42" t="n">
        <f aca="false">SUMIF('Raw - Sessions'!$R$5:$R$292,A40,'Raw - Sessions'!$P$5:$P$292)</f>
        <v>0</v>
      </c>
    </row>
    <row r="41" customFormat="false" ht="15" hidden="false" customHeight="false" outlineLevel="0" collapsed="false">
      <c r="A41" s="54" t="n">
        <f aca="false">'Raw - Daily Energy'!A36</f>
        <v>45881</v>
      </c>
      <c r="B41" s="17" t="n">
        <f aca="false">COUNTIF('Raw - Sessions'!$R$5:$R$292,A41)</f>
        <v>0</v>
      </c>
      <c r="C41" s="39" t="n">
        <f aca="false">SUMIF('Raw - Sessions'!$R$5:$R$292,A41,'Raw - Sessions'!$D$5:$D$292)</f>
        <v>0</v>
      </c>
      <c r="D41" s="39" t="n">
        <f aca="false">SUMIF('Raw - Sessions'!$R$5:$R$292,A41,'Raw - Sessions'!$E$5:$E$292)</f>
        <v>0</v>
      </c>
      <c r="E41" s="39" t="n">
        <f aca="false">'Raw - Daily Energy'!B36</f>
        <v>0</v>
      </c>
      <c r="F41" s="44" t="n">
        <f aca="false">SUMIF('Raw - Sessions'!$R$5:$R$292,A41,'Raw - Sessions'!$P$5:$P$292)</f>
        <v>0</v>
      </c>
    </row>
    <row r="42" customFormat="false" ht="15" hidden="false" customHeight="false" outlineLevel="0" collapsed="false">
      <c r="A42" s="53" t="n">
        <f aca="false">'Raw - Daily Energy'!A37</f>
        <v>45882</v>
      </c>
      <c r="B42" s="14" t="n">
        <f aca="false">COUNTIF('Raw - Sessions'!$R$5:$R$292,A42)</f>
        <v>0</v>
      </c>
      <c r="C42" s="38" t="n">
        <f aca="false">SUMIF('Raw - Sessions'!$R$5:$R$292,A42,'Raw - Sessions'!$D$5:$D$292)</f>
        <v>0</v>
      </c>
      <c r="D42" s="38" t="n">
        <f aca="false">SUMIF('Raw - Sessions'!$R$5:$R$292,A42,'Raw - Sessions'!$E$5:$E$292)</f>
        <v>0</v>
      </c>
      <c r="E42" s="38" t="n">
        <f aca="false">'Raw - Daily Energy'!B37</f>
        <v>0</v>
      </c>
      <c r="F42" s="42" t="n">
        <f aca="false">SUMIF('Raw - Sessions'!$R$5:$R$292,A42,'Raw - Sessions'!$P$5:$P$292)</f>
        <v>0</v>
      </c>
    </row>
    <row r="43" customFormat="false" ht="15" hidden="false" customHeight="false" outlineLevel="0" collapsed="false">
      <c r="A43" s="54" t="n">
        <f aca="false">'Raw - Daily Energy'!A38</f>
        <v>45883</v>
      </c>
      <c r="B43" s="17" t="n">
        <f aca="false">COUNTIF('Raw - Sessions'!$R$5:$R$292,A43)</f>
        <v>0</v>
      </c>
      <c r="C43" s="39" t="n">
        <f aca="false">SUMIF('Raw - Sessions'!$R$5:$R$292,A43,'Raw - Sessions'!$D$5:$D$292)</f>
        <v>0</v>
      </c>
      <c r="D43" s="39" t="n">
        <f aca="false">SUMIF('Raw - Sessions'!$R$5:$R$292,A43,'Raw - Sessions'!$E$5:$E$292)</f>
        <v>0</v>
      </c>
      <c r="E43" s="39" t="n">
        <f aca="false">'Raw - Daily Energy'!B38</f>
        <v>0</v>
      </c>
      <c r="F43" s="44" t="n">
        <f aca="false">SUMIF('Raw - Sessions'!$R$5:$R$292,A43,'Raw - Sessions'!$P$5:$P$292)</f>
        <v>0</v>
      </c>
    </row>
    <row r="44" customFormat="false" ht="15" hidden="false" customHeight="false" outlineLevel="0" collapsed="false">
      <c r="A44" s="53" t="n">
        <f aca="false">'Raw - Daily Energy'!A39</f>
        <v>45884</v>
      </c>
      <c r="B44" s="14" t="n">
        <f aca="false">COUNTIF('Raw - Sessions'!$R$5:$R$292,A44)</f>
        <v>0</v>
      </c>
      <c r="C44" s="38" t="n">
        <f aca="false">SUMIF('Raw - Sessions'!$R$5:$R$292,A44,'Raw - Sessions'!$D$5:$D$292)</f>
        <v>0</v>
      </c>
      <c r="D44" s="38" t="n">
        <f aca="false">SUMIF('Raw - Sessions'!$R$5:$R$292,A44,'Raw - Sessions'!$E$5:$E$292)</f>
        <v>0</v>
      </c>
      <c r="E44" s="38" t="n">
        <f aca="false">'Raw - Daily Energy'!B39</f>
        <v>0</v>
      </c>
      <c r="F44" s="42" t="n">
        <f aca="false">SUMIF('Raw - Sessions'!$R$5:$R$292,A44,'Raw - Sessions'!$P$5:$P$292)</f>
        <v>0</v>
      </c>
    </row>
    <row r="45" customFormat="false" ht="15" hidden="false" customHeight="false" outlineLevel="0" collapsed="false">
      <c r="A45" s="54" t="n">
        <f aca="false">'Raw - Daily Energy'!A40</f>
        <v>45885</v>
      </c>
      <c r="B45" s="17" t="n">
        <f aca="false">COUNTIF('Raw - Sessions'!$R$5:$R$292,A45)</f>
        <v>0</v>
      </c>
      <c r="C45" s="39" t="n">
        <f aca="false">SUMIF('Raw - Sessions'!$R$5:$R$292,A45,'Raw - Sessions'!$D$5:$D$292)</f>
        <v>0</v>
      </c>
      <c r="D45" s="39" t="n">
        <f aca="false">SUMIF('Raw - Sessions'!$R$5:$R$292,A45,'Raw - Sessions'!$E$5:$E$292)</f>
        <v>0</v>
      </c>
      <c r="E45" s="39" t="n">
        <f aca="false">'Raw - Daily Energy'!B40</f>
        <v>0</v>
      </c>
      <c r="F45" s="44" t="n">
        <f aca="false">SUMIF('Raw - Sessions'!$R$5:$R$292,A45,'Raw - Sessions'!$P$5:$P$292)</f>
        <v>0</v>
      </c>
    </row>
    <row r="46" customFormat="false" ht="15" hidden="false" customHeight="false" outlineLevel="0" collapsed="false">
      <c r="A46" s="53" t="n">
        <f aca="false">'Raw - Daily Energy'!A41</f>
        <v>45886</v>
      </c>
      <c r="B46" s="14" t="n">
        <f aca="false">COUNTIF('Raw - Sessions'!$R$5:$R$292,A46)</f>
        <v>0</v>
      </c>
      <c r="C46" s="38" t="n">
        <f aca="false">SUMIF('Raw - Sessions'!$R$5:$R$292,A46,'Raw - Sessions'!$D$5:$D$292)</f>
        <v>0</v>
      </c>
      <c r="D46" s="38" t="n">
        <f aca="false">SUMIF('Raw - Sessions'!$R$5:$R$292,A46,'Raw - Sessions'!$E$5:$E$292)</f>
        <v>0</v>
      </c>
      <c r="E46" s="38" t="n">
        <f aca="false">'Raw - Daily Energy'!B41</f>
        <v>0</v>
      </c>
      <c r="F46" s="42" t="n">
        <f aca="false">SUMIF('Raw - Sessions'!$R$5:$R$292,A46,'Raw - Sessions'!$P$5:$P$292)</f>
        <v>0</v>
      </c>
    </row>
    <row r="47" customFormat="false" ht="15" hidden="false" customHeight="false" outlineLevel="0" collapsed="false">
      <c r="A47" s="54" t="n">
        <f aca="false">'Raw - Daily Energy'!A42</f>
        <v>45887</v>
      </c>
      <c r="B47" s="17" t="n">
        <f aca="false">COUNTIF('Raw - Sessions'!$R$5:$R$292,A47)</f>
        <v>0</v>
      </c>
      <c r="C47" s="39" t="n">
        <f aca="false">SUMIF('Raw - Sessions'!$R$5:$R$292,A47,'Raw - Sessions'!$D$5:$D$292)</f>
        <v>0</v>
      </c>
      <c r="D47" s="39" t="n">
        <f aca="false">SUMIF('Raw - Sessions'!$R$5:$R$292,A47,'Raw - Sessions'!$E$5:$E$292)</f>
        <v>0</v>
      </c>
      <c r="E47" s="39" t="n">
        <f aca="false">'Raw - Daily Energy'!B42</f>
        <v>0</v>
      </c>
      <c r="F47" s="44" t="n">
        <f aca="false">SUMIF('Raw - Sessions'!$R$5:$R$292,A47,'Raw - Sessions'!$P$5:$P$292)</f>
        <v>0</v>
      </c>
    </row>
    <row r="48" customFormat="false" ht="15" hidden="false" customHeight="false" outlineLevel="0" collapsed="false">
      <c r="A48" s="53" t="n">
        <f aca="false">'Raw - Daily Energy'!A43</f>
        <v>45888</v>
      </c>
      <c r="B48" s="14" t="n">
        <f aca="false">COUNTIF('Raw - Sessions'!$R$5:$R$292,A48)</f>
        <v>0</v>
      </c>
      <c r="C48" s="38" t="n">
        <f aca="false">SUMIF('Raw - Sessions'!$R$5:$R$292,A48,'Raw - Sessions'!$D$5:$D$292)</f>
        <v>0</v>
      </c>
      <c r="D48" s="38" t="n">
        <f aca="false">SUMIF('Raw - Sessions'!$R$5:$R$292,A48,'Raw - Sessions'!$E$5:$E$292)</f>
        <v>0</v>
      </c>
      <c r="E48" s="38" t="n">
        <f aca="false">'Raw - Daily Energy'!B43</f>
        <v>0</v>
      </c>
      <c r="F48" s="42" t="n">
        <f aca="false">SUMIF('Raw - Sessions'!$R$5:$R$292,A48,'Raw - Sessions'!$P$5:$P$292)</f>
        <v>0</v>
      </c>
    </row>
    <row r="49" customFormat="false" ht="15" hidden="false" customHeight="false" outlineLevel="0" collapsed="false">
      <c r="A49" s="54" t="n">
        <f aca="false">'Raw - Daily Energy'!A44</f>
        <v>45889</v>
      </c>
      <c r="B49" s="17" t="n">
        <f aca="false">COUNTIF('Raw - Sessions'!$R$5:$R$292,A49)</f>
        <v>0</v>
      </c>
      <c r="C49" s="39" t="n">
        <f aca="false">SUMIF('Raw - Sessions'!$R$5:$R$292,A49,'Raw - Sessions'!$D$5:$D$292)</f>
        <v>0</v>
      </c>
      <c r="D49" s="39" t="n">
        <f aca="false">SUMIF('Raw - Sessions'!$R$5:$R$292,A49,'Raw - Sessions'!$E$5:$E$292)</f>
        <v>0</v>
      </c>
      <c r="E49" s="39" t="n">
        <f aca="false">'Raw - Daily Energy'!B44</f>
        <v>0</v>
      </c>
      <c r="F49" s="44" t="n">
        <f aca="false">SUMIF('Raw - Sessions'!$R$5:$R$292,A49,'Raw - Sessions'!$P$5:$P$292)</f>
        <v>0</v>
      </c>
    </row>
    <row r="50" customFormat="false" ht="15" hidden="false" customHeight="false" outlineLevel="0" collapsed="false">
      <c r="A50" s="53" t="n">
        <f aca="false">'Raw - Daily Energy'!A45</f>
        <v>45890</v>
      </c>
      <c r="B50" s="14" t="n">
        <f aca="false">COUNTIF('Raw - Sessions'!$R$5:$R$292,A50)</f>
        <v>0</v>
      </c>
      <c r="C50" s="38" t="n">
        <f aca="false">SUMIF('Raw - Sessions'!$R$5:$R$292,A50,'Raw - Sessions'!$D$5:$D$292)</f>
        <v>0</v>
      </c>
      <c r="D50" s="38" t="n">
        <f aca="false">SUMIF('Raw - Sessions'!$R$5:$R$292,A50,'Raw - Sessions'!$E$5:$E$292)</f>
        <v>0</v>
      </c>
      <c r="E50" s="38" t="n">
        <f aca="false">'Raw - Daily Energy'!B45</f>
        <v>0</v>
      </c>
      <c r="F50" s="42" t="n">
        <f aca="false">SUMIF('Raw - Sessions'!$R$5:$R$292,A50,'Raw - Sessions'!$P$5:$P$292)</f>
        <v>0</v>
      </c>
    </row>
    <row r="51" customFormat="false" ht="15" hidden="false" customHeight="false" outlineLevel="0" collapsed="false">
      <c r="A51" s="54" t="n">
        <f aca="false">'Raw - Daily Energy'!A46</f>
        <v>45891</v>
      </c>
      <c r="B51" s="17" t="n">
        <f aca="false">COUNTIF('Raw - Sessions'!$R$5:$R$292,A51)</f>
        <v>0</v>
      </c>
      <c r="C51" s="39" t="n">
        <f aca="false">SUMIF('Raw - Sessions'!$R$5:$R$292,A51,'Raw - Sessions'!$D$5:$D$292)</f>
        <v>0</v>
      </c>
      <c r="D51" s="39" t="n">
        <f aca="false">SUMIF('Raw - Sessions'!$R$5:$R$292,A51,'Raw - Sessions'!$E$5:$E$292)</f>
        <v>0</v>
      </c>
      <c r="E51" s="39" t="n">
        <f aca="false">'Raw - Daily Energy'!B46</f>
        <v>0</v>
      </c>
      <c r="F51" s="44" t="n">
        <f aca="false">SUMIF('Raw - Sessions'!$R$5:$R$292,A51,'Raw - Sessions'!$P$5:$P$292)</f>
        <v>0</v>
      </c>
    </row>
    <row r="52" customFormat="false" ht="15" hidden="false" customHeight="false" outlineLevel="0" collapsed="false">
      <c r="A52" s="53" t="n">
        <f aca="false">'Raw - Daily Energy'!A47</f>
        <v>45892</v>
      </c>
      <c r="B52" s="14" t="n">
        <f aca="false">COUNTIF('Raw - Sessions'!$R$5:$R$292,A52)</f>
        <v>0</v>
      </c>
      <c r="C52" s="38" t="n">
        <f aca="false">SUMIF('Raw - Sessions'!$R$5:$R$292,A52,'Raw - Sessions'!$D$5:$D$292)</f>
        <v>0</v>
      </c>
      <c r="D52" s="38" t="n">
        <f aca="false">SUMIF('Raw - Sessions'!$R$5:$R$292,A52,'Raw - Sessions'!$E$5:$E$292)</f>
        <v>0</v>
      </c>
      <c r="E52" s="38" t="n">
        <f aca="false">'Raw - Daily Energy'!B47</f>
        <v>0</v>
      </c>
      <c r="F52" s="42" t="n">
        <f aca="false">SUMIF('Raw - Sessions'!$R$5:$R$292,A52,'Raw - Sessions'!$P$5:$P$292)</f>
        <v>0</v>
      </c>
    </row>
    <row r="53" customFormat="false" ht="15" hidden="false" customHeight="false" outlineLevel="0" collapsed="false">
      <c r="A53" s="54" t="n">
        <f aca="false">'Raw - Daily Energy'!A48</f>
        <v>45893</v>
      </c>
      <c r="B53" s="17" t="n">
        <f aca="false">COUNTIF('Raw - Sessions'!$R$5:$R$292,A53)</f>
        <v>0</v>
      </c>
      <c r="C53" s="39" t="n">
        <f aca="false">SUMIF('Raw - Sessions'!$R$5:$R$292,A53,'Raw - Sessions'!$D$5:$D$292)</f>
        <v>0</v>
      </c>
      <c r="D53" s="39" t="n">
        <f aca="false">SUMIF('Raw - Sessions'!$R$5:$R$292,A53,'Raw - Sessions'!$E$5:$E$292)</f>
        <v>0</v>
      </c>
      <c r="E53" s="39" t="n">
        <f aca="false">'Raw - Daily Energy'!B48</f>
        <v>0</v>
      </c>
      <c r="F53" s="44" t="n">
        <f aca="false">SUMIF('Raw - Sessions'!$R$5:$R$292,A53,'Raw - Sessions'!$P$5:$P$292)</f>
        <v>0</v>
      </c>
    </row>
    <row r="54" customFormat="false" ht="15" hidden="false" customHeight="false" outlineLevel="0" collapsed="false">
      <c r="A54" s="53" t="n">
        <f aca="false">'Raw - Daily Energy'!A49</f>
        <v>45894</v>
      </c>
      <c r="B54" s="14" t="n">
        <f aca="false">COUNTIF('Raw - Sessions'!$R$5:$R$292,A54)</f>
        <v>0</v>
      </c>
      <c r="C54" s="38" t="n">
        <f aca="false">SUMIF('Raw - Sessions'!$R$5:$R$292,A54,'Raw - Sessions'!$D$5:$D$292)</f>
        <v>0</v>
      </c>
      <c r="D54" s="38" t="n">
        <f aca="false">SUMIF('Raw - Sessions'!$R$5:$R$292,A54,'Raw - Sessions'!$E$5:$E$292)</f>
        <v>0</v>
      </c>
      <c r="E54" s="38" t="n">
        <f aca="false">'Raw - Daily Energy'!B49</f>
        <v>0</v>
      </c>
      <c r="F54" s="42" t="n">
        <f aca="false">SUMIF('Raw - Sessions'!$R$5:$R$292,A54,'Raw - Sessions'!$P$5:$P$292)</f>
        <v>0</v>
      </c>
    </row>
    <row r="55" customFormat="false" ht="15" hidden="false" customHeight="false" outlineLevel="0" collapsed="false">
      <c r="A55" s="54" t="n">
        <f aca="false">'Raw - Daily Energy'!A50</f>
        <v>45895</v>
      </c>
      <c r="B55" s="17" t="n">
        <f aca="false">COUNTIF('Raw - Sessions'!$R$5:$R$292,A55)</f>
        <v>0</v>
      </c>
      <c r="C55" s="39" t="n">
        <f aca="false">SUMIF('Raw - Sessions'!$R$5:$R$292,A55,'Raw - Sessions'!$D$5:$D$292)</f>
        <v>0</v>
      </c>
      <c r="D55" s="39" t="n">
        <f aca="false">SUMIF('Raw - Sessions'!$R$5:$R$292,A55,'Raw - Sessions'!$E$5:$E$292)</f>
        <v>0</v>
      </c>
      <c r="E55" s="39" t="n">
        <f aca="false">'Raw - Daily Energy'!B50</f>
        <v>0</v>
      </c>
      <c r="F55" s="44" t="n">
        <f aca="false">SUMIF('Raw - Sessions'!$R$5:$R$292,A55,'Raw - Sessions'!$P$5:$P$292)</f>
        <v>0</v>
      </c>
    </row>
    <row r="56" customFormat="false" ht="15" hidden="false" customHeight="false" outlineLevel="0" collapsed="false">
      <c r="A56" s="53" t="n">
        <f aca="false">'Raw - Daily Energy'!A51</f>
        <v>45896</v>
      </c>
      <c r="B56" s="14" t="n">
        <f aca="false">COUNTIF('Raw - Sessions'!$R$5:$R$292,A56)</f>
        <v>0</v>
      </c>
      <c r="C56" s="38" t="n">
        <f aca="false">SUMIF('Raw - Sessions'!$R$5:$R$292,A56,'Raw - Sessions'!$D$5:$D$292)</f>
        <v>0</v>
      </c>
      <c r="D56" s="38" t="n">
        <f aca="false">SUMIF('Raw - Sessions'!$R$5:$R$292,A56,'Raw - Sessions'!$E$5:$E$292)</f>
        <v>0</v>
      </c>
      <c r="E56" s="38" t="n">
        <f aca="false">'Raw - Daily Energy'!B51</f>
        <v>0</v>
      </c>
      <c r="F56" s="42" t="n">
        <f aca="false">SUMIF('Raw - Sessions'!$R$5:$R$292,A56,'Raw - Sessions'!$P$5:$P$292)</f>
        <v>0</v>
      </c>
    </row>
    <row r="57" customFormat="false" ht="15" hidden="false" customHeight="false" outlineLevel="0" collapsed="false">
      <c r="A57" s="54" t="n">
        <f aca="false">'Raw - Daily Energy'!A52</f>
        <v>45897</v>
      </c>
      <c r="B57" s="17" t="n">
        <f aca="false">COUNTIF('Raw - Sessions'!$R$5:$R$292,A57)</f>
        <v>0</v>
      </c>
      <c r="C57" s="39" t="n">
        <f aca="false">SUMIF('Raw - Sessions'!$R$5:$R$292,A57,'Raw - Sessions'!$D$5:$D$292)</f>
        <v>0</v>
      </c>
      <c r="D57" s="39" t="n">
        <f aca="false">SUMIF('Raw - Sessions'!$R$5:$R$292,A57,'Raw - Sessions'!$E$5:$E$292)</f>
        <v>0</v>
      </c>
      <c r="E57" s="39" t="n">
        <f aca="false">'Raw - Daily Energy'!B52</f>
        <v>0</v>
      </c>
      <c r="F57" s="44" t="n">
        <f aca="false">SUMIF('Raw - Sessions'!$R$5:$R$292,A57,'Raw - Sessions'!$P$5:$P$292)</f>
        <v>0</v>
      </c>
    </row>
    <row r="58" customFormat="false" ht="15" hidden="false" customHeight="false" outlineLevel="0" collapsed="false">
      <c r="A58" s="53" t="n">
        <f aca="false">'Raw - Daily Energy'!A53</f>
        <v>45898</v>
      </c>
      <c r="B58" s="14" t="n">
        <f aca="false">COUNTIF('Raw - Sessions'!$R$5:$R$292,A58)</f>
        <v>0</v>
      </c>
      <c r="C58" s="38" t="n">
        <f aca="false">SUMIF('Raw - Sessions'!$R$5:$R$292,A58,'Raw - Sessions'!$D$5:$D$292)</f>
        <v>0</v>
      </c>
      <c r="D58" s="38" t="n">
        <f aca="false">SUMIF('Raw - Sessions'!$R$5:$R$292,A58,'Raw - Sessions'!$E$5:$E$292)</f>
        <v>0</v>
      </c>
      <c r="E58" s="38" t="n">
        <f aca="false">'Raw - Daily Energy'!B53</f>
        <v>0</v>
      </c>
      <c r="F58" s="42" t="n">
        <f aca="false">SUMIF('Raw - Sessions'!$R$5:$R$292,A58,'Raw - Sessions'!$P$5:$P$292)</f>
        <v>0</v>
      </c>
    </row>
    <row r="59" customFormat="false" ht="15" hidden="false" customHeight="false" outlineLevel="0" collapsed="false">
      <c r="A59" s="54" t="n">
        <f aca="false">'Raw - Daily Energy'!A54</f>
        <v>45899</v>
      </c>
      <c r="B59" s="17" t="n">
        <f aca="false">COUNTIF('Raw - Sessions'!$R$5:$R$292,A59)</f>
        <v>0</v>
      </c>
      <c r="C59" s="39" t="n">
        <f aca="false">SUMIF('Raw - Sessions'!$R$5:$R$292,A59,'Raw - Sessions'!$D$5:$D$292)</f>
        <v>0</v>
      </c>
      <c r="D59" s="39" t="n">
        <f aca="false">SUMIF('Raw - Sessions'!$R$5:$R$292,A59,'Raw - Sessions'!$E$5:$E$292)</f>
        <v>0</v>
      </c>
      <c r="E59" s="39" t="n">
        <f aca="false">'Raw - Daily Energy'!B54</f>
        <v>0</v>
      </c>
      <c r="F59" s="44" t="n">
        <f aca="false">SUMIF('Raw - Sessions'!$R$5:$R$292,A59,'Raw - Sessions'!$P$5:$P$292)</f>
        <v>0</v>
      </c>
    </row>
    <row r="60" customFormat="false" ht="15" hidden="false" customHeight="false" outlineLevel="0" collapsed="false">
      <c r="A60" s="53" t="n">
        <f aca="false">'Raw - Daily Energy'!A55</f>
        <v>45900</v>
      </c>
      <c r="B60" s="14" t="n">
        <f aca="false">COUNTIF('Raw - Sessions'!$R$5:$R$292,A60)</f>
        <v>0</v>
      </c>
      <c r="C60" s="38" t="n">
        <f aca="false">SUMIF('Raw - Sessions'!$R$5:$R$292,A60,'Raw - Sessions'!$D$5:$D$292)</f>
        <v>0</v>
      </c>
      <c r="D60" s="38" t="n">
        <f aca="false">SUMIF('Raw - Sessions'!$R$5:$R$292,A60,'Raw - Sessions'!$E$5:$E$292)</f>
        <v>0</v>
      </c>
      <c r="E60" s="38" t="n">
        <f aca="false">'Raw - Daily Energy'!B55</f>
        <v>0</v>
      </c>
      <c r="F60" s="42" t="n">
        <f aca="false">SUMIF('Raw - Sessions'!$R$5:$R$292,A60,'Raw - Sessions'!$P$5:$P$292)</f>
        <v>0</v>
      </c>
    </row>
    <row r="61" customFormat="false" ht="15" hidden="false" customHeight="false" outlineLevel="0" collapsed="false">
      <c r="A61" s="54" t="n">
        <f aca="false">'Raw - Daily Energy'!A56</f>
        <v>45901</v>
      </c>
      <c r="B61" s="17" t="n">
        <f aca="false">COUNTIF('Raw - Sessions'!$R$5:$R$292,A61)</f>
        <v>0</v>
      </c>
      <c r="C61" s="39" t="n">
        <f aca="false">SUMIF('Raw - Sessions'!$R$5:$R$292,A61,'Raw - Sessions'!$D$5:$D$292)</f>
        <v>0</v>
      </c>
      <c r="D61" s="39" t="n">
        <f aca="false">SUMIF('Raw - Sessions'!$R$5:$R$292,A61,'Raw - Sessions'!$E$5:$E$292)</f>
        <v>0</v>
      </c>
      <c r="E61" s="39" t="n">
        <f aca="false">'Raw - Daily Energy'!B56</f>
        <v>0</v>
      </c>
      <c r="F61" s="44" t="n">
        <f aca="false">SUMIF('Raw - Sessions'!$R$5:$R$292,A61,'Raw - Sessions'!$P$5:$P$292)</f>
        <v>0</v>
      </c>
    </row>
    <row r="62" customFormat="false" ht="15" hidden="false" customHeight="false" outlineLevel="0" collapsed="false">
      <c r="A62" s="53" t="n">
        <f aca="false">'Raw - Daily Energy'!A57</f>
        <v>45902</v>
      </c>
      <c r="B62" s="14" t="n">
        <f aca="false">COUNTIF('Raw - Sessions'!$R$5:$R$292,A62)</f>
        <v>0</v>
      </c>
      <c r="C62" s="38" t="n">
        <f aca="false">SUMIF('Raw - Sessions'!$R$5:$R$292,A62,'Raw - Sessions'!$D$5:$D$292)</f>
        <v>0</v>
      </c>
      <c r="D62" s="38" t="n">
        <f aca="false">SUMIF('Raw - Sessions'!$R$5:$R$292,A62,'Raw - Sessions'!$E$5:$E$292)</f>
        <v>0</v>
      </c>
      <c r="E62" s="38" t="n">
        <f aca="false">'Raw - Daily Energy'!B57</f>
        <v>0</v>
      </c>
      <c r="F62" s="42" t="n">
        <f aca="false">SUMIF('Raw - Sessions'!$R$5:$R$292,A62,'Raw - Sessions'!$P$5:$P$292)</f>
        <v>0</v>
      </c>
    </row>
    <row r="63" customFormat="false" ht="15" hidden="false" customHeight="false" outlineLevel="0" collapsed="false">
      <c r="A63" s="54" t="n">
        <f aca="false">'Raw - Daily Energy'!A58</f>
        <v>45903</v>
      </c>
      <c r="B63" s="17" t="n">
        <f aca="false">COUNTIF('Raw - Sessions'!$R$5:$R$292,A63)</f>
        <v>0</v>
      </c>
      <c r="C63" s="39" t="n">
        <f aca="false">SUMIF('Raw - Sessions'!$R$5:$R$292,A63,'Raw - Sessions'!$D$5:$D$292)</f>
        <v>0</v>
      </c>
      <c r="D63" s="39" t="n">
        <f aca="false">SUMIF('Raw - Sessions'!$R$5:$R$292,A63,'Raw - Sessions'!$E$5:$E$292)</f>
        <v>0</v>
      </c>
      <c r="E63" s="39" t="n">
        <f aca="false">'Raw - Daily Energy'!B58</f>
        <v>0</v>
      </c>
      <c r="F63" s="44" t="n">
        <f aca="false">SUMIF('Raw - Sessions'!$R$5:$R$292,A63,'Raw - Sessions'!$P$5:$P$292)</f>
        <v>0</v>
      </c>
    </row>
    <row r="64" customFormat="false" ht="15" hidden="false" customHeight="false" outlineLevel="0" collapsed="false">
      <c r="A64" s="53" t="n">
        <f aca="false">'Raw - Daily Energy'!A59</f>
        <v>45904</v>
      </c>
      <c r="B64" s="14" t="n">
        <f aca="false">COUNTIF('Raw - Sessions'!$R$5:$R$292,A64)</f>
        <v>0</v>
      </c>
      <c r="C64" s="38" t="n">
        <f aca="false">SUMIF('Raw - Sessions'!$R$5:$R$292,A64,'Raw - Sessions'!$D$5:$D$292)</f>
        <v>0</v>
      </c>
      <c r="D64" s="38" t="n">
        <f aca="false">SUMIF('Raw - Sessions'!$R$5:$R$292,A64,'Raw - Sessions'!$E$5:$E$292)</f>
        <v>0</v>
      </c>
      <c r="E64" s="38" t="n">
        <f aca="false">'Raw - Daily Energy'!B59</f>
        <v>0</v>
      </c>
      <c r="F64" s="42" t="n">
        <f aca="false">SUMIF('Raw - Sessions'!$R$5:$R$292,A64,'Raw - Sessions'!$P$5:$P$292)</f>
        <v>0</v>
      </c>
    </row>
    <row r="65" customFormat="false" ht="15" hidden="false" customHeight="false" outlineLevel="0" collapsed="false">
      <c r="A65" s="54" t="n">
        <f aca="false">'Raw - Daily Energy'!A60</f>
        <v>45905</v>
      </c>
      <c r="B65" s="17" t="n">
        <f aca="false">COUNTIF('Raw - Sessions'!$R$5:$R$292,A65)</f>
        <v>0</v>
      </c>
      <c r="C65" s="39" t="n">
        <f aca="false">SUMIF('Raw - Sessions'!$R$5:$R$292,A65,'Raw - Sessions'!$D$5:$D$292)</f>
        <v>0</v>
      </c>
      <c r="D65" s="39" t="n">
        <f aca="false">SUMIF('Raw - Sessions'!$R$5:$R$292,A65,'Raw - Sessions'!$E$5:$E$292)</f>
        <v>0</v>
      </c>
      <c r="E65" s="39" t="n">
        <f aca="false">'Raw - Daily Energy'!B60</f>
        <v>0</v>
      </c>
      <c r="F65" s="44" t="n">
        <f aca="false">SUMIF('Raw - Sessions'!$R$5:$R$292,A65,'Raw - Sessions'!$P$5:$P$292)</f>
        <v>0</v>
      </c>
    </row>
    <row r="66" customFormat="false" ht="15" hidden="false" customHeight="false" outlineLevel="0" collapsed="false">
      <c r="A66" s="53" t="n">
        <f aca="false">'Raw - Daily Energy'!A61</f>
        <v>45906</v>
      </c>
      <c r="B66" s="14" t="n">
        <f aca="false">COUNTIF('Raw - Sessions'!$R$5:$R$292,A66)</f>
        <v>0</v>
      </c>
      <c r="C66" s="38" t="n">
        <f aca="false">SUMIF('Raw - Sessions'!$R$5:$R$292,A66,'Raw - Sessions'!$D$5:$D$292)</f>
        <v>0</v>
      </c>
      <c r="D66" s="38" t="n">
        <f aca="false">SUMIF('Raw - Sessions'!$R$5:$R$292,A66,'Raw - Sessions'!$E$5:$E$292)</f>
        <v>0</v>
      </c>
      <c r="E66" s="38" t="n">
        <f aca="false">'Raw - Daily Energy'!B61</f>
        <v>0</v>
      </c>
      <c r="F66" s="42" t="n">
        <f aca="false">SUMIF('Raw - Sessions'!$R$5:$R$292,A66,'Raw - Sessions'!$P$5:$P$292)</f>
        <v>0</v>
      </c>
    </row>
    <row r="67" customFormat="false" ht="15" hidden="false" customHeight="false" outlineLevel="0" collapsed="false">
      <c r="A67" s="54" t="n">
        <f aca="false">'Raw - Daily Energy'!A62</f>
        <v>45907</v>
      </c>
      <c r="B67" s="17" t="n">
        <f aca="false">COUNTIF('Raw - Sessions'!$R$5:$R$292,A67)</f>
        <v>0</v>
      </c>
      <c r="C67" s="39" t="n">
        <f aca="false">SUMIF('Raw - Sessions'!$R$5:$R$292,A67,'Raw - Sessions'!$D$5:$D$292)</f>
        <v>0</v>
      </c>
      <c r="D67" s="39" t="n">
        <f aca="false">SUMIF('Raw - Sessions'!$R$5:$R$292,A67,'Raw - Sessions'!$E$5:$E$292)</f>
        <v>0</v>
      </c>
      <c r="E67" s="39" t="n">
        <f aca="false">'Raw - Daily Energy'!B62</f>
        <v>0</v>
      </c>
      <c r="F67" s="44" t="n">
        <f aca="false">SUMIF('Raw - Sessions'!$R$5:$R$292,A67,'Raw - Sessions'!$P$5:$P$292)</f>
        <v>0</v>
      </c>
    </row>
    <row r="68" customFormat="false" ht="15" hidden="false" customHeight="false" outlineLevel="0" collapsed="false">
      <c r="A68" s="53" t="n">
        <f aca="false">'Raw - Daily Energy'!A63</f>
        <v>45908</v>
      </c>
      <c r="B68" s="14" t="n">
        <f aca="false">COUNTIF('Raw - Sessions'!$R$5:$R$292,A68)</f>
        <v>0</v>
      </c>
      <c r="C68" s="38" t="n">
        <f aca="false">SUMIF('Raw - Sessions'!$R$5:$R$292,A68,'Raw - Sessions'!$D$5:$D$292)</f>
        <v>0</v>
      </c>
      <c r="D68" s="38" t="n">
        <f aca="false">SUMIF('Raw - Sessions'!$R$5:$R$292,A68,'Raw - Sessions'!$E$5:$E$292)</f>
        <v>0</v>
      </c>
      <c r="E68" s="38" t="n">
        <f aca="false">'Raw - Daily Energy'!B63</f>
        <v>0</v>
      </c>
      <c r="F68" s="42" t="n">
        <f aca="false">SUMIF('Raw - Sessions'!$R$5:$R$292,A68,'Raw - Sessions'!$P$5:$P$292)</f>
        <v>0</v>
      </c>
    </row>
    <row r="69" customFormat="false" ht="15" hidden="false" customHeight="false" outlineLevel="0" collapsed="false">
      <c r="A69" s="54" t="n">
        <f aca="false">'Raw - Daily Energy'!A64</f>
        <v>45909</v>
      </c>
      <c r="B69" s="17" t="n">
        <f aca="false">COUNTIF('Raw - Sessions'!$R$5:$R$292,A69)</f>
        <v>0</v>
      </c>
      <c r="C69" s="39" t="n">
        <f aca="false">SUMIF('Raw - Sessions'!$R$5:$R$292,A69,'Raw - Sessions'!$D$5:$D$292)</f>
        <v>0</v>
      </c>
      <c r="D69" s="39" t="n">
        <f aca="false">SUMIF('Raw - Sessions'!$R$5:$R$292,A69,'Raw - Sessions'!$E$5:$E$292)</f>
        <v>0</v>
      </c>
      <c r="E69" s="39" t="n">
        <f aca="false">'Raw - Daily Energy'!B64</f>
        <v>0</v>
      </c>
      <c r="F69" s="44" t="n">
        <f aca="false">SUMIF('Raw - Sessions'!$R$5:$R$292,A69,'Raw - Sessions'!$P$5:$P$292)</f>
        <v>0</v>
      </c>
    </row>
    <row r="70" customFormat="false" ht="15" hidden="false" customHeight="false" outlineLevel="0" collapsed="false">
      <c r="A70" s="53" t="n">
        <f aca="false">'Raw - Daily Energy'!A65</f>
        <v>45910</v>
      </c>
      <c r="B70" s="14" t="n">
        <f aca="false">COUNTIF('Raw - Sessions'!$R$5:$R$292,A70)</f>
        <v>0</v>
      </c>
      <c r="C70" s="38" t="n">
        <f aca="false">SUMIF('Raw - Sessions'!$R$5:$R$292,A70,'Raw - Sessions'!$D$5:$D$292)</f>
        <v>0</v>
      </c>
      <c r="D70" s="38" t="n">
        <f aca="false">SUMIF('Raw - Sessions'!$R$5:$R$292,A70,'Raw - Sessions'!$E$5:$E$292)</f>
        <v>0</v>
      </c>
      <c r="E70" s="38" t="n">
        <f aca="false">'Raw - Daily Energy'!B65</f>
        <v>0</v>
      </c>
      <c r="F70" s="42" t="n">
        <f aca="false">SUMIF('Raw - Sessions'!$R$5:$R$292,A70,'Raw - Sessions'!$P$5:$P$292)</f>
        <v>0</v>
      </c>
    </row>
    <row r="71" customFormat="false" ht="15" hidden="false" customHeight="false" outlineLevel="0" collapsed="false">
      <c r="A71" s="54" t="n">
        <f aca="false">'Raw - Daily Energy'!A66</f>
        <v>45911</v>
      </c>
      <c r="B71" s="17" t="n">
        <f aca="false">COUNTIF('Raw - Sessions'!$R$5:$R$292,A71)</f>
        <v>0</v>
      </c>
      <c r="C71" s="39" t="n">
        <f aca="false">SUMIF('Raw - Sessions'!$R$5:$R$292,A71,'Raw - Sessions'!$D$5:$D$292)</f>
        <v>0</v>
      </c>
      <c r="D71" s="39" t="n">
        <f aca="false">SUMIF('Raw - Sessions'!$R$5:$R$292,A71,'Raw - Sessions'!$E$5:$E$292)</f>
        <v>0</v>
      </c>
      <c r="E71" s="39" t="n">
        <f aca="false">'Raw - Daily Energy'!B66</f>
        <v>0</v>
      </c>
      <c r="F71" s="44" t="n">
        <f aca="false">SUMIF('Raw - Sessions'!$R$5:$R$292,A71,'Raw - Sessions'!$P$5:$P$292)</f>
        <v>0</v>
      </c>
    </row>
    <row r="72" customFormat="false" ht="15" hidden="false" customHeight="false" outlineLevel="0" collapsed="false">
      <c r="A72" s="53" t="n">
        <f aca="false">'Raw - Daily Energy'!A67</f>
        <v>45912</v>
      </c>
      <c r="B72" s="14" t="n">
        <f aca="false">COUNTIF('Raw - Sessions'!$R$5:$R$292,A72)</f>
        <v>0</v>
      </c>
      <c r="C72" s="38" t="n">
        <f aca="false">SUMIF('Raw - Sessions'!$R$5:$R$292,A72,'Raw - Sessions'!$D$5:$D$292)</f>
        <v>0</v>
      </c>
      <c r="D72" s="38" t="n">
        <f aca="false">SUMIF('Raw - Sessions'!$R$5:$R$292,A72,'Raw - Sessions'!$E$5:$E$292)</f>
        <v>0</v>
      </c>
      <c r="E72" s="38" t="n">
        <f aca="false">'Raw - Daily Energy'!B67</f>
        <v>0</v>
      </c>
      <c r="F72" s="42" t="n">
        <f aca="false">SUMIF('Raw - Sessions'!$R$5:$R$292,A72,'Raw - Sessions'!$P$5:$P$292)</f>
        <v>0</v>
      </c>
    </row>
    <row r="73" customFormat="false" ht="15" hidden="false" customHeight="false" outlineLevel="0" collapsed="false">
      <c r="A73" s="54" t="n">
        <f aca="false">'Raw - Daily Energy'!A68</f>
        <v>45913</v>
      </c>
      <c r="B73" s="17" t="n">
        <f aca="false">COUNTIF('Raw - Sessions'!$R$5:$R$292,A73)</f>
        <v>0</v>
      </c>
      <c r="C73" s="39" t="n">
        <f aca="false">SUMIF('Raw - Sessions'!$R$5:$R$292,A73,'Raw - Sessions'!$D$5:$D$292)</f>
        <v>0</v>
      </c>
      <c r="D73" s="39" t="n">
        <f aca="false">SUMIF('Raw - Sessions'!$R$5:$R$292,A73,'Raw - Sessions'!$E$5:$E$292)</f>
        <v>0</v>
      </c>
      <c r="E73" s="39" t="n">
        <f aca="false">'Raw - Daily Energy'!B68</f>
        <v>0</v>
      </c>
      <c r="F73" s="44" t="n">
        <f aca="false">SUMIF('Raw - Sessions'!$R$5:$R$292,A73,'Raw - Sessions'!$P$5:$P$292)</f>
        <v>0</v>
      </c>
    </row>
    <row r="74" customFormat="false" ht="15" hidden="false" customHeight="false" outlineLevel="0" collapsed="false">
      <c r="A74" s="53" t="n">
        <f aca="false">'Raw - Daily Energy'!A69</f>
        <v>45914</v>
      </c>
      <c r="B74" s="14" t="n">
        <f aca="false">COUNTIF('Raw - Sessions'!$R$5:$R$292,A74)</f>
        <v>0</v>
      </c>
      <c r="C74" s="38" t="n">
        <f aca="false">SUMIF('Raw - Sessions'!$R$5:$R$292,A74,'Raw - Sessions'!$D$5:$D$292)</f>
        <v>0</v>
      </c>
      <c r="D74" s="38" t="n">
        <f aca="false">SUMIF('Raw - Sessions'!$R$5:$R$292,A74,'Raw - Sessions'!$E$5:$E$292)</f>
        <v>0</v>
      </c>
      <c r="E74" s="38" t="n">
        <f aca="false">'Raw - Daily Energy'!B69</f>
        <v>0</v>
      </c>
      <c r="F74" s="42" t="n">
        <f aca="false">SUMIF('Raw - Sessions'!$R$5:$R$292,A74,'Raw - Sessions'!$P$5:$P$292)</f>
        <v>0</v>
      </c>
    </row>
    <row r="75" customFormat="false" ht="15" hidden="false" customHeight="false" outlineLevel="0" collapsed="false">
      <c r="A75" s="54" t="n">
        <f aca="false">'Raw - Daily Energy'!A70</f>
        <v>45915</v>
      </c>
      <c r="B75" s="17" t="n">
        <f aca="false">COUNTIF('Raw - Sessions'!$R$5:$R$292,A75)</f>
        <v>0</v>
      </c>
      <c r="C75" s="39" t="n">
        <f aca="false">SUMIF('Raw - Sessions'!$R$5:$R$292,A75,'Raw - Sessions'!$D$5:$D$292)</f>
        <v>0</v>
      </c>
      <c r="D75" s="39" t="n">
        <f aca="false">SUMIF('Raw - Sessions'!$R$5:$R$292,A75,'Raw - Sessions'!$E$5:$E$292)</f>
        <v>0</v>
      </c>
      <c r="E75" s="39" t="n">
        <f aca="false">'Raw - Daily Energy'!B70</f>
        <v>0</v>
      </c>
      <c r="F75" s="44" t="n">
        <f aca="false">SUMIF('Raw - Sessions'!$R$5:$R$292,A75,'Raw - Sessions'!$P$5:$P$292)</f>
        <v>0</v>
      </c>
    </row>
    <row r="76" customFormat="false" ht="15" hidden="false" customHeight="false" outlineLevel="0" collapsed="false">
      <c r="A76" s="53" t="n">
        <f aca="false">'Raw - Daily Energy'!A71</f>
        <v>45916</v>
      </c>
      <c r="B76" s="14" t="n">
        <f aca="false">COUNTIF('Raw - Sessions'!$R$5:$R$292,A76)</f>
        <v>0</v>
      </c>
      <c r="C76" s="38" t="n">
        <f aca="false">SUMIF('Raw - Sessions'!$R$5:$R$292,A76,'Raw - Sessions'!$D$5:$D$292)</f>
        <v>0</v>
      </c>
      <c r="D76" s="38" t="n">
        <f aca="false">SUMIF('Raw - Sessions'!$R$5:$R$292,A76,'Raw - Sessions'!$E$5:$E$292)</f>
        <v>0</v>
      </c>
      <c r="E76" s="38" t="n">
        <f aca="false">'Raw - Daily Energy'!B71</f>
        <v>0</v>
      </c>
      <c r="F76" s="42" t="n">
        <f aca="false">SUMIF('Raw - Sessions'!$R$5:$R$292,A76,'Raw - Sessions'!$P$5:$P$292)</f>
        <v>0</v>
      </c>
    </row>
    <row r="77" customFormat="false" ht="15" hidden="false" customHeight="false" outlineLevel="0" collapsed="false">
      <c r="A77" s="54" t="n">
        <f aca="false">'Raw - Daily Energy'!A72</f>
        <v>45917</v>
      </c>
      <c r="B77" s="17" t="n">
        <f aca="false">COUNTIF('Raw - Sessions'!$R$5:$R$292,A77)</f>
        <v>0</v>
      </c>
      <c r="C77" s="39" t="n">
        <f aca="false">SUMIF('Raw - Sessions'!$R$5:$R$292,A77,'Raw - Sessions'!$D$5:$D$292)</f>
        <v>0</v>
      </c>
      <c r="D77" s="39" t="n">
        <f aca="false">SUMIF('Raw - Sessions'!$R$5:$R$292,A77,'Raw - Sessions'!$E$5:$E$292)</f>
        <v>0</v>
      </c>
      <c r="E77" s="39" t="n">
        <f aca="false">'Raw - Daily Energy'!B72</f>
        <v>0</v>
      </c>
      <c r="F77" s="44" t="n">
        <f aca="false">SUMIF('Raw - Sessions'!$R$5:$R$292,A77,'Raw - Sessions'!$P$5:$P$292)</f>
        <v>0</v>
      </c>
    </row>
    <row r="78" customFormat="false" ht="15" hidden="false" customHeight="false" outlineLevel="0" collapsed="false">
      <c r="A78" s="53" t="n">
        <f aca="false">'Raw - Daily Energy'!A73</f>
        <v>45918</v>
      </c>
      <c r="B78" s="14" t="n">
        <f aca="false">COUNTIF('Raw - Sessions'!$R$5:$R$292,A78)</f>
        <v>0</v>
      </c>
      <c r="C78" s="38" t="n">
        <f aca="false">SUMIF('Raw - Sessions'!$R$5:$R$292,A78,'Raw - Sessions'!$D$5:$D$292)</f>
        <v>0</v>
      </c>
      <c r="D78" s="38" t="n">
        <f aca="false">SUMIF('Raw - Sessions'!$R$5:$R$292,A78,'Raw - Sessions'!$E$5:$E$292)</f>
        <v>0</v>
      </c>
      <c r="E78" s="38" t="n">
        <f aca="false">'Raw - Daily Energy'!B73</f>
        <v>0</v>
      </c>
      <c r="F78" s="42" t="n">
        <f aca="false">SUMIF('Raw - Sessions'!$R$5:$R$292,A78,'Raw - Sessions'!$P$5:$P$292)</f>
        <v>0</v>
      </c>
    </row>
    <row r="79" customFormat="false" ht="15" hidden="false" customHeight="false" outlineLevel="0" collapsed="false">
      <c r="A79" s="54" t="n">
        <f aca="false">'Raw - Daily Energy'!A74</f>
        <v>45919</v>
      </c>
      <c r="B79" s="17" t="n">
        <f aca="false">COUNTIF('Raw - Sessions'!$R$5:$R$292,A79)</f>
        <v>0</v>
      </c>
      <c r="C79" s="39" t="n">
        <f aca="false">SUMIF('Raw - Sessions'!$R$5:$R$292,A79,'Raw - Sessions'!$D$5:$D$292)</f>
        <v>0</v>
      </c>
      <c r="D79" s="39" t="n">
        <f aca="false">SUMIF('Raw - Sessions'!$R$5:$R$292,A79,'Raw - Sessions'!$E$5:$E$292)</f>
        <v>0</v>
      </c>
      <c r="E79" s="39" t="n">
        <f aca="false">'Raw - Daily Energy'!B74</f>
        <v>0</v>
      </c>
      <c r="F79" s="44" t="n">
        <f aca="false">SUMIF('Raw - Sessions'!$R$5:$R$292,A79,'Raw - Sessions'!$P$5:$P$292)</f>
        <v>0</v>
      </c>
    </row>
    <row r="80" customFormat="false" ht="15" hidden="false" customHeight="false" outlineLevel="0" collapsed="false">
      <c r="A80" s="53" t="n">
        <f aca="false">'Raw - Daily Energy'!A75</f>
        <v>45920</v>
      </c>
      <c r="B80" s="14" t="n">
        <f aca="false">COUNTIF('Raw - Sessions'!$R$5:$R$292,A80)</f>
        <v>0</v>
      </c>
      <c r="C80" s="38" t="n">
        <f aca="false">SUMIF('Raw - Sessions'!$R$5:$R$292,A80,'Raw - Sessions'!$D$5:$D$292)</f>
        <v>0</v>
      </c>
      <c r="D80" s="38" t="n">
        <f aca="false">SUMIF('Raw - Sessions'!$R$5:$R$292,A80,'Raw - Sessions'!$E$5:$E$292)</f>
        <v>0</v>
      </c>
      <c r="E80" s="38" t="n">
        <f aca="false">'Raw - Daily Energy'!B75</f>
        <v>0</v>
      </c>
      <c r="F80" s="42" t="n">
        <f aca="false">SUMIF('Raw - Sessions'!$R$5:$R$292,A80,'Raw - Sessions'!$P$5:$P$292)</f>
        <v>0</v>
      </c>
    </row>
    <row r="81" customFormat="false" ht="15" hidden="false" customHeight="false" outlineLevel="0" collapsed="false">
      <c r="A81" s="54" t="n">
        <f aca="false">'Raw - Daily Energy'!A76</f>
        <v>45921</v>
      </c>
      <c r="B81" s="17" t="n">
        <f aca="false">COUNTIF('Raw - Sessions'!$R$5:$R$292,A81)</f>
        <v>0</v>
      </c>
      <c r="C81" s="39" t="n">
        <f aca="false">SUMIF('Raw - Sessions'!$R$5:$R$292,A81,'Raw - Sessions'!$D$5:$D$292)</f>
        <v>0</v>
      </c>
      <c r="D81" s="39" t="n">
        <f aca="false">SUMIF('Raw - Sessions'!$R$5:$R$292,A81,'Raw - Sessions'!$E$5:$E$292)</f>
        <v>0</v>
      </c>
      <c r="E81" s="39" t="n">
        <f aca="false">'Raw - Daily Energy'!B76</f>
        <v>0</v>
      </c>
      <c r="F81" s="44" t="n">
        <f aca="false">SUMIF('Raw - Sessions'!$R$5:$R$292,A81,'Raw - Sessions'!$P$5:$P$292)</f>
        <v>0</v>
      </c>
    </row>
    <row r="82" customFormat="false" ht="15" hidden="false" customHeight="false" outlineLevel="0" collapsed="false">
      <c r="A82" s="53" t="n">
        <f aca="false">'Raw - Daily Energy'!A77</f>
        <v>45922</v>
      </c>
      <c r="B82" s="14" t="n">
        <f aca="false">COUNTIF('Raw - Sessions'!$R$5:$R$292,A82)</f>
        <v>0</v>
      </c>
      <c r="C82" s="38" t="n">
        <f aca="false">SUMIF('Raw - Sessions'!$R$5:$R$292,A82,'Raw - Sessions'!$D$5:$D$292)</f>
        <v>0</v>
      </c>
      <c r="D82" s="38" t="n">
        <f aca="false">SUMIF('Raw - Sessions'!$R$5:$R$292,A82,'Raw - Sessions'!$E$5:$E$292)</f>
        <v>0</v>
      </c>
      <c r="E82" s="38" t="n">
        <f aca="false">'Raw - Daily Energy'!B77</f>
        <v>0</v>
      </c>
      <c r="F82" s="42" t="n">
        <f aca="false">SUMIF('Raw - Sessions'!$R$5:$R$292,A82,'Raw - Sessions'!$P$5:$P$292)</f>
        <v>0</v>
      </c>
    </row>
    <row r="83" customFormat="false" ht="15" hidden="false" customHeight="false" outlineLevel="0" collapsed="false">
      <c r="A83" s="54" t="n">
        <f aca="false">'Raw - Daily Energy'!A78</f>
        <v>45923</v>
      </c>
      <c r="B83" s="17" t="n">
        <f aca="false">COUNTIF('Raw - Sessions'!$R$5:$R$292,A83)</f>
        <v>0</v>
      </c>
      <c r="C83" s="39" t="n">
        <f aca="false">SUMIF('Raw - Sessions'!$R$5:$R$292,A83,'Raw - Sessions'!$D$5:$D$292)</f>
        <v>0</v>
      </c>
      <c r="D83" s="39" t="n">
        <f aca="false">SUMIF('Raw - Sessions'!$R$5:$R$292,A83,'Raw - Sessions'!$E$5:$E$292)</f>
        <v>0</v>
      </c>
      <c r="E83" s="39" t="n">
        <f aca="false">'Raw - Daily Energy'!B78</f>
        <v>0</v>
      </c>
      <c r="F83" s="44" t="n">
        <f aca="false">SUMIF('Raw - Sessions'!$R$5:$R$292,A83,'Raw - Sessions'!$P$5:$P$292)</f>
        <v>0</v>
      </c>
    </row>
    <row r="84" customFormat="false" ht="15" hidden="false" customHeight="false" outlineLevel="0" collapsed="false">
      <c r="A84" s="53" t="n">
        <f aca="false">'Raw - Daily Energy'!A79</f>
        <v>45924</v>
      </c>
      <c r="B84" s="14" t="n">
        <f aca="false">COUNTIF('Raw - Sessions'!$R$5:$R$292,A84)</f>
        <v>0</v>
      </c>
      <c r="C84" s="38" t="n">
        <f aca="false">SUMIF('Raw - Sessions'!$R$5:$R$292,A84,'Raw - Sessions'!$D$5:$D$292)</f>
        <v>0</v>
      </c>
      <c r="D84" s="38" t="n">
        <f aca="false">SUMIF('Raw - Sessions'!$R$5:$R$292,A84,'Raw - Sessions'!$E$5:$E$292)</f>
        <v>0</v>
      </c>
      <c r="E84" s="38" t="n">
        <f aca="false">'Raw - Daily Energy'!B79</f>
        <v>0</v>
      </c>
      <c r="F84" s="42" t="n">
        <f aca="false">SUMIF('Raw - Sessions'!$R$5:$R$292,A84,'Raw - Sessions'!$P$5:$P$292)</f>
        <v>0</v>
      </c>
    </row>
    <row r="85" customFormat="false" ht="15" hidden="false" customHeight="false" outlineLevel="0" collapsed="false">
      <c r="A85" s="54" t="n">
        <f aca="false">'Raw - Daily Energy'!A80</f>
        <v>45925</v>
      </c>
      <c r="B85" s="17" t="n">
        <f aca="false">COUNTIF('Raw - Sessions'!$R$5:$R$292,A85)</f>
        <v>0</v>
      </c>
      <c r="C85" s="39" t="n">
        <f aca="false">SUMIF('Raw - Sessions'!$R$5:$R$292,A85,'Raw - Sessions'!$D$5:$D$292)</f>
        <v>0</v>
      </c>
      <c r="D85" s="39" t="n">
        <f aca="false">SUMIF('Raw - Sessions'!$R$5:$R$292,A85,'Raw - Sessions'!$E$5:$E$292)</f>
        <v>0</v>
      </c>
      <c r="E85" s="39" t="n">
        <f aca="false">'Raw - Daily Energy'!B80</f>
        <v>0</v>
      </c>
      <c r="F85" s="44" t="n">
        <f aca="false">SUMIF('Raw - Sessions'!$R$5:$R$292,A85,'Raw - Sessions'!$P$5:$P$292)</f>
        <v>0</v>
      </c>
    </row>
    <row r="86" customFormat="false" ht="15" hidden="false" customHeight="false" outlineLevel="0" collapsed="false">
      <c r="A86" s="53" t="n">
        <f aca="false">'Raw - Daily Energy'!A81</f>
        <v>45926</v>
      </c>
      <c r="B86" s="14" t="n">
        <f aca="false">COUNTIF('Raw - Sessions'!$R$5:$R$292,A86)</f>
        <v>0</v>
      </c>
      <c r="C86" s="38" t="n">
        <f aca="false">SUMIF('Raw - Sessions'!$R$5:$R$292,A86,'Raw - Sessions'!$D$5:$D$292)</f>
        <v>0</v>
      </c>
      <c r="D86" s="38" t="n">
        <f aca="false">SUMIF('Raw - Sessions'!$R$5:$R$292,A86,'Raw - Sessions'!$E$5:$E$292)</f>
        <v>0</v>
      </c>
      <c r="E86" s="38" t="n">
        <f aca="false">'Raw - Daily Energy'!B81</f>
        <v>0</v>
      </c>
      <c r="F86" s="42" t="n">
        <f aca="false">SUMIF('Raw - Sessions'!$R$5:$R$292,A86,'Raw - Sessions'!$P$5:$P$292)</f>
        <v>0</v>
      </c>
    </row>
    <row r="87" customFormat="false" ht="15" hidden="false" customHeight="false" outlineLevel="0" collapsed="false">
      <c r="A87" s="54" t="n">
        <f aca="false">'Raw - Daily Energy'!A82</f>
        <v>45927</v>
      </c>
      <c r="B87" s="17" t="n">
        <f aca="false">COUNTIF('Raw - Sessions'!$R$5:$R$292,A87)</f>
        <v>0</v>
      </c>
      <c r="C87" s="39" t="n">
        <f aca="false">SUMIF('Raw - Sessions'!$R$5:$R$292,A87,'Raw - Sessions'!$D$5:$D$292)</f>
        <v>0</v>
      </c>
      <c r="D87" s="39" t="n">
        <f aca="false">SUMIF('Raw - Sessions'!$R$5:$R$292,A87,'Raw - Sessions'!$E$5:$E$292)</f>
        <v>0</v>
      </c>
      <c r="E87" s="39" t="n">
        <f aca="false">'Raw - Daily Energy'!B82</f>
        <v>0</v>
      </c>
      <c r="F87" s="44" t="n">
        <f aca="false">SUMIF('Raw - Sessions'!$R$5:$R$292,A87,'Raw - Sessions'!$P$5:$P$292)</f>
        <v>0</v>
      </c>
    </row>
    <row r="88" customFormat="false" ht="15" hidden="false" customHeight="false" outlineLevel="0" collapsed="false">
      <c r="A88" s="53" t="n">
        <f aca="false">'Raw - Daily Energy'!A83</f>
        <v>45928</v>
      </c>
      <c r="B88" s="14" t="n">
        <f aca="false">COUNTIF('Raw - Sessions'!$R$5:$R$292,A88)</f>
        <v>0</v>
      </c>
      <c r="C88" s="38" t="n">
        <f aca="false">SUMIF('Raw - Sessions'!$R$5:$R$292,A88,'Raw - Sessions'!$D$5:$D$292)</f>
        <v>0</v>
      </c>
      <c r="D88" s="38" t="n">
        <f aca="false">SUMIF('Raw - Sessions'!$R$5:$R$292,A88,'Raw - Sessions'!$E$5:$E$292)</f>
        <v>0</v>
      </c>
      <c r="E88" s="38" t="n">
        <f aca="false">'Raw - Daily Energy'!B83</f>
        <v>0</v>
      </c>
      <c r="F88" s="42" t="n">
        <f aca="false">SUMIF('Raw - Sessions'!$R$5:$R$292,A88,'Raw - Sessions'!$P$5:$P$292)</f>
        <v>0</v>
      </c>
    </row>
    <row r="89" customFormat="false" ht="15" hidden="false" customHeight="false" outlineLevel="0" collapsed="false">
      <c r="A89" s="54" t="n">
        <f aca="false">'Raw - Daily Energy'!A84</f>
        <v>45929</v>
      </c>
      <c r="B89" s="17" t="n">
        <f aca="false">COUNTIF('Raw - Sessions'!$R$5:$R$292,A89)</f>
        <v>0</v>
      </c>
      <c r="C89" s="39" t="n">
        <f aca="false">SUMIF('Raw - Sessions'!$R$5:$R$292,A89,'Raw - Sessions'!$D$5:$D$292)</f>
        <v>0</v>
      </c>
      <c r="D89" s="39" t="n">
        <f aca="false">SUMIF('Raw - Sessions'!$R$5:$R$292,A89,'Raw - Sessions'!$E$5:$E$292)</f>
        <v>0</v>
      </c>
      <c r="E89" s="39" t="n">
        <f aca="false">'Raw - Daily Energy'!B84</f>
        <v>0</v>
      </c>
      <c r="F89" s="44" t="n">
        <f aca="false">SUMIF('Raw - Sessions'!$R$5:$R$292,A89,'Raw - Sessions'!$P$5:$P$292)</f>
        <v>0</v>
      </c>
    </row>
    <row r="90" customFormat="false" ht="15" hidden="false" customHeight="false" outlineLevel="0" collapsed="false">
      <c r="A90" s="53" t="n">
        <f aca="false">'Raw - Daily Energy'!A85</f>
        <v>45930</v>
      </c>
      <c r="B90" s="14" t="n">
        <f aca="false">COUNTIF('Raw - Sessions'!$R$5:$R$292,A90)</f>
        <v>0</v>
      </c>
      <c r="C90" s="38" t="n">
        <f aca="false">SUMIF('Raw - Sessions'!$R$5:$R$292,A90,'Raw - Sessions'!$D$5:$D$292)</f>
        <v>0</v>
      </c>
      <c r="D90" s="38" t="n">
        <f aca="false">SUMIF('Raw - Sessions'!$R$5:$R$292,A90,'Raw - Sessions'!$E$5:$E$292)</f>
        <v>0</v>
      </c>
      <c r="E90" s="38" t="n">
        <f aca="false">'Raw - Daily Energy'!B85</f>
        <v>0</v>
      </c>
      <c r="F90" s="42" t="n">
        <f aca="false">SUMIF('Raw - Sessions'!$R$5:$R$292,A90,'Raw - Sessions'!$P$5:$P$292)</f>
        <v>0</v>
      </c>
    </row>
    <row r="91" customFormat="false" ht="15" hidden="false" customHeight="false" outlineLevel="0" collapsed="false">
      <c r="A91" s="54" t="n">
        <f aca="false">'Raw - Daily Energy'!A86</f>
        <v>45931</v>
      </c>
      <c r="B91" s="17" t="n">
        <f aca="false">COUNTIF('Raw - Sessions'!$R$5:$R$292,A91)</f>
        <v>0</v>
      </c>
      <c r="C91" s="39" t="n">
        <f aca="false">SUMIF('Raw - Sessions'!$R$5:$R$292,A91,'Raw - Sessions'!$D$5:$D$292)</f>
        <v>0</v>
      </c>
      <c r="D91" s="39" t="n">
        <f aca="false">SUMIF('Raw - Sessions'!$R$5:$R$292,A91,'Raw - Sessions'!$E$5:$E$292)</f>
        <v>0</v>
      </c>
      <c r="E91" s="39" t="n">
        <f aca="false">'Raw - Daily Energy'!B86</f>
        <v>0</v>
      </c>
      <c r="F91" s="44" t="n">
        <f aca="false">SUMIF('Raw - Sessions'!$R$5:$R$292,A91,'Raw - Sessions'!$P$5:$P$292)</f>
        <v>0</v>
      </c>
    </row>
    <row r="92" customFormat="false" ht="15" hidden="false" customHeight="false" outlineLevel="0" collapsed="false">
      <c r="A92" s="53" t="n">
        <f aca="false">'Raw - Daily Energy'!A87</f>
        <v>45932</v>
      </c>
      <c r="B92" s="14" t="n">
        <f aca="false">COUNTIF('Raw - Sessions'!$R$5:$R$292,A92)</f>
        <v>0</v>
      </c>
      <c r="C92" s="38" t="n">
        <f aca="false">SUMIF('Raw - Sessions'!$R$5:$R$292,A92,'Raw - Sessions'!$D$5:$D$292)</f>
        <v>0</v>
      </c>
      <c r="D92" s="38" t="n">
        <f aca="false">SUMIF('Raw - Sessions'!$R$5:$R$292,A92,'Raw - Sessions'!$E$5:$E$292)</f>
        <v>0</v>
      </c>
      <c r="E92" s="38" t="n">
        <f aca="false">'Raw - Daily Energy'!B87</f>
        <v>0</v>
      </c>
      <c r="F92" s="42" t="n">
        <f aca="false">SUMIF('Raw - Sessions'!$R$5:$R$292,A92,'Raw - Sessions'!$P$5:$P$292)</f>
        <v>0</v>
      </c>
    </row>
    <row r="93" customFormat="false" ht="15" hidden="false" customHeight="false" outlineLevel="0" collapsed="false">
      <c r="A93" s="54" t="n">
        <f aca="false">'Raw - Daily Energy'!A88</f>
        <v>45933</v>
      </c>
      <c r="B93" s="17" t="n">
        <f aca="false">COUNTIF('Raw - Sessions'!$R$5:$R$292,A93)</f>
        <v>0</v>
      </c>
      <c r="C93" s="39" t="n">
        <f aca="false">SUMIF('Raw - Sessions'!$R$5:$R$292,A93,'Raw - Sessions'!$D$5:$D$292)</f>
        <v>0</v>
      </c>
      <c r="D93" s="39" t="n">
        <f aca="false">SUMIF('Raw - Sessions'!$R$5:$R$292,A93,'Raw - Sessions'!$E$5:$E$292)</f>
        <v>0</v>
      </c>
      <c r="E93" s="39" t="n">
        <f aca="false">'Raw - Daily Energy'!B88</f>
        <v>0</v>
      </c>
      <c r="F93" s="44" t="n">
        <f aca="false">SUMIF('Raw - Sessions'!$R$5:$R$292,A93,'Raw - Sessions'!$P$5:$P$292)</f>
        <v>0</v>
      </c>
    </row>
    <row r="94" customFormat="false" ht="15" hidden="false" customHeight="false" outlineLevel="0" collapsed="false">
      <c r="A94" s="53" t="n">
        <f aca="false">'Raw - Daily Energy'!A89</f>
        <v>45934</v>
      </c>
      <c r="B94" s="14" t="n">
        <f aca="false">COUNTIF('Raw - Sessions'!$R$5:$R$292,A94)</f>
        <v>0</v>
      </c>
      <c r="C94" s="38" t="n">
        <f aca="false">SUMIF('Raw - Sessions'!$R$5:$R$292,A94,'Raw - Sessions'!$D$5:$D$292)</f>
        <v>0</v>
      </c>
      <c r="D94" s="38" t="n">
        <f aca="false">SUMIF('Raw - Sessions'!$R$5:$R$292,A94,'Raw - Sessions'!$E$5:$E$292)</f>
        <v>0</v>
      </c>
      <c r="E94" s="38" t="n">
        <f aca="false">'Raw - Daily Energy'!B89</f>
        <v>0</v>
      </c>
      <c r="F94" s="42" t="n">
        <f aca="false">SUMIF('Raw - Sessions'!$R$5:$R$292,A94,'Raw - Sessions'!$P$5:$P$292)</f>
        <v>0</v>
      </c>
    </row>
    <row r="95" customFormat="false" ht="15" hidden="false" customHeight="false" outlineLevel="0" collapsed="false">
      <c r="A95" s="54" t="n">
        <f aca="false">'Raw - Daily Energy'!A90</f>
        <v>45935</v>
      </c>
      <c r="B95" s="17" t="n">
        <f aca="false">COUNTIF('Raw - Sessions'!$R$5:$R$292,A95)</f>
        <v>0</v>
      </c>
      <c r="C95" s="39" t="n">
        <f aca="false">SUMIF('Raw - Sessions'!$R$5:$R$292,A95,'Raw - Sessions'!$D$5:$D$292)</f>
        <v>0</v>
      </c>
      <c r="D95" s="39" t="n">
        <f aca="false">SUMIF('Raw - Sessions'!$R$5:$R$292,A95,'Raw - Sessions'!$E$5:$E$292)</f>
        <v>0</v>
      </c>
      <c r="E95" s="39" t="n">
        <f aca="false">'Raw - Daily Energy'!B90</f>
        <v>0</v>
      </c>
      <c r="F95" s="44" t="n">
        <f aca="false">SUMIF('Raw - Sessions'!$R$5:$R$292,A95,'Raw - Sessions'!$P$5:$P$292)</f>
        <v>0</v>
      </c>
    </row>
    <row r="96" customFormat="false" ht="15" hidden="false" customHeight="false" outlineLevel="0" collapsed="false">
      <c r="A96" s="53" t="n">
        <f aca="false">'Raw - Daily Energy'!A91</f>
        <v>45936</v>
      </c>
      <c r="B96" s="14" t="n">
        <f aca="false">COUNTIF('Raw - Sessions'!$R$5:$R$292,A96)</f>
        <v>0</v>
      </c>
      <c r="C96" s="38" t="n">
        <f aca="false">SUMIF('Raw - Sessions'!$R$5:$R$292,A96,'Raw - Sessions'!$D$5:$D$292)</f>
        <v>0</v>
      </c>
      <c r="D96" s="38" t="n">
        <f aca="false">SUMIF('Raw - Sessions'!$R$5:$R$292,A96,'Raw - Sessions'!$E$5:$E$292)</f>
        <v>0</v>
      </c>
      <c r="E96" s="38" t="n">
        <f aca="false">'Raw - Daily Energy'!B91</f>
        <v>0</v>
      </c>
      <c r="F96" s="42" t="n">
        <f aca="false">SUMIF('Raw - Sessions'!$R$5:$R$292,A96,'Raw - Sessions'!$P$5:$P$292)</f>
        <v>0</v>
      </c>
    </row>
    <row r="97" customFormat="false" ht="15" hidden="false" customHeight="false" outlineLevel="0" collapsed="false">
      <c r="A97" s="54" t="n">
        <f aca="false">'Raw - Daily Energy'!A92</f>
        <v>45937</v>
      </c>
      <c r="B97" s="17" t="n">
        <f aca="false">COUNTIF('Raw - Sessions'!$R$5:$R$292,A97)</f>
        <v>0</v>
      </c>
      <c r="C97" s="39" t="n">
        <f aca="false">SUMIF('Raw - Sessions'!$R$5:$R$292,A97,'Raw - Sessions'!$D$5:$D$292)</f>
        <v>0</v>
      </c>
      <c r="D97" s="39" t="n">
        <f aca="false">SUMIF('Raw - Sessions'!$R$5:$R$292,A97,'Raw - Sessions'!$E$5:$E$292)</f>
        <v>0</v>
      </c>
      <c r="E97" s="39" t="n">
        <f aca="false">'Raw - Daily Energy'!B92</f>
        <v>0</v>
      </c>
      <c r="F97" s="44" t="n">
        <f aca="false">SUMIF('Raw - Sessions'!$R$5:$R$292,A97,'Raw - Sessions'!$P$5:$P$292)</f>
        <v>0</v>
      </c>
    </row>
    <row r="98" customFormat="false" ht="15" hidden="false" customHeight="false" outlineLevel="0" collapsed="false">
      <c r="A98" s="53" t="n">
        <f aca="false">'Raw - Daily Energy'!A93</f>
        <v>45938</v>
      </c>
      <c r="B98" s="14" t="n">
        <f aca="false">COUNTIF('Raw - Sessions'!$R$5:$R$292,A98)</f>
        <v>0</v>
      </c>
      <c r="C98" s="38" t="n">
        <f aca="false">SUMIF('Raw - Sessions'!$R$5:$R$292,A98,'Raw - Sessions'!$D$5:$D$292)</f>
        <v>0</v>
      </c>
      <c r="D98" s="38" t="n">
        <f aca="false">SUMIF('Raw - Sessions'!$R$5:$R$292,A98,'Raw - Sessions'!$E$5:$E$292)</f>
        <v>0</v>
      </c>
      <c r="E98" s="38" t="n">
        <f aca="false">'Raw - Daily Energy'!B93</f>
        <v>0</v>
      </c>
      <c r="F98" s="42" t="n">
        <f aca="false">SUMIF('Raw - Sessions'!$R$5:$R$292,A98,'Raw - Sessions'!$P$5:$P$292)</f>
        <v>0</v>
      </c>
    </row>
    <row r="99" customFormat="false" ht="15" hidden="false" customHeight="false" outlineLevel="0" collapsed="false">
      <c r="A99" s="54" t="n">
        <f aca="false">'Raw - Daily Energy'!A94</f>
        <v>45939</v>
      </c>
      <c r="B99" s="17" t="n">
        <f aca="false">COUNTIF('Raw - Sessions'!$R$5:$R$292,A99)</f>
        <v>0</v>
      </c>
      <c r="C99" s="39" t="n">
        <f aca="false">SUMIF('Raw - Sessions'!$R$5:$R$292,A99,'Raw - Sessions'!$D$5:$D$292)</f>
        <v>0</v>
      </c>
      <c r="D99" s="39" t="n">
        <f aca="false">SUMIF('Raw - Sessions'!$R$5:$R$292,A99,'Raw - Sessions'!$E$5:$E$292)</f>
        <v>0</v>
      </c>
      <c r="E99" s="39" t="n">
        <f aca="false">'Raw - Daily Energy'!B94</f>
        <v>0</v>
      </c>
      <c r="F99" s="44" t="n">
        <f aca="false">SUMIF('Raw - Sessions'!$R$5:$R$292,A99,'Raw - Sessions'!$P$5:$P$292)</f>
        <v>0</v>
      </c>
    </row>
    <row r="100" customFormat="false" ht="15" hidden="false" customHeight="false" outlineLevel="0" collapsed="false">
      <c r="A100" s="53" t="n">
        <f aca="false">'Raw - Daily Energy'!A95</f>
        <v>45940</v>
      </c>
      <c r="B100" s="14" t="n">
        <f aca="false">COUNTIF('Raw - Sessions'!$R$5:$R$292,A100)</f>
        <v>0</v>
      </c>
      <c r="C100" s="38" t="n">
        <f aca="false">SUMIF('Raw - Sessions'!$R$5:$R$292,A100,'Raw - Sessions'!$D$5:$D$292)</f>
        <v>0</v>
      </c>
      <c r="D100" s="38" t="n">
        <f aca="false">SUMIF('Raw - Sessions'!$R$5:$R$292,A100,'Raw - Sessions'!$E$5:$E$292)</f>
        <v>0</v>
      </c>
      <c r="E100" s="38" t="n">
        <f aca="false">'Raw - Daily Energy'!B95</f>
        <v>0</v>
      </c>
      <c r="F100" s="42" t="n">
        <f aca="false">SUMIF('Raw - Sessions'!$R$5:$R$292,A100,'Raw - Sessions'!$P$5:$P$292)</f>
        <v>0</v>
      </c>
    </row>
    <row r="101" customFormat="false" ht="15" hidden="false" customHeight="false" outlineLevel="0" collapsed="false">
      <c r="A101" s="54" t="n">
        <f aca="false">'Raw - Daily Energy'!A96</f>
        <v>45941</v>
      </c>
      <c r="B101" s="17" t="n">
        <f aca="false">COUNTIF('Raw - Sessions'!$R$5:$R$292,A101)</f>
        <v>0</v>
      </c>
      <c r="C101" s="39" t="n">
        <f aca="false">SUMIF('Raw - Sessions'!$R$5:$R$292,A101,'Raw - Sessions'!$D$5:$D$292)</f>
        <v>0</v>
      </c>
      <c r="D101" s="39" t="n">
        <f aca="false">SUMIF('Raw - Sessions'!$R$5:$R$292,A101,'Raw - Sessions'!$E$5:$E$292)</f>
        <v>0</v>
      </c>
      <c r="E101" s="39" t="n">
        <f aca="false">'Raw - Daily Energy'!B96</f>
        <v>0</v>
      </c>
      <c r="F101" s="44" t="n">
        <f aca="false">SUMIF('Raw - Sessions'!$R$5:$R$292,A101,'Raw - Sessions'!$P$5:$P$292)</f>
        <v>0</v>
      </c>
    </row>
    <row r="102" customFormat="false" ht="15" hidden="false" customHeight="false" outlineLevel="0" collapsed="false">
      <c r="A102" s="53" t="n">
        <f aca="false">'Raw - Daily Energy'!A97</f>
        <v>45942</v>
      </c>
      <c r="B102" s="14" t="n">
        <f aca="false">COUNTIF('Raw - Sessions'!$R$5:$R$292,A102)</f>
        <v>0</v>
      </c>
      <c r="C102" s="38" t="n">
        <f aca="false">SUMIF('Raw - Sessions'!$R$5:$R$292,A102,'Raw - Sessions'!$D$5:$D$292)</f>
        <v>0</v>
      </c>
      <c r="D102" s="38" t="n">
        <f aca="false">SUMIF('Raw - Sessions'!$R$5:$R$292,A102,'Raw - Sessions'!$E$5:$E$292)</f>
        <v>0</v>
      </c>
      <c r="E102" s="38" t="n">
        <f aca="false">'Raw - Daily Energy'!B97</f>
        <v>0</v>
      </c>
      <c r="F102" s="42" t="n">
        <f aca="false">SUMIF('Raw - Sessions'!$R$5:$R$292,A102,'Raw - Sessions'!$P$5:$P$292)</f>
        <v>0</v>
      </c>
    </row>
    <row r="103" customFormat="false" ht="15" hidden="false" customHeight="false" outlineLevel="0" collapsed="false">
      <c r="A103" s="54" t="n">
        <f aca="false">'Raw - Daily Energy'!A98</f>
        <v>45943</v>
      </c>
      <c r="B103" s="17" t="n">
        <f aca="false">COUNTIF('Raw - Sessions'!$R$5:$R$292,A103)</f>
        <v>0</v>
      </c>
      <c r="C103" s="39" t="n">
        <f aca="false">SUMIF('Raw - Sessions'!$R$5:$R$292,A103,'Raw - Sessions'!$D$5:$D$292)</f>
        <v>0</v>
      </c>
      <c r="D103" s="39" t="n">
        <f aca="false">SUMIF('Raw - Sessions'!$R$5:$R$292,A103,'Raw - Sessions'!$E$5:$E$292)</f>
        <v>0</v>
      </c>
      <c r="E103" s="39" t="n">
        <f aca="false">'Raw - Daily Energy'!B98</f>
        <v>0</v>
      </c>
      <c r="F103" s="44" t="n">
        <f aca="false">SUMIF('Raw - Sessions'!$R$5:$R$292,A103,'Raw - Sessions'!$P$5:$P$292)</f>
        <v>0</v>
      </c>
    </row>
    <row r="104" customFormat="false" ht="15" hidden="false" customHeight="false" outlineLevel="0" collapsed="false">
      <c r="A104" s="53" t="n">
        <f aca="false">'Raw - Daily Energy'!A99</f>
        <v>45944</v>
      </c>
      <c r="B104" s="14" t="n">
        <f aca="false">COUNTIF('Raw - Sessions'!$R$5:$R$292,A104)</f>
        <v>0</v>
      </c>
      <c r="C104" s="38" t="n">
        <f aca="false">SUMIF('Raw - Sessions'!$R$5:$R$292,A104,'Raw - Sessions'!$D$5:$D$292)</f>
        <v>0</v>
      </c>
      <c r="D104" s="38" t="n">
        <f aca="false">SUMIF('Raw - Sessions'!$R$5:$R$292,A104,'Raw - Sessions'!$E$5:$E$292)</f>
        <v>0</v>
      </c>
      <c r="E104" s="38" t="n">
        <f aca="false">'Raw - Daily Energy'!B99</f>
        <v>0</v>
      </c>
      <c r="F104" s="42" t="n">
        <f aca="false">SUMIF('Raw - Sessions'!$R$5:$R$292,A104,'Raw - Sessions'!$P$5:$P$292)</f>
        <v>0</v>
      </c>
    </row>
    <row r="105" customFormat="false" ht="15" hidden="false" customHeight="false" outlineLevel="0" collapsed="false">
      <c r="A105" s="54" t="n">
        <f aca="false">'Raw - Daily Energy'!A100</f>
        <v>45945</v>
      </c>
      <c r="B105" s="17" t="n">
        <f aca="false">COUNTIF('Raw - Sessions'!$R$5:$R$292,A105)</f>
        <v>1</v>
      </c>
      <c r="C105" s="39" t="n">
        <f aca="false">SUMIF('Raw - Sessions'!$R$5:$R$292,A105,'Raw - Sessions'!$D$5:$D$292)</f>
        <v>1.21027777777778</v>
      </c>
      <c r="D105" s="39" t="n">
        <f aca="false">SUMIF('Raw - Sessions'!$R$5:$R$292,A105,'Raw - Sessions'!$E$5:$E$292)</f>
        <v>8.483508</v>
      </c>
      <c r="E105" s="39" t="n">
        <f aca="false">'Raw - Daily Energy'!B100</f>
        <v>8.484</v>
      </c>
      <c r="F105" s="44" t="n">
        <f aca="false">SUMIF('Raw - Sessions'!$R$5:$R$292,A105,'Raw - Sessions'!$P$5:$P$292)</f>
        <v>2.25</v>
      </c>
    </row>
    <row r="106" customFormat="false" ht="15" hidden="false" customHeight="false" outlineLevel="0" collapsed="false">
      <c r="A106" s="53" t="n">
        <f aca="false">'Raw - Daily Energy'!A101</f>
        <v>45946</v>
      </c>
      <c r="B106" s="14" t="n">
        <f aca="false">COUNTIF('Raw - Sessions'!$R$5:$R$292,A106)</f>
        <v>0</v>
      </c>
      <c r="C106" s="38" t="n">
        <f aca="false">SUMIF('Raw - Sessions'!$R$5:$R$292,A106,'Raw - Sessions'!$D$5:$D$292)</f>
        <v>0</v>
      </c>
      <c r="D106" s="38" t="n">
        <f aca="false">SUMIF('Raw - Sessions'!$R$5:$R$292,A106,'Raw - Sessions'!$E$5:$E$292)</f>
        <v>0</v>
      </c>
      <c r="E106" s="38" t="n">
        <f aca="false">'Raw - Daily Energy'!B101</f>
        <v>0</v>
      </c>
      <c r="F106" s="42" t="n">
        <f aca="false">SUMIF('Raw - Sessions'!$R$5:$R$292,A106,'Raw - Sessions'!$P$5:$P$292)</f>
        <v>0</v>
      </c>
    </row>
    <row r="107" customFormat="false" ht="15" hidden="false" customHeight="false" outlineLevel="0" collapsed="false">
      <c r="A107" s="54" t="n">
        <f aca="false">'Raw - Daily Energy'!A102</f>
        <v>45947</v>
      </c>
      <c r="B107" s="17" t="n">
        <f aca="false">COUNTIF('Raw - Sessions'!$R$5:$R$292,A107)</f>
        <v>0</v>
      </c>
      <c r="C107" s="39" t="n">
        <f aca="false">SUMIF('Raw - Sessions'!$R$5:$R$292,A107,'Raw - Sessions'!$D$5:$D$292)</f>
        <v>0</v>
      </c>
      <c r="D107" s="39" t="n">
        <f aca="false">SUMIF('Raw - Sessions'!$R$5:$R$292,A107,'Raw - Sessions'!$E$5:$E$292)</f>
        <v>0</v>
      </c>
      <c r="E107" s="39" t="n">
        <f aca="false">'Raw - Daily Energy'!B102</f>
        <v>0</v>
      </c>
      <c r="F107" s="44" t="n">
        <f aca="false">SUMIF('Raw - Sessions'!$R$5:$R$292,A107,'Raw - Sessions'!$P$5:$P$292)</f>
        <v>0</v>
      </c>
    </row>
    <row r="108" customFormat="false" ht="15" hidden="false" customHeight="false" outlineLevel="0" collapsed="false">
      <c r="A108" s="53" t="n">
        <f aca="false">'Raw - Daily Energy'!A103</f>
        <v>45948</v>
      </c>
      <c r="B108" s="14" t="n">
        <f aca="false">COUNTIF('Raw - Sessions'!$R$5:$R$292,A108)</f>
        <v>0</v>
      </c>
      <c r="C108" s="38" t="n">
        <f aca="false">SUMIF('Raw - Sessions'!$R$5:$R$292,A108,'Raw - Sessions'!$D$5:$D$292)</f>
        <v>0</v>
      </c>
      <c r="D108" s="38" t="n">
        <f aca="false">SUMIF('Raw - Sessions'!$R$5:$R$292,A108,'Raw - Sessions'!$E$5:$E$292)</f>
        <v>0</v>
      </c>
      <c r="E108" s="38" t="n">
        <f aca="false">'Raw - Daily Energy'!B103</f>
        <v>0</v>
      </c>
      <c r="F108" s="42" t="n">
        <f aca="false">SUMIF('Raw - Sessions'!$R$5:$R$292,A108,'Raw - Sessions'!$P$5:$P$292)</f>
        <v>0</v>
      </c>
    </row>
    <row r="109" customFormat="false" ht="15" hidden="false" customHeight="false" outlineLevel="0" collapsed="false">
      <c r="A109" s="54" t="n">
        <f aca="false">'Raw - Daily Energy'!A104</f>
        <v>45949</v>
      </c>
      <c r="B109" s="17" t="n">
        <f aca="false">COUNTIF('Raw - Sessions'!$R$5:$R$292,A109)</f>
        <v>2</v>
      </c>
      <c r="C109" s="39" t="n">
        <f aca="false">SUMIF('Raw - Sessions'!$R$5:$R$292,A109,'Raw - Sessions'!$D$5:$D$292)</f>
        <v>0.328611111111111</v>
      </c>
      <c r="D109" s="39" t="n">
        <f aca="false">SUMIF('Raw - Sessions'!$R$5:$R$292,A109,'Raw - Sessions'!$E$5:$E$292)</f>
        <v>14.0876</v>
      </c>
      <c r="E109" s="39" t="n">
        <f aca="false">'Raw - Daily Energy'!B104</f>
        <v>14.088</v>
      </c>
      <c r="F109" s="44" t="n">
        <f aca="false">SUMIF('Raw - Sessions'!$R$5:$R$292,A109,'Raw - Sessions'!$P$5:$P$292)</f>
        <v>1.28</v>
      </c>
    </row>
    <row r="110" customFormat="false" ht="15" hidden="false" customHeight="false" outlineLevel="0" collapsed="false">
      <c r="A110" s="53" t="n">
        <f aca="false">'Raw - Daily Energy'!A105</f>
        <v>45950</v>
      </c>
      <c r="B110" s="14" t="n">
        <f aca="false">COUNTIF('Raw - Sessions'!$R$5:$R$292,A110)</f>
        <v>2</v>
      </c>
      <c r="C110" s="38" t="n">
        <f aca="false">SUMIF('Raw - Sessions'!$R$5:$R$292,A110,'Raw - Sessions'!$D$5:$D$292)</f>
        <v>1.17888888888889</v>
      </c>
      <c r="D110" s="38" t="n">
        <f aca="false">SUMIF('Raw - Sessions'!$R$5:$R$292,A110,'Raw - Sessions'!$E$5:$E$292)</f>
        <v>26.1175</v>
      </c>
      <c r="E110" s="38" t="n">
        <f aca="false">'Raw - Daily Energy'!B105</f>
        <v>26.118</v>
      </c>
      <c r="F110" s="42" t="n">
        <f aca="false">SUMIF('Raw - Sessions'!$R$5:$R$292,A110,'Raw - Sessions'!$P$5:$P$292)</f>
        <v>6.92</v>
      </c>
    </row>
    <row r="111" customFormat="false" ht="15" hidden="false" customHeight="false" outlineLevel="0" collapsed="false">
      <c r="A111" s="54" t="n">
        <f aca="false">'Raw - Daily Energy'!A106</f>
        <v>45951</v>
      </c>
      <c r="B111" s="17" t="n">
        <f aca="false">COUNTIF('Raw - Sessions'!$R$5:$R$292,A111)</f>
        <v>5</v>
      </c>
      <c r="C111" s="39" t="n">
        <f aca="false">SUMIF('Raw - Sessions'!$R$5:$R$292,A111,'Raw - Sessions'!$D$5:$D$292)</f>
        <v>6.51416666666667</v>
      </c>
      <c r="D111" s="39" t="n">
        <f aca="false">SUMIF('Raw - Sessions'!$R$5:$R$292,A111,'Raw - Sessions'!$E$5:$E$292)</f>
        <v>55.605362</v>
      </c>
      <c r="E111" s="39" t="n">
        <f aca="false">'Raw - Daily Energy'!B106</f>
        <v>55.605</v>
      </c>
      <c r="F111" s="44" t="n">
        <f aca="false">SUMIF('Raw - Sessions'!$R$5:$R$292,A111,'Raw - Sessions'!$P$5:$P$292)</f>
        <v>14.73</v>
      </c>
    </row>
    <row r="112" customFormat="false" ht="15" hidden="false" customHeight="false" outlineLevel="0" collapsed="false">
      <c r="A112" s="53" t="n">
        <f aca="false">'Raw - Daily Energy'!A107</f>
        <v>45952</v>
      </c>
      <c r="B112" s="14" t="n">
        <f aca="false">COUNTIF('Raw - Sessions'!$R$5:$R$292,A112)</f>
        <v>1</v>
      </c>
      <c r="C112" s="38" t="n">
        <f aca="false">SUMIF('Raw - Sessions'!$R$5:$R$292,A112,'Raw - Sessions'!$D$5:$D$292)</f>
        <v>1.31333333333333</v>
      </c>
      <c r="D112" s="38" t="n">
        <f aca="false">SUMIF('Raw - Sessions'!$R$5:$R$292,A112,'Raw - Sessions'!$E$5:$E$292)</f>
        <v>42.079498</v>
      </c>
      <c r="E112" s="38" t="n">
        <f aca="false">'Raw - Daily Energy'!B107</f>
        <v>42.079</v>
      </c>
      <c r="F112" s="42" t="n">
        <f aca="false">SUMIF('Raw - Sessions'!$R$5:$R$292,A112,'Raw - Sessions'!$P$5:$P$292)</f>
        <v>23.09</v>
      </c>
    </row>
    <row r="113" customFormat="false" ht="15" hidden="false" customHeight="false" outlineLevel="0" collapsed="false">
      <c r="A113" s="54" t="n">
        <f aca="false">'Raw - Daily Energy'!A108</f>
        <v>45953</v>
      </c>
      <c r="B113" s="17" t="n">
        <f aca="false">COUNTIF('Raw - Sessions'!$R$5:$R$292,A113)</f>
        <v>0</v>
      </c>
      <c r="C113" s="39" t="n">
        <f aca="false">SUMIF('Raw - Sessions'!$R$5:$R$292,A113,'Raw - Sessions'!$D$5:$D$292)</f>
        <v>0</v>
      </c>
      <c r="D113" s="39" t="n">
        <f aca="false">SUMIF('Raw - Sessions'!$R$5:$R$292,A113,'Raw - Sessions'!$E$5:$E$292)</f>
        <v>0</v>
      </c>
      <c r="E113" s="39" t="n">
        <f aca="false">'Raw - Daily Energy'!B108</f>
        <v>0</v>
      </c>
      <c r="F113" s="44" t="n">
        <f aca="false">SUMIF('Raw - Sessions'!$R$5:$R$292,A113,'Raw - Sessions'!$P$5:$P$292)</f>
        <v>0</v>
      </c>
    </row>
    <row r="114" customFormat="false" ht="15" hidden="false" customHeight="false" outlineLevel="0" collapsed="false">
      <c r="A114" s="53" t="n">
        <f aca="false">'Raw - Daily Energy'!A109</f>
        <v>45954</v>
      </c>
      <c r="B114" s="14" t="n">
        <f aca="false">COUNTIF('Raw - Sessions'!$R$5:$R$292,A114)</f>
        <v>6</v>
      </c>
      <c r="C114" s="38" t="n">
        <f aca="false">SUMIF('Raw - Sessions'!$R$5:$R$292,A114,'Raw - Sessions'!$D$5:$D$292)</f>
        <v>2.33444444444444</v>
      </c>
      <c r="D114" s="38" t="n">
        <f aca="false">SUMIF('Raw - Sessions'!$R$5:$R$292,A114,'Raw - Sessions'!$E$5:$E$292)</f>
        <v>90.459401</v>
      </c>
      <c r="E114" s="38" t="n">
        <f aca="false">'Raw - Daily Energy'!B109</f>
        <v>90.459</v>
      </c>
      <c r="F114" s="42" t="n">
        <f aca="false">SUMIF('Raw - Sessions'!$R$5:$R$292,A114,'Raw - Sessions'!$P$5:$P$292)</f>
        <v>47.6</v>
      </c>
    </row>
    <row r="115" customFormat="false" ht="15" hidden="false" customHeight="false" outlineLevel="0" collapsed="false">
      <c r="A115" s="54" t="n">
        <f aca="false">'Raw - Daily Energy'!A110</f>
        <v>45955</v>
      </c>
      <c r="B115" s="17" t="n">
        <f aca="false">COUNTIF('Raw - Sessions'!$R$5:$R$292,A115)</f>
        <v>1</v>
      </c>
      <c r="C115" s="39" t="n">
        <f aca="false">SUMIF('Raw - Sessions'!$R$5:$R$292,A115,'Raw - Sessions'!$D$5:$D$292)</f>
        <v>0.202222222222222</v>
      </c>
      <c r="D115" s="39" t="n">
        <f aca="false">SUMIF('Raw - Sessions'!$R$5:$R$292,A115,'Raw - Sessions'!$E$5:$E$292)</f>
        <v>5.3031</v>
      </c>
      <c r="E115" s="39" t="n">
        <f aca="false">'Raw - Daily Energy'!B110</f>
        <v>5.303</v>
      </c>
      <c r="F115" s="44" t="n">
        <f aca="false">SUMIF('Raw - Sessions'!$R$5:$R$292,A115,'Raw - Sessions'!$P$5:$P$292)</f>
        <v>3.06</v>
      </c>
    </row>
    <row r="116" customFormat="false" ht="15" hidden="false" customHeight="false" outlineLevel="0" collapsed="false">
      <c r="A116" s="53" t="n">
        <f aca="false">'Raw - Daily Energy'!A111</f>
        <v>45956</v>
      </c>
      <c r="B116" s="14" t="n">
        <f aca="false">COUNTIF('Raw - Sessions'!$R$5:$R$292,A116)</f>
        <v>2</v>
      </c>
      <c r="C116" s="38" t="n">
        <f aca="false">SUMIF('Raw - Sessions'!$R$5:$R$292,A116,'Raw - Sessions'!$D$5:$D$292)</f>
        <v>0.12</v>
      </c>
      <c r="D116" s="38" t="n">
        <f aca="false">SUMIF('Raw - Sessions'!$R$5:$R$292,A116,'Raw - Sessions'!$E$5:$E$292)</f>
        <v>5.4966</v>
      </c>
      <c r="E116" s="38" t="n">
        <f aca="false">'Raw - Daily Energy'!B111</f>
        <v>5.497</v>
      </c>
      <c r="F116" s="42" t="n">
        <f aca="false">SUMIF('Raw - Sessions'!$R$5:$R$292,A116,'Raw - Sessions'!$P$5:$P$292)</f>
        <v>2.76</v>
      </c>
    </row>
    <row r="117" customFormat="false" ht="15" hidden="false" customHeight="false" outlineLevel="0" collapsed="false">
      <c r="A117" s="54" t="n">
        <f aca="false">'Raw - Daily Energy'!A112</f>
        <v>45957</v>
      </c>
      <c r="B117" s="17" t="n">
        <f aca="false">COUNTIF('Raw - Sessions'!$R$5:$R$292,A117)</f>
        <v>1</v>
      </c>
      <c r="C117" s="39" t="n">
        <f aca="false">SUMIF('Raw - Sessions'!$R$5:$R$292,A117,'Raw - Sessions'!$D$5:$D$292)</f>
        <v>0.368888888888889</v>
      </c>
      <c r="D117" s="39" t="n">
        <f aca="false">SUMIF('Raw - Sessions'!$R$5:$R$292,A117,'Raw - Sessions'!$E$5:$E$292)</f>
        <v>22.2493</v>
      </c>
      <c r="E117" s="39" t="n">
        <f aca="false">'Raw - Daily Energy'!B112</f>
        <v>50.316</v>
      </c>
      <c r="F117" s="44" t="n">
        <f aca="false">SUMIF('Raw - Sessions'!$R$5:$R$292,A117,'Raw - Sessions'!$P$5:$P$292)</f>
        <v>10.91</v>
      </c>
    </row>
    <row r="118" customFormat="false" ht="15" hidden="false" customHeight="false" outlineLevel="0" collapsed="false">
      <c r="A118" s="53" t="n">
        <f aca="false">'Raw - Daily Energy'!A113</f>
        <v>45958</v>
      </c>
      <c r="B118" s="14" t="n">
        <f aca="false">COUNTIF('Raw - Sessions'!$R$5:$R$292,A118)</f>
        <v>3</v>
      </c>
      <c r="C118" s="38" t="n">
        <f aca="false">SUMIF('Raw - Sessions'!$R$5:$R$292,A118,'Raw - Sessions'!$D$5:$D$292)</f>
        <v>2.66583333333333</v>
      </c>
      <c r="D118" s="38" t="n">
        <f aca="false">SUMIF('Raw - Sessions'!$R$5:$R$292,A118,'Raw - Sessions'!$E$5:$E$292)</f>
        <v>94.216701</v>
      </c>
      <c r="E118" s="38" t="n">
        <f aca="false">'Raw - Daily Energy'!B113</f>
        <v>66.15</v>
      </c>
      <c r="F118" s="42" t="n">
        <f aca="false">SUMIF('Raw - Sessions'!$R$5:$R$292,A118,'Raw - Sessions'!$P$5:$P$292)</f>
        <v>50.57</v>
      </c>
    </row>
    <row r="119" customFormat="false" ht="15" hidden="false" customHeight="false" outlineLevel="0" collapsed="false">
      <c r="A119" s="54" t="n">
        <f aca="false">'Raw - Daily Energy'!A114</f>
        <v>45959</v>
      </c>
      <c r="B119" s="17" t="n">
        <f aca="false">COUNTIF('Raw - Sessions'!$R$5:$R$292,A119)</f>
        <v>0</v>
      </c>
      <c r="C119" s="39" t="n">
        <f aca="false">SUMIF('Raw - Sessions'!$R$5:$R$292,A119,'Raw - Sessions'!$D$5:$D$292)</f>
        <v>0</v>
      </c>
      <c r="D119" s="39" t="n">
        <f aca="false">SUMIF('Raw - Sessions'!$R$5:$R$292,A119,'Raw - Sessions'!$E$5:$E$292)</f>
        <v>0</v>
      </c>
      <c r="E119" s="39" t="n">
        <f aca="false">'Raw - Daily Energy'!B114</f>
        <v>0</v>
      </c>
      <c r="F119" s="44" t="n">
        <f aca="false">SUMIF('Raw - Sessions'!$R$5:$R$292,A119,'Raw - Sessions'!$P$5:$P$292)</f>
        <v>0</v>
      </c>
    </row>
    <row r="120" customFormat="false" ht="15" hidden="false" customHeight="false" outlineLevel="0" collapsed="false">
      <c r="A120" s="53" t="n">
        <f aca="false">'Raw - Daily Energy'!A115</f>
        <v>45960</v>
      </c>
      <c r="B120" s="14" t="n">
        <f aca="false">COUNTIF('Raw - Sessions'!$R$5:$R$292,A120)</f>
        <v>1</v>
      </c>
      <c r="C120" s="38" t="n">
        <f aca="false">SUMIF('Raw - Sessions'!$R$5:$R$292,A120,'Raw - Sessions'!$D$5:$D$292)</f>
        <v>1.34583333333333</v>
      </c>
      <c r="D120" s="38" t="n">
        <f aca="false">SUMIF('Raw - Sessions'!$R$5:$R$292,A120,'Raw - Sessions'!$E$5:$E$292)</f>
        <v>20.0424</v>
      </c>
      <c r="E120" s="38" t="n">
        <f aca="false">'Raw - Daily Energy'!B115</f>
        <v>20.042</v>
      </c>
      <c r="F120" s="42" t="n">
        <f aca="false">SUMIF('Raw - Sessions'!$R$5:$R$292,A120,'Raw - Sessions'!$P$5:$P$292)</f>
        <v>13.88</v>
      </c>
    </row>
    <row r="121" customFormat="false" ht="15" hidden="false" customHeight="false" outlineLevel="0" collapsed="false">
      <c r="A121" s="54" t="n">
        <f aca="false">'Raw - Daily Energy'!A116</f>
        <v>45961</v>
      </c>
      <c r="B121" s="17" t="n">
        <f aca="false">COUNTIF('Raw - Sessions'!$R$5:$R$292,A121)</f>
        <v>2</v>
      </c>
      <c r="C121" s="39" t="n">
        <f aca="false">SUMIF('Raw - Sessions'!$R$5:$R$292,A121,'Raw - Sessions'!$D$5:$D$292)</f>
        <v>0.442777777777778</v>
      </c>
      <c r="D121" s="39" t="n">
        <f aca="false">SUMIF('Raw - Sessions'!$R$5:$R$292,A121,'Raw - Sessions'!$E$5:$E$292)</f>
        <v>22.979</v>
      </c>
      <c r="E121" s="39" t="n">
        <f aca="false">'Raw - Daily Energy'!B116</f>
        <v>87.582</v>
      </c>
      <c r="F121" s="44" t="n">
        <f aca="false">SUMIF('Raw - Sessions'!$R$5:$R$292,A121,'Raw - Sessions'!$P$5:$P$292)</f>
        <v>11.51</v>
      </c>
    </row>
    <row r="122" customFormat="false" ht="15" hidden="false" customHeight="false" outlineLevel="0" collapsed="false">
      <c r="A122" s="53" t="n">
        <f aca="false">'Raw - Daily Energy'!A117</f>
        <v>45962</v>
      </c>
      <c r="B122" s="14" t="n">
        <f aca="false">COUNTIF('Raw - Sessions'!$R$5:$R$292,A122)</f>
        <v>4</v>
      </c>
      <c r="C122" s="38" t="n">
        <f aca="false">SUMIF('Raw - Sessions'!$R$5:$R$292,A122,'Raw - Sessions'!$D$5:$D$292)</f>
        <v>1.81388888888889</v>
      </c>
      <c r="D122" s="38" t="n">
        <f aca="false">SUMIF('Raw - Sessions'!$R$5:$R$292,A122,'Raw - Sessions'!$E$5:$E$292)</f>
        <v>75.803902</v>
      </c>
      <c r="E122" s="38" t="n">
        <f aca="false">'Raw - Daily Energy'!B117</f>
        <v>11.201</v>
      </c>
      <c r="F122" s="42" t="n">
        <f aca="false">SUMIF('Raw - Sessions'!$R$5:$R$292,A122,'Raw - Sessions'!$P$5:$P$292)</f>
        <v>39.27</v>
      </c>
    </row>
    <row r="123" customFormat="false" ht="15" hidden="false" customHeight="false" outlineLevel="0" collapsed="false">
      <c r="A123" s="54" t="n">
        <f aca="false">'Raw - Daily Energy'!A118</f>
        <v>45963</v>
      </c>
      <c r="B123" s="17" t="n">
        <f aca="false">COUNTIF('Raw - Sessions'!$R$5:$R$292,A123)</f>
        <v>0</v>
      </c>
      <c r="C123" s="39" t="n">
        <f aca="false">SUMIF('Raw - Sessions'!$R$5:$R$292,A123,'Raw - Sessions'!$D$5:$D$292)</f>
        <v>0</v>
      </c>
      <c r="D123" s="39" t="n">
        <f aca="false">SUMIF('Raw - Sessions'!$R$5:$R$292,A123,'Raw - Sessions'!$E$5:$E$292)</f>
        <v>0</v>
      </c>
      <c r="E123" s="39" t="n">
        <f aca="false">'Raw - Daily Energy'!B118</f>
        <v>0</v>
      </c>
      <c r="F123" s="44" t="n">
        <f aca="false">SUMIF('Raw - Sessions'!$R$5:$R$292,A123,'Raw - Sessions'!$P$5:$P$292)</f>
        <v>0</v>
      </c>
    </row>
    <row r="124" customFormat="false" ht="15" hidden="false" customHeight="false" outlineLevel="0" collapsed="false">
      <c r="A124" s="53" t="n">
        <f aca="false">'Raw - Daily Energy'!A119</f>
        <v>45964</v>
      </c>
      <c r="B124" s="14" t="n">
        <f aca="false">COUNTIF('Raw - Sessions'!$R$5:$R$292,A124)</f>
        <v>0</v>
      </c>
      <c r="C124" s="38" t="n">
        <f aca="false">SUMIF('Raw - Sessions'!$R$5:$R$292,A124,'Raw - Sessions'!$D$5:$D$292)</f>
        <v>0</v>
      </c>
      <c r="D124" s="38" t="n">
        <f aca="false">SUMIF('Raw - Sessions'!$R$5:$R$292,A124,'Raw - Sessions'!$E$5:$E$292)</f>
        <v>0</v>
      </c>
      <c r="E124" s="38" t="n">
        <f aca="false">'Raw - Daily Energy'!B119</f>
        <v>0</v>
      </c>
      <c r="F124" s="42" t="n">
        <f aca="false">SUMIF('Raw - Sessions'!$R$5:$R$292,A124,'Raw - Sessions'!$P$5:$P$292)</f>
        <v>0</v>
      </c>
    </row>
    <row r="125" customFormat="false" ht="15" hidden="false" customHeight="false" outlineLevel="0" collapsed="false">
      <c r="A125" s="54" t="n">
        <f aca="false">'Raw - Daily Energy'!A120</f>
        <v>45965</v>
      </c>
      <c r="B125" s="17" t="n">
        <f aca="false">COUNTIF('Raw - Sessions'!$R$5:$R$292,A125)</f>
        <v>1</v>
      </c>
      <c r="C125" s="39" t="n">
        <f aca="false">SUMIF('Raw - Sessions'!$R$5:$R$292,A125,'Raw - Sessions'!$D$5:$D$292)</f>
        <v>0.744722222222222</v>
      </c>
      <c r="D125" s="39" t="n">
        <f aca="false">SUMIF('Raw - Sessions'!$R$5:$R$292,A125,'Raw - Sessions'!$E$5:$E$292)</f>
        <v>41.457901</v>
      </c>
      <c r="E125" s="39" t="n">
        <f aca="false">'Raw - Daily Energy'!B120</f>
        <v>41.458</v>
      </c>
      <c r="F125" s="44" t="n">
        <f aca="false">SUMIF('Raw - Sessions'!$R$5:$R$292,A125,'Raw - Sessions'!$P$5:$P$292)</f>
        <v>20.55</v>
      </c>
    </row>
    <row r="126" customFormat="false" ht="15" hidden="false" customHeight="false" outlineLevel="0" collapsed="false">
      <c r="A126" s="53" t="n">
        <f aca="false">'Raw - Daily Energy'!A121</f>
        <v>45966</v>
      </c>
      <c r="B126" s="14" t="n">
        <f aca="false">COUNTIF('Raw - Sessions'!$R$5:$R$292,A126)</f>
        <v>0</v>
      </c>
      <c r="C126" s="38" t="n">
        <f aca="false">SUMIF('Raw - Sessions'!$R$5:$R$292,A126,'Raw - Sessions'!$D$5:$D$292)</f>
        <v>0</v>
      </c>
      <c r="D126" s="38" t="n">
        <f aca="false">SUMIF('Raw - Sessions'!$R$5:$R$292,A126,'Raw - Sessions'!$E$5:$E$292)</f>
        <v>0</v>
      </c>
      <c r="E126" s="38" t="n">
        <f aca="false">'Raw - Daily Energy'!B121</f>
        <v>0</v>
      </c>
      <c r="F126" s="42" t="n">
        <f aca="false">SUMIF('Raw - Sessions'!$R$5:$R$292,A126,'Raw - Sessions'!$P$5:$P$292)</f>
        <v>0</v>
      </c>
    </row>
    <row r="127" customFormat="false" ht="15" hidden="false" customHeight="false" outlineLevel="0" collapsed="false">
      <c r="A127" s="54" t="n">
        <f aca="false">'Raw - Daily Energy'!A122</f>
        <v>45967</v>
      </c>
      <c r="B127" s="17" t="n">
        <f aca="false">COUNTIF('Raw - Sessions'!$R$5:$R$292,A127)</f>
        <v>0</v>
      </c>
      <c r="C127" s="39" t="n">
        <f aca="false">SUMIF('Raw - Sessions'!$R$5:$R$292,A127,'Raw - Sessions'!$D$5:$D$292)</f>
        <v>0</v>
      </c>
      <c r="D127" s="39" t="n">
        <f aca="false">SUMIF('Raw - Sessions'!$R$5:$R$292,A127,'Raw - Sessions'!$E$5:$E$292)</f>
        <v>0</v>
      </c>
      <c r="E127" s="39" t="n">
        <f aca="false">'Raw - Daily Energy'!B122</f>
        <v>0</v>
      </c>
      <c r="F127" s="44" t="n">
        <f aca="false">SUMIF('Raw - Sessions'!$R$5:$R$292,A127,'Raw - Sessions'!$P$5:$P$292)</f>
        <v>0</v>
      </c>
    </row>
    <row r="128" customFormat="false" ht="15" hidden="false" customHeight="false" outlineLevel="0" collapsed="false">
      <c r="A128" s="53" t="n">
        <f aca="false">'Raw - Daily Energy'!A123</f>
        <v>45968</v>
      </c>
      <c r="B128" s="14" t="n">
        <f aca="false">COUNTIF('Raw - Sessions'!$R$5:$R$292,A128)</f>
        <v>2</v>
      </c>
      <c r="C128" s="38" t="n">
        <f aca="false">SUMIF('Raw - Sessions'!$R$5:$R$292,A128,'Raw - Sessions'!$D$5:$D$292)</f>
        <v>1.215</v>
      </c>
      <c r="D128" s="38" t="n">
        <f aca="false">SUMIF('Raw - Sessions'!$R$5:$R$292,A128,'Raw - Sessions'!$E$5:$E$292)</f>
        <v>64.847601</v>
      </c>
      <c r="E128" s="38" t="n">
        <f aca="false">'Raw - Daily Energy'!B123</f>
        <v>64.848</v>
      </c>
      <c r="F128" s="42" t="n">
        <f aca="false">SUMIF('Raw - Sessions'!$R$5:$R$292,A128,'Raw - Sessions'!$P$5:$P$292)</f>
        <v>32.34</v>
      </c>
    </row>
    <row r="129" customFormat="false" ht="15" hidden="false" customHeight="false" outlineLevel="0" collapsed="false">
      <c r="A129" s="54" t="n">
        <f aca="false">'Raw - Daily Energy'!A124</f>
        <v>45969</v>
      </c>
      <c r="B129" s="17" t="n">
        <f aca="false">COUNTIF('Raw - Sessions'!$R$5:$R$292,A129)</f>
        <v>2</v>
      </c>
      <c r="C129" s="39" t="n">
        <f aca="false">SUMIF('Raw - Sessions'!$R$5:$R$292,A129,'Raw - Sessions'!$D$5:$D$292)</f>
        <v>0.380555555555556</v>
      </c>
      <c r="D129" s="39" t="n">
        <f aca="false">SUMIF('Raw - Sessions'!$R$5:$R$292,A129,'Raw - Sessions'!$E$5:$E$292)</f>
        <v>16.5644</v>
      </c>
      <c r="E129" s="39" t="n">
        <f aca="false">'Raw - Daily Energy'!B124</f>
        <v>16.564</v>
      </c>
      <c r="F129" s="44" t="n">
        <f aca="false">SUMIF('Raw - Sessions'!$R$5:$R$292,A129,'Raw - Sessions'!$P$5:$P$292)</f>
        <v>8.55</v>
      </c>
    </row>
    <row r="130" customFormat="false" ht="15" hidden="false" customHeight="false" outlineLevel="0" collapsed="false">
      <c r="A130" s="53" t="n">
        <f aca="false">'Raw - Daily Energy'!A125</f>
        <v>45970</v>
      </c>
      <c r="B130" s="14" t="n">
        <f aca="false">COUNTIF('Raw - Sessions'!$R$5:$R$292,A130)</f>
        <v>1</v>
      </c>
      <c r="C130" s="38" t="n">
        <f aca="false">SUMIF('Raw - Sessions'!$R$5:$R$292,A130,'Raw - Sessions'!$D$5:$D$292)</f>
        <v>1.435</v>
      </c>
      <c r="D130" s="38" t="n">
        <f aca="false">SUMIF('Raw - Sessions'!$R$5:$R$292,A130,'Raw - Sessions'!$E$5:$E$292)</f>
        <v>63.373699</v>
      </c>
      <c r="E130" s="38" t="n">
        <f aca="false">'Raw - Daily Energy'!B125</f>
        <v>63.374</v>
      </c>
      <c r="F130" s="42" t="n">
        <f aca="false">SUMIF('Raw - Sessions'!$R$5:$R$292,A130,'Raw - Sessions'!$P$5:$P$292)</f>
        <v>32.61</v>
      </c>
    </row>
    <row r="131" customFormat="false" ht="15" hidden="false" customHeight="false" outlineLevel="0" collapsed="false">
      <c r="A131" s="54" t="n">
        <f aca="false">'Raw - Daily Energy'!A126</f>
        <v>45971</v>
      </c>
      <c r="B131" s="17" t="n">
        <f aca="false">COUNTIF('Raw - Sessions'!$R$5:$R$292,A131)</f>
        <v>1</v>
      </c>
      <c r="C131" s="39" t="n">
        <f aca="false">SUMIF('Raw - Sessions'!$R$5:$R$292,A131,'Raw - Sessions'!$D$5:$D$292)</f>
        <v>0.627777777777778</v>
      </c>
      <c r="D131" s="39" t="n">
        <f aca="false">SUMIF('Raw - Sessions'!$R$5:$R$292,A131,'Raw - Sessions'!$E$5:$E$292)</f>
        <v>36.359001</v>
      </c>
      <c r="E131" s="39" t="n">
        <f aca="false">'Raw - Daily Energy'!B126</f>
        <v>36.359</v>
      </c>
      <c r="F131" s="44" t="n">
        <f aca="false">SUMIF('Raw - Sessions'!$R$5:$R$292,A131,'Raw - Sessions'!$P$5:$P$292)</f>
        <v>17.92</v>
      </c>
    </row>
    <row r="132" customFormat="false" ht="15" hidden="false" customHeight="false" outlineLevel="0" collapsed="false">
      <c r="A132" s="53" t="n">
        <f aca="false">'Raw - Daily Energy'!A127</f>
        <v>45972</v>
      </c>
      <c r="B132" s="14" t="n">
        <f aca="false">COUNTIF('Raw - Sessions'!$R$5:$R$292,A132)</f>
        <v>0</v>
      </c>
      <c r="C132" s="38" t="n">
        <f aca="false">SUMIF('Raw - Sessions'!$R$5:$R$292,A132,'Raw - Sessions'!$D$5:$D$292)</f>
        <v>0</v>
      </c>
      <c r="D132" s="38" t="n">
        <f aca="false">SUMIF('Raw - Sessions'!$R$5:$R$292,A132,'Raw - Sessions'!$E$5:$E$292)</f>
        <v>0</v>
      </c>
      <c r="E132" s="38" t="n">
        <f aca="false">'Raw - Daily Energy'!B127</f>
        <v>0</v>
      </c>
      <c r="F132" s="42" t="n">
        <f aca="false">SUMIF('Raw - Sessions'!$R$5:$R$292,A132,'Raw - Sessions'!$P$5:$P$292)</f>
        <v>0</v>
      </c>
    </row>
    <row r="133" customFormat="false" ht="15" hidden="false" customHeight="false" outlineLevel="0" collapsed="false">
      <c r="A133" s="54" t="n">
        <f aca="false">'Raw - Daily Energy'!A128</f>
        <v>45973</v>
      </c>
      <c r="B133" s="17" t="n">
        <f aca="false">COUNTIF('Raw - Sessions'!$R$5:$R$292,A133)</f>
        <v>0</v>
      </c>
      <c r="C133" s="39" t="n">
        <f aca="false">SUMIF('Raw - Sessions'!$R$5:$R$292,A133,'Raw - Sessions'!$D$5:$D$292)</f>
        <v>0</v>
      </c>
      <c r="D133" s="39" t="n">
        <f aca="false">SUMIF('Raw - Sessions'!$R$5:$R$292,A133,'Raw - Sessions'!$E$5:$E$292)</f>
        <v>0</v>
      </c>
      <c r="E133" s="39" t="n">
        <f aca="false">'Raw - Daily Energy'!B128</f>
        <v>0</v>
      </c>
      <c r="F133" s="44" t="n">
        <f aca="false">SUMIF('Raw - Sessions'!$R$5:$R$292,A133,'Raw - Sessions'!$P$5:$P$292)</f>
        <v>0</v>
      </c>
    </row>
    <row r="134" customFormat="false" ht="15" hidden="false" customHeight="false" outlineLevel="0" collapsed="false">
      <c r="A134" s="53" t="n">
        <f aca="false">'Raw - Daily Energy'!A129</f>
        <v>45974</v>
      </c>
      <c r="B134" s="14" t="n">
        <f aca="false">COUNTIF('Raw - Sessions'!$R$5:$R$292,A134)</f>
        <v>0</v>
      </c>
      <c r="C134" s="38" t="n">
        <f aca="false">SUMIF('Raw - Sessions'!$R$5:$R$292,A134,'Raw - Sessions'!$D$5:$D$292)</f>
        <v>0</v>
      </c>
      <c r="D134" s="38" t="n">
        <f aca="false">SUMIF('Raw - Sessions'!$R$5:$R$292,A134,'Raw - Sessions'!$E$5:$E$292)</f>
        <v>0</v>
      </c>
      <c r="E134" s="38" t="n">
        <f aca="false">'Raw - Daily Energy'!B129</f>
        <v>0</v>
      </c>
      <c r="F134" s="42" t="n">
        <f aca="false">SUMIF('Raw - Sessions'!$R$5:$R$292,A134,'Raw - Sessions'!$P$5:$P$292)</f>
        <v>0</v>
      </c>
    </row>
    <row r="135" customFormat="false" ht="15" hidden="false" customHeight="false" outlineLevel="0" collapsed="false">
      <c r="A135" s="54" t="n">
        <f aca="false">'Raw - Daily Energy'!A130</f>
        <v>45975</v>
      </c>
      <c r="B135" s="17" t="n">
        <f aca="false">COUNTIF('Raw - Sessions'!$R$5:$R$292,A135)</f>
        <v>1</v>
      </c>
      <c r="C135" s="39" t="n">
        <f aca="false">SUMIF('Raw - Sessions'!$R$5:$R$292,A135,'Raw - Sessions'!$D$5:$D$292)</f>
        <v>1.06111111111111</v>
      </c>
      <c r="D135" s="39" t="n">
        <f aca="false">SUMIF('Raw - Sessions'!$R$5:$R$292,A135,'Raw - Sessions'!$E$5:$E$292)</f>
        <v>62.974098</v>
      </c>
      <c r="E135" s="39" t="n">
        <f aca="false">'Raw - Daily Energy'!B130</f>
        <v>62.974</v>
      </c>
      <c r="F135" s="44" t="n">
        <f aca="false">SUMIF('Raw - Sessions'!$R$5:$R$292,A135,'Raw - Sessions'!$P$5:$P$292)</f>
        <v>30.94</v>
      </c>
    </row>
    <row r="136" customFormat="false" ht="15" hidden="false" customHeight="false" outlineLevel="0" collapsed="false">
      <c r="A136" s="53" t="n">
        <f aca="false">'Raw - Daily Energy'!A131</f>
        <v>45976</v>
      </c>
      <c r="B136" s="14" t="n">
        <f aca="false">COUNTIF('Raw - Sessions'!$R$5:$R$292,A136)</f>
        <v>1</v>
      </c>
      <c r="C136" s="38" t="n">
        <f aca="false">SUMIF('Raw - Sessions'!$R$5:$R$292,A136,'Raw - Sessions'!$D$5:$D$292)</f>
        <v>0.916666666666667</v>
      </c>
      <c r="D136" s="38" t="n">
        <f aca="false">SUMIF('Raw - Sessions'!$R$5:$R$292,A136,'Raw - Sessions'!$E$5:$E$292)</f>
        <v>48.506901</v>
      </c>
      <c r="E136" s="38" t="n">
        <f aca="false">'Raw - Daily Energy'!B131</f>
        <v>48.507</v>
      </c>
      <c r="F136" s="42" t="n">
        <f aca="false">SUMIF('Raw - Sessions'!$R$5:$R$292,A136,'Raw - Sessions'!$P$5:$P$292)</f>
        <v>24.23</v>
      </c>
    </row>
    <row r="137" customFormat="false" ht="15" hidden="false" customHeight="false" outlineLevel="0" collapsed="false">
      <c r="A137" s="54" t="n">
        <f aca="false">'Raw - Daily Energy'!A132</f>
        <v>45977</v>
      </c>
      <c r="B137" s="17" t="n">
        <f aca="false">COUNTIF('Raw - Sessions'!$R$5:$R$292,A137)</f>
        <v>4</v>
      </c>
      <c r="C137" s="39" t="n">
        <f aca="false">SUMIF('Raw - Sessions'!$R$5:$R$292,A137,'Raw - Sessions'!$D$5:$D$292)</f>
        <v>1.29166666666667</v>
      </c>
      <c r="D137" s="39" t="n">
        <f aca="false">SUMIF('Raw - Sessions'!$R$5:$R$292,A137,'Raw - Sessions'!$E$5:$E$292)</f>
        <v>34.246062</v>
      </c>
      <c r="E137" s="39" t="n">
        <f aca="false">'Raw - Daily Energy'!B132</f>
        <v>34.246</v>
      </c>
      <c r="F137" s="44" t="n">
        <f aca="false">SUMIF('Raw - Sessions'!$R$5:$R$292,A137,'Raw - Sessions'!$P$5:$P$292)</f>
        <v>19.55</v>
      </c>
    </row>
    <row r="138" customFormat="false" ht="15" hidden="false" customHeight="false" outlineLevel="0" collapsed="false">
      <c r="A138" s="53" t="n">
        <f aca="false">'Raw - Daily Energy'!A133</f>
        <v>45978</v>
      </c>
      <c r="B138" s="14" t="n">
        <f aca="false">COUNTIF('Raw - Sessions'!$R$5:$R$292,A138)</f>
        <v>0</v>
      </c>
      <c r="C138" s="38" t="n">
        <f aca="false">SUMIF('Raw - Sessions'!$R$5:$R$292,A138,'Raw - Sessions'!$D$5:$D$292)</f>
        <v>0</v>
      </c>
      <c r="D138" s="38" t="n">
        <f aca="false">SUMIF('Raw - Sessions'!$R$5:$R$292,A138,'Raw - Sessions'!$E$5:$E$292)</f>
        <v>0</v>
      </c>
      <c r="E138" s="38" t="n">
        <f aca="false">'Raw - Daily Energy'!B133</f>
        <v>0</v>
      </c>
      <c r="F138" s="42" t="n">
        <f aca="false">SUMIF('Raw - Sessions'!$R$5:$R$292,A138,'Raw - Sessions'!$P$5:$P$292)</f>
        <v>0</v>
      </c>
    </row>
    <row r="139" customFormat="false" ht="15" hidden="false" customHeight="false" outlineLevel="0" collapsed="false">
      <c r="A139" s="54" t="n">
        <f aca="false">'Raw - Daily Energy'!A134</f>
        <v>45979</v>
      </c>
      <c r="B139" s="17" t="n">
        <f aca="false">COUNTIF('Raw - Sessions'!$R$5:$R$292,A139)</f>
        <v>1</v>
      </c>
      <c r="C139" s="39" t="n">
        <f aca="false">SUMIF('Raw - Sessions'!$R$5:$R$292,A139,'Raw - Sessions'!$D$5:$D$292)</f>
        <v>1.405</v>
      </c>
      <c r="D139" s="39" t="n">
        <f aca="false">SUMIF('Raw - Sessions'!$R$5:$R$292,A139,'Raw - Sessions'!$E$5:$E$292)</f>
        <v>72.0289</v>
      </c>
      <c r="E139" s="39" t="n">
        <f aca="false">'Raw - Daily Energy'!B134</f>
        <v>72.029</v>
      </c>
      <c r="F139" s="44" t="n">
        <f aca="false">SUMIF('Raw - Sessions'!$R$5:$R$292,A139,'Raw - Sessions'!$P$5:$P$292)</f>
        <v>36.16</v>
      </c>
    </row>
    <row r="140" customFormat="false" ht="15" hidden="false" customHeight="false" outlineLevel="0" collapsed="false">
      <c r="A140" s="53" t="n">
        <f aca="false">'Raw - Daily Energy'!A135</f>
        <v>45980</v>
      </c>
      <c r="B140" s="14" t="n">
        <f aca="false">COUNTIF('Raw - Sessions'!$R$5:$R$292,A140)</f>
        <v>2</v>
      </c>
      <c r="C140" s="38" t="n">
        <f aca="false">SUMIF('Raw - Sessions'!$R$5:$R$292,A140,'Raw - Sessions'!$D$5:$D$292)</f>
        <v>1.99611111111111</v>
      </c>
      <c r="D140" s="38" t="n">
        <f aca="false">SUMIF('Raw - Sessions'!$R$5:$R$292,A140,'Raw - Sessions'!$E$5:$E$292)</f>
        <v>62.127401</v>
      </c>
      <c r="E140" s="38" t="n">
        <f aca="false">'Raw - Daily Energy'!B135</f>
        <v>62.127</v>
      </c>
      <c r="F140" s="42" t="n">
        <f aca="false">SUMIF('Raw - Sessions'!$R$5:$R$292,A140,'Raw - Sessions'!$P$5:$P$292)</f>
        <v>34.34</v>
      </c>
    </row>
    <row r="141" customFormat="false" ht="15" hidden="false" customHeight="false" outlineLevel="0" collapsed="false">
      <c r="A141" s="54" t="n">
        <f aca="false">'Raw - Daily Energy'!A136</f>
        <v>45981</v>
      </c>
      <c r="B141" s="17" t="n">
        <f aca="false">COUNTIF('Raw - Sessions'!$R$5:$R$292,A141)</f>
        <v>0</v>
      </c>
      <c r="C141" s="39" t="n">
        <f aca="false">SUMIF('Raw - Sessions'!$R$5:$R$292,A141,'Raw - Sessions'!$D$5:$D$292)</f>
        <v>0</v>
      </c>
      <c r="D141" s="39" t="n">
        <f aca="false">SUMIF('Raw - Sessions'!$R$5:$R$292,A141,'Raw - Sessions'!$E$5:$E$292)</f>
        <v>0</v>
      </c>
      <c r="E141" s="39" t="n">
        <f aca="false">'Raw - Daily Energy'!B136</f>
        <v>0</v>
      </c>
      <c r="F141" s="44" t="n">
        <f aca="false">SUMIF('Raw - Sessions'!$R$5:$R$292,A141,'Raw - Sessions'!$P$5:$P$292)</f>
        <v>0</v>
      </c>
    </row>
    <row r="142" customFormat="false" ht="15" hidden="false" customHeight="false" outlineLevel="0" collapsed="false">
      <c r="A142" s="53" t="n">
        <f aca="false">'Raw - Daily Energy'!A137</f>
        <v>45982</v>
      </c>
      <c r="B142" s="14" t="n">
        <f aca="false">COUNTIF('Raw - Sessions'!$R$5:$R$292,A142)</f>
        <v>0</v>
      </c>
      <c r="C142" s="38" t="n">
        <f aca="false">SUMIF('Raw - Sessions'!$R$5:$R$292,A142,'Raw - Sessions'!$D$5:$D$292)</f>
        <v>0</v>
      </c>
      <c r="D142" s="38" t="n">
        <f aca="false">SUMIF('Raw - Sessions'!$R$5:$R$292,A142,'Raw - Sessions'!$E$5:$E$292)</f>
        <v>0</v>
      </c>
      <c r="E142" s="38" t="n">
        <f aca="false">'Raw - Daily Energy'!B137</f>
        <v>0</v>
      </c>
      <c r="F142" s="42" t="n">
        <f aca="false">SUMIF('Raw - Sessions'!$R$5:$R$292,A142,'Raw - Sessions'!$P$5:$P$292)</f>
        <v>0</v>
      </c>
    </row>
    <row r="143" customFormat="false" ht="15" hidden="false" customHeight="false" outlineLevel="0" collapsed="false">
      <c r="A143" s="54" t="n">
        <f aca="false">'Raw - Daily Energy'!A138</f>
        <v>45983</v>
      </c>
      <c r="B143" s="17" t="n">
        <f aca="false">COUNTIF('Raw - Sessions'!$R$5:$R$292,A143)</f>
        <v>0</v>
      </c>
      <c r="C143" s="39" t="n">
        <f aca="false">SUMIF('Raw - Sessions'!$R$5:$R$292,A143,'Raw - Sessions'!$D$5:$D$292)</f>
        <v>0</v>
      </c>
      <c r="D143" s="39" t="n">
        <f aca="false">SUMIF('Raw - Sessions'!$R$5:$R$292,A143,'Raw - Sessions'!$E$5:$E$292)</f>
        <v>0</v>
      </c>
      <c r="E143" s="39" t="n">
        <f aca="false">'Raw - Daily Energy'!B138</f>
        <v>0</v>
      </c>
      <c r="F143" s="44" t="n">
        <f aca="false">SUMIF('Raw - Sessions'!$R$5:$R$292,A143,'Raw - Sessions'!$P$5:$P$292)</f>
        <v>0</v>
      </c>
    </row>
    <row r="144" customFormat="false" ht="15" hidden="false" customHeight="false" outlineLevel="0" collapsed="false">
      <c r="A144" s="53" t="n">
        <f aca="false">'Raw - Daily Energy'!A139</f>
        <v>45984</v>
      </c>
      <c r="B144" s="14" t="n">
        <f aca="false">COUNTIF('Raw - Sessions'!$R$5:$R$292,A144)</f>
        <v>0</v>
      </c>
      <c r="C144" s="38" t="n">
        <f aca="false">SUMIF('Raw - Sessions'!$R$5:$R$292,A144,'Raw - Sessions'!$D$5:$D$292)</f>
        <v>0</v>
      </c>
      <c r="D144" s="38" t="n">
        <f aca="false">SUMIF('Raw - Sessions'!$R$5:$R$292,A144,'Raw - Sessions'!$E$5:$E$292)</f>
        <v>0</v>
      </c>
      <c r="E144" s="38" t="n">
        <f aca="false">'Raw - Daily Energy'!B139</f>
        <v>0</v>
      </c>
      <c r="F144" s="42" t="n">
        <f aca="false">SUMIF('Raw - Sessions'!$R$5:$R$292,A144,'Raw - Sessions'!$P$5:$P$292)</f>
        <v>0</v>
      </c>
    </row>
    <row r="145" customFormat="false" ht="15" hidden="false" customHeight="false" outlineLevel="0" collapsed="false">
      <c r="A145" s="54" t="n">
        <f aca="false">'Raw - Daily Energy'!A140</f>
        <v>45985</v>
      </c>
      <c r="B145" s="17" t="n">
        <f aca="false">COUNTIF('Raw - Sessions'!$R$5:$R$292,A145)</f>
        <v>0</v>
      </c>
      <c r="C145" s="39" t="n">
        <f aca="false">SUMIF('Raw - Sessions'!$R$5:$R$292,A145,'Raw - Sessions'!$D$5:$D$292)</f>
        <v>0</v>
      </c>
      <c r="D145" s="39" t="n">
        <f aca="false">SUMIF('Raw - Sessions'!$R$5:$R$292,A145,'Raw - Sessions'!$E$5:$E$292)</f>
        <v>0</v>
      </c>
      <c r="E145" s="39" t="n">
        <f aca="false">'Raw - Daily Energy'!B140</f>
        <v>0</v>
      </c>
      <c r="F145" s="44" t="n">
        <f aca="false">SUMIF('Raw - Sessions'!$R$5:$R$292,A145,'Raw - Sessions'!$P$5:$P$292)</f>
        <v>0</v>
      </c>
    </row>
    <row r="146" customFormat="false" ht="15" hidden="false" customHeight="false" outlineLevel="0" collapsed="false">
      <c r="A146" s="53" t="n">
        <f aca="false">'Raw - Daily Energy'!A141</f>
        <v>45986</v>
      </c>
      <c r="B146" s="14" t="n">
        <f aca="false">COUNTIF('Raw - Sessions'!$R$5:$R$292,A146)</f>
        <v>0</v>
      </c>
      <c r="C146" s="38" t="n">
        <f aca="false">SUMIF('Raw - Sessions'!$R$5:$R$292,A146,'Raw - Sessions'!$D$5:$D$292)</f>
        <v>0</v>
      </c>
      <c r="D146" s="38" t="n">
        <f aca="false">SUMIF('Raw - Sessions'!$R$5:$R$292,A146,'Raw - Sessions'!$E$5:$E$292)</f>
        <v>0</v>
      </c>
      <c r="E146" s="38" t="n">
        <f aca="false">'Raw - Daily Energy'!B141</f>
        <v>0</v>
      </c>
      <c r="F146" s="42" t="n">
        <f aca="false">SUMIF('Raw - Sessions'!$R$5:$R$292,A146,'Raw - Sessions'!$P$5:$P$292)</f>
        <v>0</v>
      </c>
    </row>
    <row r="147" customFormat="false" ht="15" hidden="false" customHeight="false" outlineLevel="0" collapsed="false">
      <c r="A147" s="54" t="n">
        <f aca="false">'Raw - Daily Energy'!A142</f>
        <v>45987</v>
      </c>
      <c r="B147" s="17" t="n">
        <f aca="false">COUNTIF('Raw - Sessions'!$R$5:$R$292,A147)</f>
        <v>1</v>
      </c>
      <c r="C147" s="39" t="n">
        <f aca="false">SUMIF('Raw - Sessions'!$R$5:$R$292,A147,'Raw - Sessions'!$D$5:$D$292)</f>
        <v>0.0319444444444444</v>
      </c>
      <c r="D147" s="39" t="n">
        <f aca="false">SUMIF('Raw - Sessions'!$R$5:$R$292,A147,'Raw - Sessions'!$E$5:$E$292)</f>
        <v>0</v>
      </c>
      <c r="E147" s="39" t="n">
        <f aca="false">'Raw - Daily Energy'!B142</f>
        <v>0</v>
      </c>
      <c r="F147" s="44" t="n">
        <f aca="false">SUMIF('Raw - Sessions'!$R$5:$R$292,A147,'Raw - Sessions'!$P$5:$P$292)</f>
        <v>0</v>
      </c>
    </row>
    <row r="148" customFormat="false" ht="15" hidden="false" customHeight="false" outlineLevel="0" collapsed="false">
      <c r="A148" s="53" t="n">
        <f aca="false">'Raw - Daily Energy'!A143</f>
        <v>45988</v>
      </c>
      <c r="B148" s="14" t="n">
        <f aca="false">COUNTIF('Raw - Sessions'!$R$5:$R$292,A148)</f>
        <v>0</v>
      </c>
      <c r="C148" s="38" t="n">
        <f aca="false">SUMIF('Raw - Sessions'!$R$5:$R$292,A148,'Raw - Sessions'!$D$5:$D$292)</f>
        <v>0</v>
      </c>
      <c r="D148" s="38" t="n">
        <f aca="false">SUMIF('Raw - Sessions'!$R$5:$R$292,A148,'Raw - Sessions'!$E$5:$E$292)</f>
        <v>0</v>
      </c>
      <c r="E148" s="38" t="n">
        <f aca="false">'Raw - Daily Energy'!B143</f>
        <v>0</v>
      </c>
      <c r="F148" s="42" t="n">
        <f aca="false">SUMIF('Raw - Sessions'!$R$5:$R$292,A148,'Raw - Sessions'!$P$5:$P$292)</f>
        <v>0</v>
      </c>
    </row>
    <row r="149" customFormat="false" ht="15" hidden="false" customHeight="false" outlineLevel="0" collapsed="false">
      <c r="A149" s="54" t="n">
        <f aca="false">'Raw - Daily Energy'!A144</f>
        <v>45989</v>
      </c>
      <c r="B149" s="17" t="n">
        <f aca="false">COUNTIF('Raw - Sessions'!$R$5:$R$292,A149)</f>
        <v>3</v>
      </c>
      <c r="C149" s="39" t="n">
        <f aca="false">SUMIF('Raw - Sessions'!$R$5:$R$292,A149,'Raw - Sessions'!$D$5:$D$292)</f>
        <v>2.04194444444445</v>
      </c>
      <c r="D149" s="39" t="n">
        <f aca="false">SUMIF('Raw - Sessions'!$R$5:$R$292,A149,'Raw - Sessions'!$E$5:$E$292)</f>
        <v>119.159198</v>
      </c>
      <c r="E149" s="39" t="n">
        <f aca="false">'Raw - Daily Energy'!B144</f>
        <v>119.159</v>
      </c>
      <c r="F149" s="44" t="n">
        <f aca="false">SUMIF('Raw - Sessions'!$R$5:$R$292,A149,'Raw - Sessions'!$P$5:$P$292)</f>
        <v>58.69</v>
      </c>
    </row>
    <row r="150" customFormat="false" ht="15" hidden="false" customHeight="false" outlineLevel="0" collapsed="false">
      <c r="A150" s="53" t="n">
        <f aca="false">'Raw - Daily Energy'!A145</f>
        <v>45990</v>
      </c>
      <c r="B150" s="14" t="n">
        <f aca="false">COUNTIF('Raw - Sessions'!$R$5:$R$292,A150)</f>
        <v>2</v>
      </c>
      <c r="C150" s="38" t="n">
        <f aca="false">SUMIF('Raw - Sessions'!$R$5:$R$292,A150,'Raw - Sessions'!$D$5:$D$292)</f>
        <v>0.346666666666667</v>
      </c>
      <c r="D150" s="38" t="n">
        <f aca="false">SUMIF('Raw - Sessions'!$R$5:$R$292,A150,'Raw - Sessions'!$E$5:$E$292)</f>
        <v>2.312983</v>
      </c>
      <c r="E150" s="38" t="n">
        <f aca="false">'Raw - Daily Energy'!B145</f>
        <v>59.001</v>
      </c>
      <c r="F150" s="42" t="n">
        <f aca="false">SUMIF('Raw - Sessions'!$R$5:$R$292,A150,'Raw - Sessions'!$P$5:$P$292)</f>
        <v>2.29</v>
      </c>
    </row>
    <row r="151" customFormat="false" ht="15" hidden="false" customHeight="false" outlineLevel="0" collapsed="false">
      <c r="A151" s="54" t="n">
        <f aca="false">'Raw - Daily Energy'!A146</f>
        <v>45991</v>
      </c>
      <c r="B151" s="17" t="n">
        <f aca="false">COUNTIF('Raw - Sessions'!$R$5:$R$292,A151)</f>
        <v>3</v>
      </c>
      <c r="C151" s="39" t="n">
        <f aca="false">SUMIF('Raw - Sessions'!$R$5:$R$292,A151,'Raw - Sessions'!$D$5:$D$292)</f>
        <v>2.13388888888889</v>
      </c>
      <c r="D151" s="39" t="n">
        <f aca="false">SUMIF('Raw - Sessions'!$R$5:$R$292,A151,'Raw - Sessions'!$E$5:$E$292)</f>
        <v>83.410601</v>
      </c>
      <c r="E151" s="39" t="n">
        <f aca="false">'Raw - Daily Energy'!B146</f>
        <v>26.723</v>
      </c>
      <c r="F151" s="44" t="n">
        <f aca="false">SUMIF('Raw - Sessions'!$R$5:$R$292,A151,'Raw - Sessions'!$P$5:$P$292)</f>
        <v>43.91</v>
      </c>
    </row>
    <row r="152" customFormat="false" ht="15" hidden="false" customHeight="false" outlineLevel="0" collapsed="false">
      <c r="A152" s="53" t="n">
        <f aca="false">'Raw - Daily Energy'!A147</f>
        <v>45992</v>
      </c>
      <c r="B152" s="14" t="n">
        <f aca="false">COUNTIF('Raw - Sessions'!$R$5:$R$292,A152)</f>
        <v>2</v>
      </c>
      <c r="C152" s="38" t="n">
        <f aca="false">SUMIF('Raw - Sessions'!$R$5:$R$292,A152,'Raw - Sessions'!$D$5:$D$292)</f>
        <v>0.433055555555556</v>
      </c>
      <c r="D152" s="38" t="n">
        <f aca="false">SUMIF('Raw - Sessions'!$R$5:$R$292,A152,'Raw - Sessions'!$E$5:$E$292)</f>
        <v>25.139</v>
      </c>
      <c r="E152" s="38" t="n">
        <f aca="false">'Raw - Daily Energy'!B147</f>
        <v>25.139</v>
      </c>
      <c r="F152" s="42" t="n">
        <f aca="false">SUMIF('Raw - Sessions'!$R$5:$R$292,A152,'Raw - Sessions'!$P$5:$P$292)</f>
        <v>12.34</v>
      </c>
    </row>
    <row r="153" customFormat="false" ht="15" hidden="false" customHeight="false" outlineLevel="0" collapsed="false">
      <c r="A153" s="54" t="n">
        <f aca="false">'Raw - Daily Energy'!A148</f>
        <v>45993</v>
      </c>
      <c r="B153" s="17" t="n">
        <f aca="false">COUNTIF('Raw - Sessions'!$R$5:$R$292,A153)</f>
        <v>0</v>
      </c>
      <c r="C153" s="39" t="n">
        <f aca="false">SUMIF('Raw - Sessions'!$R$5:$R$292,A153,'Raw - Sessions'!$D$5:$D$292)</f>
        <v>0</v>
      </c>
      <c r="D153" s="39" t="n">
        <f aca="false">SUMIF('Raw - Sessions'!$R$5:$R$292,A153,'Raw - Sessions'!$E$5:$E$292)</f>
        <v>0</v>
      </c>
      <c r="E153" s="39" t="n">
        <f aca="false">'Raw - Daily Energy'!B148</f>
        <v>0</v>
      </c>
      <c r="F153" s="44" t="n">
        <f aca="false">SUMIF('Raw - Sessions'!$R$5:$R$292,A153,'Raw - Sessions'!$P$5:$P$292)</f>
        <v>0</v>
      </c>
    </row>
    <row r="154" customFormat="false" ht="15" hidden="false" customHeight="false" outlineLevel="0" collapsed="false">
      <c r="A154" s="53" t="n">
        <f aca="false">'Raw - Daily Energy'!A149</f>
        <v>45994</v>
      </c>
      <c r="B154" s="14" t="n">
        <f aca="false">COUNTIF('Raw - Sessions'!$R$5:$R$292,A154)</f>
        <v>0</v>
      </c>
      <c r="C154" s="38" t="n">
        <f aca="false">SUMIF('Raw - Sessions'!$R$5:$R$292,A154,'Raw - Sessions'!$D$5:$D$292)</f>
        <v>0</v>
      </c>
      <c r="D154" s="38" t="n">
        <f aca="false">SUMIF('Raw - Sessions'!$R$5:$R$292,A154,'Raw - Sessions'!$E$5:$E$292)</f>
        <v>0</v>
      </c>
      <c r="E154" s="38" t="n">
        <f aca="false">'Raw - Daily Energy'!B149</f>
        <v>0</v>
      </c>
      <c r="F154" s="42" t="n">
        <f aca="false">SUMIF('Raw - Sessions'!$R$5:$R$292,A154,'Raw - Sessions'!$P$5:$P$292)</f>
        <v>0</v>
      </c>
    </row>
    <row r="155" customFormat="false" ht="15" hidden="false" customHeight="false" outlineLevel="0" collapsed="false">
      <c r="A155" s="54" t="n">
        <f aca="false">'Raw - Daily Energy'!A150</f>
        <v>45995</v>
      </c>
      <c r="B155" s="17" t="n">
        <f aca="false">COUNTIF('Raw - Sessions'!$R$5:$R$292,A155)</f>
        <v>0</v>
      </c>
      <c r="C155" s="39" t="n">
        <f aca="false">SUMIF('Raw - Sessions'!$R$5:$R$292,A155,'Raw - Sessions'!$D$5:$D$292)</f>
        <v>0</v>
      </c>
      <c r="D155" s="39" t="n">
        <f aca="false">SUMIF('Raw - Sessions'!$R$5:$R$292,A155,'Raw - Sessions'!$E$5:$E$292)</f>
        <v>0</v>
      </c>
      <c r="E155" s="39" t="n">
        <f aca="false">'Raw - Daily Energy'!B150</f>
        <v>20.333</v>
      </c>
      <c r="F155" s="44" t="n">
        <f aca="false">SUMIF('Raw - Sessions'!$R$5:$R$292,A155,'Raw - Sessions'!$P$5:$P$292)</f>
        <v>0</v>
      </c>
    </row>
    <row r="156" customFormat="false" ht="15" hidden="false" customHeight="false" outlineLevel="0" collapsed="false">
      <c r="A156" s="53" t="n">
        <f aca="false">'Raw - Daily Energy'!A151</f>
        <v>45996</v>
      </c>
      <c r="B156" s="14" t="n">
        <f aca="false">COUNTIF('Raw - Sessions'!$R$5:$R$292,A156)</f>
        <v>1</v>
      </c>
      <c r="C156" s="38" t="n">
        <f aca="false">SUMIF('Raw - Sessions'!$R$5:$R$292,A156,'Raw - Sessions'!$D$5:$D$292)</f>
        <v>0.551666666666667</v>
      </c>
      <c r="D156" s="38" t="n">
        <f aca="false">SUMIF('Raw - Sessions'!$R$5:$R$292,A156,'Raw - Sessions'!$E$5:$E$292)</f>
        <v>20.3325</v>
      </c>
      <c r="E156" s="38" t="n">
        <f aca="false">'Raw - Daily Energy'!B151</f>
        <v>0</v>
      </c>
      <c r="F156" s="42" t="n">
        <f aca="false">SUMIF('Raw - Sessions'!$R$5:$R$292,A156,'Raw - Sessions'!$P$5:$P$292)</f>
        <v>10.83</v>
      </c>
    </row>
    <row r="157" customFormat="false" ht="15" hidden="false" customHeight="false" outlineLevel="0" collapsed="false">
      <c r="A157" s="54" t="n">
        <f aca="false">'Raw - Daily Energy'!A152</f>
        <v>45997</v>
      </c>
      <c r="B157" s="17" t="n">
        <f aca="false">COUNTIF('Raw - Sessions'!$R$5:$R$292,A157)</f>
        <v>0</v>
      </c>
      <c r="C157" s="39" t="n">
        <f aca="false">SUMIF('Raw - Sessions'!$R$5:$R$292,A157,'Raw - Sessions'!$D$5:$D$292)</f>
        <v>0</v>
      </c>
      <c r="D157" s="39" t="n">
        <f aca="false">SUMIF('Raw - Sessions'!$R$5:$R$292,A157,'Raw - Sessions'!$E$5:$E$292)</f>
        <v>0</v>
      </c>
      <c r="E157" s="39" t="n">
        <f aca="false">'Raw - Daily Energy'!B152</f>
        <v>0</v>
      </c>
      <c r="F157" s="44" t="n">
        <f aca="false">SUMIF('Raw - Sessions'!$R$5:$R$292,A157,'Raw - Sessions'!$P$5:$P$292)</f>
        <v>0</v>
      </c>
    </row>
    <row r="158" customFormat="false" ht="15" hidden="false" customHeight="false" outlineLevel="0" collapsed="false">
      <c r="A158" s="53" t="n">
        <f aca="false">'Raw - Daily Energy'!A153</f>
        <v>45998</v>
      </c>
      <c r="B158" s="14" t="n">
        <f aca="false">COUNTIF('Raw - Sessions'!$R$5:$R$292,A158)</f>
        <v>0</v>
      </c>
      <c r="C158" s="38" t="n">
        <f aca="false">SUMIF('Raw - Sessions'!$R$5:$R$292,A158,'Raw - Sessions'!$D$5:$D$292)</f>
        <v>0</v>
      </c>
      <c r="D158" s="38" t="n">
        <f aca="false">SUMIF('Raw - Sessions'!$R$5:$R$292,A158,'Raw - Sessions'!$E$5:$E$292)</f>
        <v>0</v>
      </c>
      <c r="E158" s="38" t="n">
        <f aca="false">'Raw - Daily Energy'!B153</f>
        <v>0</v>
      </c>
      <c r="F158" s="42" t="n">
        <f aca="false">SUMIF('Raw - Sessions'!$R$5:$R$292,A158,'Raw - Sessions'!$P$5:$P$292)</f>
        <v>0</v>
      </c>
    </row>
    <row r="159" customFormat="false" ht="15" hidden="false" customHeight="false" outlineLevel="0" collapsed="false">
      <c r="A159" s="54" t="n">
        <f aca="false">'Raw - Daily Energy'!A154</f>
        <v>45999</v>
      </c>
      <c r="B159" s="17" t="n">
        <f aca="false">COUNTIF('Raw - Sessions'!$R$5:$R$292,A159)</f>
        <v>0</v>
      </c>
      <c r="C159" s="39" t="n">
        <f aca="false">SUMIF('Raw - Sessions'!$R$5:$R$292,A159,'Raw - Sessions'!$D$5:$D$292)</f>
        <v>0</v>
      </c>
      <c r="D159" s="39" t="n">
        <f aca="false">SUMIF('Raw - Sessions'!$R$5:$R$292,A159,'Raw - Sessions'!$E$5:$E$292)</f>
        <v>0</v>
      </c>
      <c r="E159" s="39" t="n">
        <f aca="false">'Raw - Daily Energy'!B154</f>
        <v>0</v>
      </c>
      <c r="F159" s="44" t="n">
        <f aca="false">SUMIF('Raw - Sessions'!$R$5:$R$292,A159,'Raw - Sessions'!$P$5:$P$292)</f>
        <v>0</v>
      </c>
    </row>
    <row r="160" customFormat="false" ht="15" hidden="false" customHeight="false" outlineLevel="0" collapsed="false">
      <c r="A160" s="53" t="n">
        <f aca="false">'Raw - Daily Energy'!A155</f>
        <v>46000</v>
      </c>
      <c r="B160" s="14" t="n">
        <f aca="false">COUNTIF('Raw - Sessions'!$R$5:$R$292,A160)</f>
        <v>0</v>
      </c>
      <c r="C160" s="38" t="n">
        <f aca="false">SUMIF('Raw - Sessions'!$R$5:$R$292,A160,'Raw - Sessions'!$D$5:$D$292)</f>
        <v>0</v>
      </c>
      <c r="D160" s="38" t="n">
        <f aca="false">SUMIF('Raw - Sessions'!$R$5:$R$292,A160,'Raw - Sessions'!$E$5:$E$292)</f>
        <v>0</v>
      </c>
      <c r="E160" s="38" t="n">
        <f aca="false">'Raw - Daily Energy'!B155</f>
        <v>49.421</v>
      </c>
      <c r="F160" s="42" t="n">
        <f aca="false">SUMIF('Raw - Sessions'!$R$5:$R$292,A160,'Raw - Sessions'!$P$5:$P$292)</f>
        <v>0</v>
      </c>
    </row>
    <row r="161" customFormat="false" ht="15" hidden="false" customHeight="false" outlineLevel="0" collapsed="false">
      <c r="A161" s="54" t="n">
        <f aca="false">'Raw - Daily Energy'!A156</f>
        <v>46001</v>
      </c>
      <c r="B161" s="17" t="n">
        <f aca="false">COUNTIF('Raw - Sessions'!$R$5:$R$292,A161)</f>
        <v>1</v>
      </c>
      <c r="C161" s="39" t="n">
        <f aca="false">SUMIF('Raw - Sessions'!$R$5:$R$292,A161,'Raw - Sessions'!$D$5:$D$292)</f>
        <v>0.824722222222222</v>
      </c>
      <c r="D161" s="39" t="n">
        <f aca="false">SUMIF('Raw - Sessions'!$R$5:$R$292,A161,'Raw - Sessions'!$E$5:$E$292)</f>
        <v>49.4212</v>
      </c>
      <c r="E161" s="39" t="n">
        <f aca="false">'Raw - Daily Energy'!B156</f>
        <v>29.438</v>
      </c>
      <c r="F161" s="44" t="n">
        <f aca="false">SUMIF('Raw - Sessions'!$R$5:$R$292,A161,'Raw - Sessions'!$P$5:$P$292)</f>
        <v>24.26</v>
      </c>
    </row>
    <row r="162" customFormat="false" ht="15" hidden="false" customHeight="false" outlineLevel="0" collapsed="false">
      <c r="A162" s="53" t="n">
        <f aca="false">'Raw - Daily Energy'!A157</f>
        <v>46002</v>
      </c>
      <c r="B162" s="14" t="n">
        <f aca="false">COUNTIF('Raw - Sessions'!$R$5:$R$292,A162)</f>
        <v>1</v>
      </c>
      <c r="C162" s="38" t="n">
        <f aca="false">SUMIF('Raw - Sessions'!$R$5:$R$292,A162,'Raw - Sessions'!$D$5:$D$292)</f>
        <v>0.508611111111111</v>
      </c>
      <c r="D162" s="38" t="n">
        <f aca="false">SUMIF('Raw - Sessions'!$R$5:$R$292,A162,'Raw - Sessions'!$E$5:$E$292)</f>
        <v>29.437799</v>
      </c>
      <c r="E162" s="38" t="n">
        <f aca="false">'Raw - Daily Energy'!B157</f>
        <v>0</v>
      </c>
      <c r="F162" s="42" t="n">
        <f aca="false">SUMIF('Raw - Sessions'!$R$5:$R$292,A162,'Raw - Sessions'!$P$5:$P$292)</f>
        <v>14.52</v>
      </c>
    </row>
    <row r="163" customFormat="false" ht="15" hidden="false" customHeight="false" outlineLevel="0" collapsed="false">
      <c r="A163" s="54" t="n">
        <f aca="false">'Raw - Daily Energy'!A158</f>
        <v>46003</v>
      </c>
      <c r="B163" s="17" t="n">
        <f aca="false">COUNTIF('Raw - Sessions'!$R$5:$R$292,A163)</f>
        <v>1</v>
      </c>
      <c r="C163" s="39" t="n">
        <f aca="false">SUMIF('Raw - Sessions'!$R$5:$R$292,A163,'Raw - Sessions'!$D$5:$D$292)</f>
        <v>0.0769444444444444</v>
      </c>
      <c r="D163" s="39" t="n">
        <f aca="false">SUMIF('Raw - Sessions'!$R$5:$R$292,A163,'Raw - Sessions'!$E$5:$E$292)</f>
        <v>3.4989</v>
      </c>
      <c r="E163" s="39" t="n">
        <f aca="false">'Raw - Daily Energy'!B158</f>
        <v>3.499</v>
      </c>
      <c r="F163" s="44" t="n">
        <f aca="false">SUMIF('Raw - Sessions'!$R$5:$R$292,A163,'Raw - Sessions'!$P$5:$P$292)</f>
        <v>1.79</v>
      </c>
    </row>
    <row r="164" customFormat="false" ht="15" hidden="false" customHeight="false" outlineLevel="0" collapsed="false">
      <c r="A164" s="53" t="n">
        <f aca="false">'Raw - Daily Energy'!A159</f>
        <v>46004</v>
      </c>
      <c r="B164" s="14" t="n">
        <f aca="false">COUNTIF('Raw - Sessions'!$R$5:$R$292,A164)</f>
        <v>1</v>
      </c>
      <c r="C164" s="38" t="n">
        <f aca="false">SUMIF('Raw - Sessions'!$R$5:$R$292,A164,'Raw - Sessions'!$D$5:$D$292)</f>
        <v>9.05888888888889</v>
      </c>
      <c r="D164" s="38" t="n">
        <f aca="false">SUMIF('Raw - Sessions'!$R$5:$R$292,A164,'Raw - Sessions'!$E$5:$E$292)</f>
        <v>62.976509</v>
      </c>
      <c r="E164" s="38" t="n">
        <f aca="false">'Raw - Daily Energy'!B159</f>
        <v>62.977</v>
      </c>
      <c r="F164" s="42" t="n">
        <f aca="false">SUMIF('Raw - Sessions'!$R$5:$R$292,A164,'Raw - Sessions'!$P$5:$P$292)</f>
        <v>63.93</v>
      </c>
    </row>
    <row r="165" customFormat="false" ht="15" hidden="false" customHeight="false" outlineLevel="0" collapsed="false">
      <c r="A165" s="54" t="n">
        <f aca="false">'Raw - Daily Energy'!A160</f>
        <v>46005</v>
      </c>
      <c r="B165" s="17" t="n">
        <f aca="false">COUNTIF('Raw - Sessions'!$R$5:$R$292,A165)</f>
        <v>0</v>
      </c>
      <c r="C165" s="39" t="n">
        <f aca="false">SUMIF('Raw - Sessions'!$R$5:$R$292,A165,'Raw - Sessions'!$D$5:$D$292)</f>
        <v>0</v>
      </c>
      <c r="D165" s="39" t="n">
        <f aca="false">SUMIF('Raw - Sessions'!$R$5:$R$292,A165,'Raw - Sessions'!$E$5:$E$292)</f>
        <v>0</v>
      </c>
      <c r="E165" s="39" t="n">
        <f aca="false">'Raw - Daily Energy'!B160</f>
        <v>22.838</v>
      </c>
      <c r="F165" s="44" t="n">
        <f aca="false">SUMIF('Raw - Sessions'!$R$5:$R$292,A165,'Raw - Sessions'!$P$5:$P$292)</f>
        <v>0</v>
      </c>
    </row>
    <row r="166" customFormat="false" ht="15" hidden="false" customHeight="false" outlineLevel="0" collapsed="false">
      <c r="A166" s="53" t="n">
        <f aca="false">'Raw - Daily Energy'!A161</f>
        <v>46006</v>
      </c>
      <c r="B166" s="14" t="n">
        <f aca="false">COUNTIF('Raw - Sessions'!$R$5:$R$292,A166)</f>
        <v>2</v>
      </c>
      <c r="C166" s="38" t="n">
        <f aca="false">SUMIF('Raw - Sessions'!$R$5:$R$292,A166,'Raw - Sessions'!$D$5:$D$292)</f>
        <v>0.578055555555556</v>
      </c>
      <c r="D166" s="38" t="n">
        <f aca="false">SUMIF('Raw - Sessions'!$R$5:$R$292,A166,'Raw - Sessions'!$E$5:$E$292)</f>
        <v>24.203601</v>
      </c>
      <c r="E166" s="38" t="n">
        <f aca="false">'Raw - Daily Energy'!B161</f>
        <v>1.366</v>
      </c>
      <c r="F166" s="42" t="n">
        <f aca="false">SUMIF('Raw - Sessions'!$R$5:$R$292,A166,'Raw - Sessions'!$P$5:$P$292)</f>
        <v>12.58</v>
      </c>
    </row>
    <row r="167" customFormat="false" ht="15" hidden="false" customHeight="false" outlineLevel="0" collapsed="false">
      <c r="A167" s="54" t="n">
        <f aca="false">'Raw - Daily Energy'!A162</f>
        <v>46007</v>
      </c>
      <c r="B167" s="17" t="n">
        <f aca="false">COUNTIF('Raw - Sessions'!$R$5:$R$292,A167)</f>
        <v>0</v>
      </c>
      <c r="C167" s="39" t="n">
        <f aca="false">SUMIF('Raw - Sessions'!$R$5:$R$292,A167,'Raw - Sessions'!$D$5:$D$292)</f>
        <v>0</v>
      </c>
      <c r="D167" s="39" t="n">
        <f aca="false">SUMIF('Raw - Sessions'!$R$5:$R$292,A167,'Raw - Sessions'!$E$5:$E$292)</f>
        <v>0</v>
      </c>
      <c r="E167" s="39" t="n">
        <f aca="false">'Raw - Daily Energy'!B162</f>
        <v>39.279</v>
      </c>
      <c r="F167" s="44" t="n">
        <f aca="false">SUMIF('Raw - Sessions'!$R$5:$R$292,A167,'Raw - Sessions'!$P$5:$P$292)</f>
        <v>0</v>
      </c>
    </row>
    <row r="168" customFormat="false" ht="15" hidden="false" customHeight="false" outlineLevel="0" collapsed="false">
      <c r="A168" s="53" t="n">
        <f aca="false">'Raw - Daily Energy'!A163</f>
        <v>46008</v>
      </c>
      <c r="B168" s="14" t="n">
        <f aca="false">COUNTIF('Raw - Sessions'!$R$5:$R$292,A168)</f>
        <v>1</v>
      </c>
      <c r="C168" s="38" t="n">
        <f aca="false">SUMIF('Raw - Sessions'!$R$5:$R$292,A168,'Raw - Sessions'!$D$5:$D$292)</f>
        <v>0.839722222222222</v>
      </c>
      <c r="D168" s="38" t="n">
        <f aca="false">SUMIF('Raw - Sessions'!$R$5:$R$292,A168,'Raw - Sessions'!$E$5:$E$292)</f>
        <v>39.279499</v>
      </c>
      <c r="E168" s="38" t="n">
        <f aca="false">'Raw - Daily Energy'!B163</f>
        <v>0</v>
      </c>
      <c r="F168" s="42" t="n">
        <f aca="false">SUMIF('Raw - Sessions'!$R$5:$R$292,A168,'Raw - Sessions'!$P$5:$P$292)</f>
        <v>20.01</v>
      </c>
    </row>
    <row r="169" customFormat="false" ht="15" hidden="false" customHeight="false" outlineLevel="0" collapsed="false">
      <c r="A169" s="54" t="n">
        <f aca="false">'Raw - Daily Energy'!A164</f>
        <v>46009</v>
      </c>
      <c r="B169" s="17" t="n">
        <f aca="false">COUNTIF('Raw - Sessions'!$R$5:$R$292,A169)</f>
        <v>1</v>
      </c>
      <c r="C169" s="39" t="n">
        <f aca="false">SUMIF('Raw - Sessions'!$R$5:$R$292,A169,'Raw - Sessions'!$D$5:$D$292)</f>
        <v>0.399722222222222</v>
      </c>
      <c r="D169" s="39" t="n">
        <f aca="false">SUMIF('Raw - Sessions'!$R$5:$R$292,A169,'Raw - Sessions'!$E$5:$E$292)</f>
        <v>18.4666</v>
      </c>
      <c r="E169" s="39" t="n">
        <f aca="false">'Raw - Daily Energy'!B164</f>
        <v>18.467</v>
      </c>
      <c r="F169" s="44" t="n">
        <f aca="false">SUMIF('Raw - Sessions'!$R$5:$R$292,A169,'Raw - Sessions'!$P$5:$P$292)</f>
        <v>9.43</v>
      </c>
    </row>
    <row r="170" customFormat="false" ht="15" hidden="false" customHeight="false" outlineLevel="0" collapsed="false">
      <c r="A170" s="53" t="n">
        <f aca="false">'Raw - Daily Energy'!A165</f>
        <v>46010</v>
      </c>
      <c r="B170" s="14" t="n">
        <f aca="false">COUNTIF('Raw - Sessions'!$R$5:$R$292,A170)</f>
        <v>0</v>
      </c>
      <c r="C170" s="38" t="n">
        <f aca="false">SUMIF('Raw - Sessions'!$R$5:$R$292,A170,'Raw - Sessions'!$D$5:$D$292)</f>
        <v>0</v>
      </c>
      <c r="D170" s="38" t="n">
        <f aca="false">SUMIF('Raw - Sessions'!$R$5:$R$292,A170,'Raw - Sessions'!$E$5:$E$292)</f>
        <v>0</v>
      </c>
      <c r="E170" s="38" t="n">
        <f aca="false">'Raw - Daily Energy'!B165</f>
        <v>0</v>
      </c>
      <c r="F170" s="42" t="n">
        <f aca="false">SUMIF('Raw - Sessions'!$R$5:$R$292,A170,'Raw - Sessions'!$P$5:$P$292)</f>
        <v>0</v>
      </c>
    </row>
    <row r="171" customFormat="false" ht="15" hidden="false" customHeight="false" outlineLevel="0" collapsed="false">
      <c r="A171" s="54" t="n">
        <f aca="false">'Raw - Daily Energy'!A166</f>
        <v>46011</v>
      </c>
      <c r="B171" s="17" t="n">
        <f aca="false">COUNTIF('Raw - Sessions'!$R$5:$R$292,A171)</f>
        <v>3</v>
      </c>
      <c r="C171" s="39" t="n">
        <f aca="false">SUMIF('Raw - Sessions'!$R$5:$R$292,A171,'Raw - Sessions'!$D$5:$D$292)</f>
        <v>1.94388888888889</v>
      </c>
      <c r="D171" s="39" t="n">
        <f aca="false">SUMIF('Raw - Sessions'!$R$5:$R$292,A171,'Raw - Sessions'!$E$5:$E$292)</f>
        <v>43.572829</v>
      </c>
      <c r="E171" s="39" t="n">
        <f aca="false">'Raw - Daily Energy'!B166</f>
        <v>43.573</v>
      </c>
      <c r="F171" s="44" t="n">
        <f aca="false">SUMIF('Raw - Sessions'!$R$5:$R$292,A171,'Raw - Sessions'!$P$5:$P$292)</f>
        <v>27.25</v>
      </c>
    </row>
    <row r="172" customFormat="false" ht="15" hidden="false" customHeight="false" outlineLevel="0" collapsed="false">
      <c r="A172" s="53" t="n">
        <f aca="false">'Raw - Daily Energy'!A167</f>
        <v>46012</v>
      </c>
      <c r="B172" s="14" t="n">
        <f aca="false">COUNTIF('Raw - Sessions'!$R$5:$R$292,A172)</f>
        <v>4</v>
      </c>
      <c r="C172" s="38" t="n">
        <f aca="false">SUMIF('Raw - Sessions'!$R$5:$R$292,A172,'Raw - Sessions'!$D$5:$D$292)</f>
        <v>7.59888888888889</v>
      </c>
      <c r="D172" s="38" t="n">
        <f aca="false">SUMIF('Raw - Sessions'!$R$5:$R$292,A172,'Raw - Sessions'!$E$5:$E$292)</f>
        <v>91.667467</v>
      </c>
      <c r="E172" s="38" t="n">
        <f aca="false">'Raw - Daily Energy'!B167</f>
        <v>168.423</v>
      </c>
      <c r="F172" s="42" t="n">
        <f aca="false">SUMIF('Raw - Sessions'!$R$5:$R$292,A172,'Raw - Sessions'!$P$5:$P$292)</f>
        <v>69.15</v>
      </c>
    </row>
    <row r="173" customFormat="false" ht="15" hidden="false" customHeight="false" outlineLevel="0" collapsed="false">
      <c r="A173" s="54" t="n">
        <f aca="false">'Raw - Daily Energy'!A168</f>
        <v>46013</v>
      </c>
      <c r="B173" s="17" t="n">
        <f aca="false">COUNTIF('Raw - Sessions'!$R$5:$R$292,A173)</f>
        <v>6</v>
      </c>
      <c r="C173" s="39" t="n">
        <f aca="false">SUMIF('Raw - Sessions'!$R$5:$R$292,A173,'Raw - Sessions'!$D$5:$D$292)</f>
        <v>7.88444444444444</v>
      </c>
      <c r="D173" s="39" t="n">
        <f aca="false">SUMIF('Raw - Sessions'!$R$5:$R$292,A173,'Raw - Sessions'!$E$5:$E$292)</f>
        <v>156.570455</v>
      </c>
      <c r="E173" s="39" t="n">
        <f aca="false">'Raw - Daily Energy'!B168</f>
        <v>79.815</v>
      </c>
      <c r="F173" s="44" t="n">
        <f aca="false">SUMIF('Raw - Sessions'!$R$5:$R$292,A173,'Raw - Sessions'!$P$5:$P$292)</f>
        <v>98.63</v>
      </c>
    </row>
    <row r="174" customFormat="false" ht="15" hidden="false" customHeight="false" outlineLevel="0" collapsed="false">
      <c r="A174" s="53" t="n">
        <f aca="false">'Raw - Daily Energy'!A169</f>
        <v>46014</v>
      </c>
      <c r="B174" s="14" t="n">
        <f aca="false">COUNTIF('Raw - Sessions'!$R$5:$R$292,A174)</f>
        <v>1</v>
      </c>
      <c r="C174" s="38" t="n">
        <f aca="false">SUMIF('Raw - Sessions'!$R$5:$R$292,A174,'Raw - Sessions'!$D$5:$D$292)</f>
        <v>4.57</v>
      </c>
      <c r="D174" s="38" t="n">
        <f aca="false">SUMIF('Raw - Sessions'!$R$5:$R$292,A174,'Raw - Sessions'!$E$5:$E$292)</f>
        <v>50.118999</v>
      </c>
      <c r="E174" s="38" t="n">
        <f aca="false">'Raw - Daily Energy'!B169</f>
        <v>50.119</v>
      </c>
      <c r="F174" s="42" t="n">
        <f aca="false">SUMIF('Raw - Sessions'!$R$5:$R$292,A174,'Raw - Sessions'!$P$5:$P$292)</f>
        <v>39.53</v>
      </c>
    </row>
    <row r="175" customFormat="false" ht="15" hidden="false" customHeight="false" outlineLevel="0" collapsed="false">
      <c r="A175" s="54" t="n">
        <f aca="false">'Raw - Daily Energy'!A170</f>
        <v>46015</v>
      </c>
      <c r="B175" s="17" t="n">
        <f aca="false">COUNTIF('Raw - Sessions'!$R$5:$R$292,A175)</f>
        <v>0</v>
      </c>
      <c r="C175" s="39" t="n">
        <f aca="false">SUMIF('Raw - Sessions'!$R$5:$R$292,A175,'Raw - Sessions'!$D$5:$D$292)</f>
        <v>0</v>
      </c>
      <c r="D175" s="39" t="n">
        <f aca="false">SUMIF('Raw - Sessions'!$R$5:$R$292,A175,'Raw - Sessions'!$E$5:$E$292)</f>
        <v>0</v>
      </c>
      <c r="E175" s="39" t="n">
        <f aca="false">'Raw - Daily Energy'!B170</f>
        <v>0</v>
      </c>
      <c r="F175" s="44" t="n">
        <f aca="false">SUMIF('Raw - Sessions'!$R$5:$R$292,A175,'Raw - Sessions'!$P$5:$P$292)</f>
        <v>0</v>
      </c>
    </row>
    <row r="176" customFormat="false" ht="15" hidden="false" customHeight="false" outlineLevel="0" collapsed="false">
      <c r="A176" s="53" t="n">
        <f aca="false">'Raw - Daily Energy'!A171</f>
        <v>46016</v>
      </c>
      <c r="B176" s="14" t="n">
        <f aca="false">COUNTIF('Raw - Sessions'!$R$5:$R$292,A176)</f>
        <v>0</v>
      </c>
      <c r="C176" s="38" t="n">
        <f aca="false">SUMIF('Raw - Sessions'!$R$5:$R$292,A176,'Raw - Sessions'!$D$5:$D$292)</f>
        <v>0</v>
      </c>
      <c r="D176" s="38" t="n">
        <f aca="false">SUMIF('Raw - Sessions'!$R$5:$R$292,A176,'Raw - Sessions'!$E$5:$E$292)</f>
        <v>0</v>
      </c>
      <c r="E176" s="38" t="n">
        <f aca="false">'Raw - Daily Energy'!B171</f>
        <v>0</v>
      </c>
      <c r="F176" s="42" t="n">
        <f aca="false">SUMIF('Raw - Sessions'!$R$5:$R$292,A176,'Raw - Sessions'!$P$5:$P$292)</f>
        <v>0</v>
      </c>
    </row>
    <row r="177" customFormat="false" ht="15" hidden="false" customHeight="false" outlineLevel="0" collapsed="false">
      <c r="A177" s="54" t="n">
        <f aca="false">'Raw - Daily Energy'!A172</f>
        <v>46017</v>
      </c>
      <c r="B177" s="17" t="n">
        <f aca="false">COUNTIF('Raw - Sessions'!$R$5:$R$292,A177)</f>
        <v>4</v>
      </c>
      <c r="C177" s="39" t="n">
        <f aca="false">SUMIF('Raw - Sessions'!$R$5:$R$292,A177,'Raw - Sessions'!$D$5:$D$292)</f>
        <v>0.428611111111111</v>
      </c>
      <c r="D177" s="39" t="n">
        <f aca="false">SUMIF('Raw - Sessions'!$R$5:$R$292,A177,'Raw - Sessions'!$E$5:$E$292)</f>
        <v>19.7619</v>
      </c>
      <c r="E177" s="39" t="n">
        <f aca="false">'Raw - Daily Energy'!B172</f>
        <v>19.762</v>
      </c>
      <c r="F177" s="44" t="n">
        <f aca="false">SUMIF('Raw - Sessions'!$R$5:$R$292,A177,'Raw - Sessions'!$P$5:$P$292)</f>
        <v>9.75</v>
      </c>
    </row>
    <row r="178" customFormat="false" ht="15" hidden="false" customHeight="false" outlineLevel="0" collapsed="false">
      <c r="A178" s="53" t="n">
        <f aca="false">'Raw - Daily Energy'!A173</f>
        <v>46018</v>
      </c>
      <c r="B178" s="14" t="n">
        <f aca="false">COUNTIF('Raw - Sessions'!$R$5:$R$292,A178)</f>
        <v>2</v>
      </c>
      <c r="C178" s="38" t="n">
        <f aca="false">SUMIF('Raw - Sessions'!$R$5:$R$292,A178,'Raw - Sessions'!$D$5:$D$292)</f>
        <v>2.13944444444444</v>
      </c>
      <c r="D178" s="38" t="n">
        <f aca="false">SUMIF('Raw - Sessions'!$R$5:$R$292,A178,'Raw - Sessions'!$E$5:$E$292)</f>
        <v>81.035004</v>
      </c>
      <c r="E178" s="38" t="n">
        <f aca="false">'Raw - Daily Energy'!B173</f>
        <v>81.035</v>
      </c>
      <c r="F178" s="42" t="n">
        <f aca="false">SUMIF('Raw - Sessions'!$R$5:$R$292,A178,'Raw - Sessions'!$P$5:$P$292)</f>
        <v>42.93</v>
      </c>
    </row>
    <row r="179" customFormat="false" ht="15" hidden="false" customHeight="false" outlineLevel="0" collapsed="false">
      <c r="A179" s="54" t="n">
        <f aca="false">'Raw - Daily Energy'!A174</f>
        <v>46019</v>
      </c>
      <c r="B179" s="17" t="n">
        <f aca="false">COUNTIF('Raw - Sessions'!$R$5:$R$292,A179)</f>
        <v>1</v>
      </c>
      <c r="C179" s="39" t="n">
        <f aca="false">SUMIF('Raw - Sessions'!$R$5:$R$292,A179,'Raw - Sessions'!$D$5:$D$292)</f>
        <v>0.756111111111111</v>
      </c>
      <c r="D179" s="39" t="n">
        <f aca="false">SUMIF('Raw - Sessions'!$R$5:$R$292,A179,'Raw - Sessions'!$E$5:$E$292)</f>
        <v>18.436001</v>
      </c>
      <c r="E179" s="39" t="n">
        <f aca="false">'Raw - Daily Energy'!B174</f>
        <v>18.436</v>
      </c>
      <c r="F179" s="44" t="n">
        <f aca="false">SUMIF('Raw - Sessions'!$R$5:$R$292,A179,'Raw - Sessions'!$P$5:$P$292)</f>
        <v>10.83</v>
      </c>
    </row>
    <row r="180" customFormat="false" ht="15" hidden="false" customHeight="false" outlineLevel="0" collapsed="false">
      <c r="A180" s="53" t="n">
        <f aca="false">'Raw - Daily Energy'!A175</f>
        <v>46020</v>
      </c>
      <c r="B180" s="14" t="n">
        <f aca="false">COUNTIF('Raw - Sessions'!$R$5:$R$292,A180)</f>
        <v>1</v>
      </c>
      <c r="C180" s="38" t="n">
        <f aca="false">SUMIF('Raw - Sessions'!$R$5:$R$292,A180,'Raw - Sessions'!$D$5:$D$292)</f>
        <v>0.906666666666667</v>
      </c>
      <c r="D180" s="38" t="n">
        <f aca="false">SUMIF('Raw - Sessions'!$R$5:$R$292,A180,'Raw - Sessions'!$E$5:$E$292)</f>
        <v>30.217699</v>
      </c>
      <c r="E180" s="38" t="n">
        <f aca="false">'Raw - Daily Energy'!B175</f>
        <v>30.218</v>
      </c>
      <c r="F180" s="42" t="n">
        <f aca="false">SUMIF('Raw - Sessions'!$R$5:$R$292,A180,'Raw - Sessions'!$P$5:$P$292)</f>
        <v>11.89</v>
      </c>
    </row>
    <row r="181" customFormat="false" ht="15" hidden="false" customHeight="false" outlineLevel="0" collapsed="false">
      <c r="A181" s="54" t="n">
        <f aca="false">'Raw - Daily Energy'!A176</f>
        <v>46021</v>
      </c>
      <c r="B181" s="17" t="n">
        <f aca="false">COUNTIF('Raw - Sessions'!$R$5:$R$292,A181)</f>
        <v>0</v>
      </c>
      <c r="C181" s="39" t="n">
        <f aca="false">SUMIF('Raw - Sessions'!$R$5:$R$292,A181,'Raw - Sessions'!$D$5:$D$292)</f>
        <v>0</v>
      </c>
      <c r="D181" s="39" t="n">
        <f aca="false">SUMIF('Raw - Sessions'!$R$5:$R$292,A181,'Raw - Sessions'!$E$5:$E$292)</f>
        <v>0</v>
      </c>
      <c r="E181" s="39" t="n">
        <f aca="false">'Raw - Daily Energy'!B176</f>
        <v>0</v>
      </c>
      <c r="F181" s="44" t="n">
        <f aca="false">SUMIF('Raw - Sessions'!$R$5:$R$292,A181,'Raw - Sessions'!$P$5:$P$292)</f>
        <v>0</v>
      </c>
    </row>
    <row r="182" customFormat="false" ht="15" hidden="false" customHeight="false" outlineLevel="0" collapsed="false">
      <c r="A182" s="53" t="n">
        <f aca="false">'Raw - Daily Energy'!A177</f>
        <v>46022</v>
      </c>
      <c r="B182" s="14" t="n">
        <f aca="false">COUNTIF('Raw - Sessions'!$R$5:$R$292,A182)</f>
        <v>0</v>
      </c>
      <c r="C182" s="38" t="n">
        <f aca="false">SUMIF('Raw - Sessions'!$R$5:$R$292,A182,'Raw - Sessions'!$D$5:$D$292)</f>
        <v>0</v>
      </c>
      <c r="D182" s="38" t="n">
        <f aca="false">SUMIF('Raw - Sessions'!$R$5:$R$292,A182,'Raw - Sessions'!$E$5:$E$292)</f>
        <v>0</v>
      </c>
      <c r="E182" s="38" t="n">
        <f aca="false">'Raw - Daily Energy'!B177</f>
        <v>0</v>
      </c>
      <c r="F182" s="42" t="n">
        <f aca="false">SUMIF('Raw - Sessions'!$R$5:$R$292,A182,'Raw - Sessions'!$P$5:$P$292)</f>
        <v>0</v>
      </c>
    </row>
    <row r="183" customFormat="false" ht="15" hidden="false" customHeight="false" outlineLevel="0" collapsed="false">
      <c r="A183" s="54" t="n">
        <f aca="false">'Raw - Daily Energy'!A178</f>
        <v>46023</v>
      </c>
      <c r="B183" s="17" t="n">
        <f aca="false">COUNTIF('Raw - Sessions'!$R$5:$R$292,A183)</f>
        <v>2</v>
      </c>
      <c r="C183" s="39" t="n">
        <f aca="false">SUMIF('Raw - Sessions'!$R$5:$R$292,A183,'Raw - Sessions'!$D$5:$D$292)</f>
        <v>0.279722222222222</v>
      </c>
      <c r="D183" s="39" t="n">
        <f aca="false">SUMIF('Raw - Sessions'!$R$5:$R$292,A183,'Raw - Sessions'!$E$5:$E$292)</f>
        <v>12.3724</v>
      </c>
      <c r="E183" s="39" t="n">
        <f aca="false">'Raw - Daily Energy'!B178</f>
        <v>12.372</v>
      </c>
      <c r="F183" s="44" t="n">
        <f aca="false">SUMIF('Raw - Sessions'!$R$5:$R$292,A183,'Raw - Sessions'!$P$5:$P$292)</f>
        <v>6.36</v>
      </c>
    </row>
    <row r="184" customFormat="false" ht="15" hidden="false" customHeight="false" outlineLevel="0" collapsed="false">
      <c r="A184" s="53" t="n">
        <f aca="false">'Raw - Daily Energy'!A179</f>
        <v>46024</v>
      </c>
      <c r="B184" s="14" t="n">
        <f aca="false">COUNTIF('Raw - Sessions'!$R$5:$R$292,A184)</f>
        <v>0</v>
      </c>
      <c r="C184" s="38" t="n">
        <f aca="false">SUMIF('Raw - Sessions'!$R$5:$R$292,A184,'Raw - Sessions'!$D$5:$D$292)</f>
        <v>0</v>
      </c>
      <c r="D184" s="38" t="n">
        <f aca="false">SUMIF('Raw - Sessions'!$R$5:$R$292,A184,'Raw - Sessions'!$E$5:$E$292)</f>
        <v>0</v>
      </c>
      <c r="E184" s="38" t="n">
        <f aca="false">'Raw - Daily Energy'!B179</f>
        <v>0</v>
      </c>
      <c r="F184" s="42" t="n">
        <f aca="false">SUMIF('Raw - Sessions'!$R$5:$R$292,A184,'Raw - Sessions'!$P$5:$P$292)</f>
        <v>0</v>
      </c>
    </row>
    <row r="185" customFormat="false" ht="15" hidden="false" customHeight="false" outlineLevel="0" collapsed="false">
      <c r="A185" s="54" t="n">
        <f aca="false">'Raw - Daily Energy'!A180</f>
        <v>46025</v>
      </c>
      <c r="B185" s="17" t="n">
        <f aca="false">COUNTIF('Raw - Sessions'!$R$5:$R$292,A185)</f>
        <v>0</v>
      </c>
      <c r="C185" s="39" t="n">
        <f aca="false">SUMIF('Raw - Sessions'!$R$5:$R$292,A185,'Raw - Sessions'!$D$5:$D$292)</f>
        <v>0</v>
      </c>
      <c r="D185" s="39" t="n">
        <f aca="false">SUMIF('Raw - Sessions'!$R$5:$R$292,A185,'Raw - Sessions'!$E$5:$E$292)</f>
        <v>0</v>
      </c>
      <c r="E185" s="39" t="n">
        <f aca="false">'Raw - Daily Energy'!B180</f>
        <v>0</v>
      </c>
      <c r="F185" s="44" t="n">
        <f aca="false">SUMIF('Raw - Sessions'!$R$5:$R$292,A185,'Raw - Sessions'!$P$5:$P$292)</f>
        <v>0</v>
      </c>
    </row>
    <row r="186" customFormat="false" ht="15" hidden="false" customHeight="false" outlineLevel="0" collapsed="false">
      <c r="A186" s="53" t="n">
        <f aca="false">'Raw - Daily Energy'!A181</f>
        <v>46026</v>
      </c>
      <c r="B186" s="14" t="n">
        <f aca="false">COUNTIF('Raw - Sessions'!$R$5:$R$292,A186)</f>
        <v>0</v>
      </c>
      <c r="C186" s="38" t="n">
        <f aca="false">SUMIF('Raw - Sessions'!$R$5:$R$292,A186,'Raw - Sessions'!$D$5:$D$292)</f>
        <v>0</v>
      </c>
      <c r="D186" s="38" t="n">
        <f aca="false">SUMIF('Raw - Sessions'!$R$5:$R$292,A186,'Raw - Sessions'!$E$5:$E$292)</f>
        <v>0</v>
      </c>
      <c r="E186" s="38" t="n">
        <f aca="false">'Raw - Daily Energy'!B181</f>
        <v>13.166</v>
      </c>
      <c r="F186" s="42" t="n">
        <f aca="false">SUMIF('Raw - Sessions'!$R$5:$R$292,A186,'Raw - Sessions'!$P$5:$P$292)</f>
        <v>0</v>
      </c>
    </row>
    <row r="187" customFormat="false" ht="15" hidden="false" customHeight="false" outlineLevel="0" collapsed="false">
      <c r="A187" s="54" t="n">
        <f aca="false">'Raw - Daily Energy'!A182</f>
        <v>46027</v>
      </c>
      <c r="B187" s="17" t="n">
        <f aca="false">COUNTIF('Raw - Sessions'!$R$5:$R$292,A187)</f>
        <v>1</v>
      </c>
      <c r="C187" s="39" t="n">
        <f aca="false">SUMIF('Raw - Sessions'!$R$5:$R$292,A187,'Raw - Sessions'!$D$5:$D$292)</f>
        <v>0.236111111111111</v>
      </c>
      <c r="D187" s="39" t="n">
        <f aca="false">SUMIF('Raw - Sessions'!$R$5:$R$292,A187,'Raw - Sessions'!$E$5:$E$292)</f>
        <v>13.1661</v>
      </c>
      <c r="E187" s="39" t="n">
        <f aca="false">'Raw - Daily Energy'!B182</f>
        <v>0</v>
      </c>
      <c r="F187" s="44" t="n">
        <f aca="false">SUMIF('Raw - Sessions'!$R$5:$R$292,A187,'Raw - Sessions'!$P$5:$P$292)</f>
        <v>6.59</v>
      </c>
    </row>
    <row r="188" customFormat="false" ht="15" hidden="false" customHeight="false" outlineLevel="0" collapsed="false">
      <c r="A188" s="53" t="n">
        <f aca="false">'Raw - Daily Energy'!A183</f>
        <v>46028</v>
      </c>
      <c r="B188" s="14" t="n">
        <f aca="false">COUNTIF('Raw - Sessions'!$R$5:$R$292,A188)</f>
        <v>0</v>
      </c>
      <c r="C188" s="38" t="n">
        <f aca="false">SUMIF('Raw - Sessions'!$R$5:$R$292,A188,'Raw - Sessions'!$D$5:$D$292)</f>
        <v>0</v>
      </c>
      <c r="D188" s="38" t="n">
        <f aca="false">SUMIF('Raw - Sessions'!$R$5:$R$292,A188,'Raw - Sessions'!$E$5:$E$292)</f>
        <v>0</v>
      </c>
      <c r="E188" s="38" t="n">
        <f aca="false">'Raw - Daily Energy'!B183</f>
        <v>0</v>
      </c>
      <c r="F188" s="42" t="n">
        <f aca="false">SUMIF('Raw - Sessions'!$R$5:$R$292,A188,'Raw - Sessions'!$P$5:$P$292)</f>
        <v>0</v>
      </c>
    </row>
    <row r="189" customFormat="false" ht="15" hidden="false" customHeight="false" outlineLevel="0" collapsed="false">
      <c r="A189" s="54" t="n">
        <f aca="false">'Raw - Daily Energy'!A184</f>
        <v>46029</v>
      </c>
      <c r="B189" s="17" t="n">
        <f aca="false">COUNTIF('Raw - Sessions'!$R$5:$R$292,A189)</f>
        <v>0</v>
      </c>
      <c r="C189" s="39" t="n">
        <f aca="false">SUMIF('Raw - Sessions'!$R$5:$R$292,A189,'Raw - Sessions'!$D$5:$D$292)</f>
        <v>0</v>
      </c>
      <c r="D189" s="39" t="n">
        <f aca="false">SUMIF('Raw - Sessions'!$R$5:$R$292,A189,'Raw - Sessions'!$E$5:$E$292)</f>
        <v>0</v>
      </c>
      <c r="E189" s="39" t="n">
        <f aca="false">'Raw - Daily Energy'!B184</f>
        <v>0</v>
      </c>
      <c r="F189" s="44" t="n">
        <f aca="false">SUMIF('Raw - Sessions'!$R$5:$R$292,A189,'Raw - Sessions'!$P$5:$P$292)</f>
        <v>0</v>
      </c>
    </row>
    <row r="190" customFormat="false" ht="15" hidden="false" customHeight="false" outlineLevel="0" collapsed="false">
      <c r="A190" s="53" t="n">
        <f aca="false">'Raw - Daily Energy'!A185</f>
        <v>46030</v>
      </c>
      <c r="B190" s="14" t="n">
        <f aca="false">COUNTIF('Raw - Sessions'!$R$5:$R$292,A190)</f>
        <v>0</v>
      </c>
      <c r="C190" s="38" t="n">
        <f aca="false">SUMIF('Raw - Sessions'!$R$5:$R$292,A190,'Raw - Sessions'!$D$5:$D$292)</f>
        <v>0</v>
      </c>
      <c r="D190" s="38" t="n">
        <f aca="false">SUMIF('Raw - Sessions'!$R$5:$R$292,A190,'Raw - Sessions'!$E$5:$E$292)</f>
        <v>0</v>
      </c>
      <c r="E190" s="38" t="n">
        <f aca="false">'Raw - Daily Energy'!B185</f>
        <v>0</v>
      </c>
      <c r="F190" s="42" t="n">
        <f aca="false">SUMIF('Raw - Sessions'!$R$5:$R$292,A190,'Raw - Sessions'!$P$5:$P$292)</f>
        <v>0</v>
      </c>
    </row>
    <row r="191" customFormat="false" ht="15" hidden="false" customHeight="false" outlineLevel="0" collapsed="false">
      <c r="A191" s="54" t="n">
        <f aca="false">'Raw - Daily Energy'!A186</f>
        <v>46031</v>
      </c>
      <c r="B191" s="17" t="n">
        <f aca="false">COUNTIF('Raw - Sessions'!$R$5:$R$292,A191)</f>
        <v>0</v>
      </c>
      <c r="C191" s="39" t="n">
        <f aca="false">SUMIF('Raw - Sessions'!$R$5:$R$292,A191,'Raw - Sessions'!$D$5:$D$292)</f>
        <v>0</v>
      </c>
      <c r="D191" s="39" t="n">
        <f aca="false">SUMIF('Raw - Sessions'!$R$5:$R$292,A191,'Raw - Sessions'!$E$5:$E$292)</f>
        <v>0</v>
      </c>
      <c r="E191" s="39" t="n">
        <f aca="false">'Raw - Daily Energy'!B186</f>
        <v>0</v>
      </c>
      <c r="F191" s="44" t="n">
        <f aca="false">SUMIF('Raw - Sessions'!$R$5:$R$292,A191,'Raw - Sessions'!$P$5:$P$292)</f>
        <v>0</v>
      </c>
    </row>
    <row r="192" customFormat="false" ht="15" hidden="false" customHeight="false" outlineLevel="0" collapsed="false">
      <c r="A192" s="53" t="n">
        <f aca="false">'Raw - Daily Energy'!A187</f>
        <v>46032</v>
      </c>
      <c r="B192" s="14" t="n">
        <f aca="false">COUNTIF('Raw - Sessions'!$R$5:$R$292,A192)</f>
        <v>0</v>
      </c>
      <c r="C192" s="38" t="n">
        <f aca="false">SUMIF('Raw - Sessions'!$R$5:$R$292,A192,'Raw - Sessions'!$D$5:$D$292)</f>
        <v>0</v>
      </c>
      <c r="D192" s="38" t="n">
        <f aca="false">SUMIF('Raw - Sessions'!$R$5:$R$292,A192,'Raw - Sessions'!$E$5:$E$292)</f>
        <v>0</v>
      </c>
      <c r="E192" s="38" t="n">
        <f aca="false">'Raw - Daily Energy'!B187</f>
        <v>0</v>
      </c>
      <c r="F192" s="42" t="n">
        <f aca="false">SUMIF('Raw - Sessions'!$R$5:$R$292,A192,'Raw - Sessions'!$P$5:$P$292)</f>
        <v>0</v>
      </c>
    </row>
    <row r="193" customFormat="false" ht="15" hidden="false" customHeight="false" outlineLevel="0" collapsed="false">
      <c r="A193" s="54" t="n">
        <f aca="false">'Raw - Daily Energy'!A188</f>
        <v>46033</v>
      </c>
      <c r="B193" s="17" t="n">
        <f aca="false">COUNTIF('Raw - Sessions'!$R$5:$R$292,A193)</f>
        <v>2</v>
      </c>
      <c r="C193" s="39" t="n">
        <f aca="false">SUMIF('Raw - Sessions'!$R$5:$R$292,A193,'Raw - Sessions'!$D$5:$D$292)</f>
        <v>0.803611111111111</v>
      </c>
      <c r="D193" s="39" t="n">
        <f aca="false">SUMIF('Raw - Sessions'!$R$5:$R$292,A193,'Raw - Sessions'!$E$5:$E$292)</f>
        <v>40.663502</v>
      </c>
      <c r="E193" s="39" t="n">
        <f aca="false">'Raw - Daily Energy'!B188</f>
        <v>40.664</v>
      </c>
      <c r="F193" s="44" t="n">
        <f aca="false">SUMIF('Raw - Sessions'!$R$5:$R$292,A193,'Raw - Sessions'!$P$5:$P$292)</f>
        <v>20.64</v>
      </c>
    </row>
    <row r="194" customFormat="false" ht="15" hidden="false" customHeight="false" outlineLevel="0" collapsed="false">
      <c r="A194" s="53" t="n">
        <f aca="false">'Raw - Daily Energy'!A189</f>
        <v>46034</v>
      </c>
      <c r="B194" s="14" t="n">
        <f aca="false">COUNTIF('Raw - Sessions'!$R$5:$R$292,A194)</f>
        <v>0</v>
      </c>
      <c r="C194" s="38" t="n">
        <f aca="false">SUMIF('Raw - Sessions'!$R$5:$R$292,A194,'Raw - Sessions'!$D$5:$D$292)</f>
        <v>0</v>
      </c>
      <c r="D194" s="38" t="n">
        <f aca="false">SUMIF('Raw - Sessions'!$R$5:$R$292,A194,'Raw - Sessions'!$E$5:$E$292)</f>
        <v>0</v>
      </c>
      <c r="E194" s="38" t="n">
        <f aca="false">'Raw - Daily Energy'!B189</f>
        <v>0</v>
      </c>
      <c r="F194" s="42" t="n">
        <f aca="false">SUMIF('Raw - Sessions'!$R$5:$R$292,A194,'Raw - Sessions'!$P$5:$P$292)</f>
        <v>0</v>
      </c>
    </row>
    <row r="195" customFormat="false" ht="15" hidden="false" customHeight="false" outlineLevel="0" collapsed="false">
      <c r="A195" s="54" t="n">
        <f aca="false">'Raw - Daily Energy'!A190</f>
        <v>46035</v>
      </c>
      <c r="B195" s="17" t="n">
        <f aca="false">COUNTIF('Raw - Sessions'!$R$5:$R$292,A195)</f>
        <v>0</v>
      </c>
      <c r="C195" s="39" t="n">
        <f aca="false">SUMIF('Raw - Sessions'!$R$5:$R$292,A195,'Raw - Sessions'!$D$5:$D$292)</f>
        <v>0</v>
      </c>
      <c r="D195" s="39" t="n">
        <f aca="false">SUMIF('Raw - Sessions'!$R$5:$R$292,A195,'Raw - Sessions'!$E$5:$E$292)</f>
        <v>0</v>
      </c>
      <c r="E195" s="39" t="n">
        <f aca="false">'Raw - Daily Energy'!B190</f>
        <v>0</v>
      </c>
      <c r="F195" s="44" t="n">
        <f aca="false">SUMIF('Raw - Sessions'!$R$5:$R$292,A195,'Raw - Sessions'!$P$5:$P$292)</f>
        <v>0</v>
      </c>
    </row>
    <row r="196" customFormat="false" ht="15" hidden="false" customHeight="false" outlineLevel="0" collapsed="false">
      <c r="A196" s="53" t="n">
        <f aca="false">'Raw - Daily Energy'!A191</f>
        <v>46036</v>
      </c>
      <c r="B196" s="14" t="n">
        <f aca="false">COUNTIF('Raw - Sessions'!$R$5:$R$292,A196)</f>
        <v>0</v>
      </c>
      <c r="C196" s="38" t="n">
        <f aca="false">SUMIF('Raw - Sessions'!$R$5:$R$292,A196,'Raw - Sessions'!$D$5:$D$292)</f>
        <v>0</v>
      </c>
      <c r="D196" s="38" t="n">
        <f aca="false">SUMIF('Raw - Sessions'!$R$5:$R$292,A196,'Raw - Sessions'!$E$5:$E$292)</f>
        <v>0</v>
      </c>
      <c r="E196" s="38" t="n">
        <f aca="false">'Raw - Daily Energy'!B191</f>
        <v>0</v>
      </c>
      <c r="F196" s="42" t="n">
        <f aca="false">SUMIF('Raw - Sessions'!$R$5:$R$292,A196,'Raw - Sessions'!$P$5:$P$292)</f>
        <v>0</v>
      </c>
    </row>
    <row r="197" customFormat="false" ht="15" hidden="false" customHeight="false" outlineLevel="0" collapsed="false">
      <c r="A197" s="54" t="n">
        <f aca="false">'Raw - Daily Energy'!A192</f>
        <v>46037</v>
      </c>
      <c r="B197" s="17" t="n">
        <f aca="false">COUNTIF('Raw - Sessions'!$R$5:$R$292,A197)</f>
        <v>0</v>
      </c>
      <c r="C197" s="39" t="n">
        <f aca="false">SUMIF('Raw - Sessions'!$R$5:$R$292,A197,'Raw - Sessions'!$D$5:$D$292)</f>
        <v>0</v>
      </c>
      <c r="D197" s="39" t="n">
        <f aca="false">SUMIF('Raw - Sessions'!$R$5:$R$292,A197,'Raw - Sessions'!$E$5:$E$292)</f>
        <v>0</v>
      </c>
      <c r="E197" s="39" t="n">
        <f aca="false">'Raw - Daily Energy'!B192</f>
        <v>0</v>
      </c>
      <c r="F197" s="44" t="n">
        <f aca="false">SUMIF('Raw - Sessions'!$R$5:$R$292,A197,'Raw - Sessions'!$P$5:$P$292)</f>
        <v>0</v>
      </c>
    </row>
    <row r="198" customFormat="false" ht="15" hidden="false" customHeight="false" outlineLevel="0" collapsed="false">
      <c r="A198" s="53" t="n">
        <f aca="false">'Raw - Daily Energy'!A193</f>
        <v>46038</v>
      </c>
      <c r="B198" s="14" t="n">
        <f aca="false">COUNTIF('Raw - Sessions'!$R$5:$R$292,A198)</f>
        <v>2</v>
      </c>
      <c r="C198" s="38" t="n">
        <f aca="false">SUMIF('Raw - Sessions'!$R$5:$R$292,A198,'Raw - Sessions'!$D$5:$D$292)</f>
        <v>0.211666666666667</v>
      </c>
      <c r="D198" s="38" t="n">
        <f aca="false">SUMIF('Raw - Sessions'!$R$5:$R$292,A198,'Raw - Sessions'!$E$5:$E$292)</f>
        <v>10.404</v>
      </c>
      <c r="E198" s="38" t="n">
        <f aca="false">'Raw - Daily Energy'!B193</f>
        <v>10.404</v>
      </c>
      <c r="F198" s="42" t="n">
        <f aca="false">SUMIF('Raw - Sessions'!$R$5:$R$292,A198,'Raw - Sessions'!$P$5:$P$292)</f>
        <v>5.31</v>
      </c>
    </row>
    <row r="199" customFormat="false" ht="15" hidden="false" customHeight="false" outlineLevel="0" collapsed="false">
      <c r="A199" s="54" t="n">
        <f aca="false">'Raw - Daily Energy'!A194</f>
        <v>46039</v>
      </c>
      <c r="B199" s="17" t="n">
        <f aca="false">COUNTIF('Raw - Sessions'!$R$5:$R$292,A199)</f>
        <v>4</v>
      </c>
      <c r="C199" s="39" t="n">
        <f aca="false">SUMIF('Raw - Sessions'!$R$5:$R$292,A199,'Raw - Sessions'!$D$5:$D$292)</f>
        <v>0.585</v>
      </c>
      <c r="D199" s="39" t="n">
        <f aca="false">SUMIF('Raw - Sessions'!$R$5:$R$292,A199,'Raw - Sessions'!$E$5:$E$292)</f>
        <v>21.7241</v>
      </c>
      <c r="E199" s="39" t="n">
        <f aca="false">'Raw - Daily Energy'!B194</f>
        <v>21.724</v>
      </c>
      <c r="F199" s="44" t="n">
        <f aca="false">SUMIF('Raw - Sessions'!$R$5:$R$292,A199,'Raw - Sessions'!$P$5:$P$292)</f>
        <v>11.59</v>
      </c>
    </row>
    <row r="200" customFormat="false" ht="15" hidden="false" customHeight="false" outlineLevel="0" collapsed="false">
      <c r="A200" s="53" t="n">
        <f aca="false">'Raw - Daily Energy'!A195</f>
        <v>46040</v>
      </c>
      <c r="B200" s="14" t="n">
        <f aca="false">COUNTIF('Raw - Sessions'!$R$5:$R$292,A200)</f>
        <v>0</v>
      </c>
      <c r="C200" s="38" t="n">
        <f aca="false">SUMIF('Raw - Sessions'!$R$5:$R$292,A200,'Raw - Sessions'!$D$5:$D$292)</f>
        <v>0</v>
      </c>
      <c r="D200" s="38" t="n">
        <f aca="false">SUMIF('Raw - Sessions'!$R$5:$R$292,A200,'Raw - Sessions'!$E$5:$E$292)</f>
        <v>0</v>
      </c>
      <c r="E200" s="38" t="n">
        <f aca="false">'Raw - Daily Energy'!B195</f>
        <v>0</v>
      </c>
      <c r="F200" s="42" t="n">
        <f aca="false">SUMIF('Raw - Sessions'!$R$5:$R$292,A200,'Raw - Sessions'!$P$5:$P$292)</f>
        <v>0</v>
      </c>
    </row>
    <row r="201" customFormat="false" ht="15" hidden="false" customHeight="false" outlineLevel="0" collapsed="false">
      <c r="A201" s="54" t="n">
        <f aca="false">'Raw - Daily Energy'!A196</f>
        <v>46041</v>
      </c>
      <c r="B201" s="17" t="n">
        <f aca="false">COUNTIF('Raw - Sessions'!$R$5:$R$292,A201)</f>
        <v>0</v>
      </c>
      <c r="C201" s="39" t="n">
        <f aca="false">SUMIF('Raw - Sessions'!$R$5:$R$292,A201,'Raw - Sessions'!$D$5:$D$292)</f>
        <v>0</v>
      </c>
      <c r="D201" s="39" t="n">
        <f aca="false">SUMIF('Raw - Sessions'!$R$5:$R$292,A201,'Raw - Sessions'!$E$5:$E$292)</f>
        <v>0</v>
      </c>
      <c r="E201" s="39" t="n">
        <f aca="false">'Raw - Daily Energy'!B196</f>
        <v>0</v>
      </c>
      <c r="F201" s="44" t="n">
        <f aca="false">SUMIF('Raw - Sessions'!$R$5:$R$292,A201,'Raw - Sessions'!$P$5:$P$292)</f>
        <v>0</v>
      </c>
    </row>
    <row r="202" customFormat="false" ht="15" hidden="false" customHeight="false" outlineLevel="0" collapsed="false">
      <c r="A202" s="53" t="n">
        <f aca="false">'Raw - Daily Energy'!A197</f>
        <v>46042</v>
      </c>
      <c r="B202" s="14" t="n">
        <f aca="false">COUNTIF('Raw - Sessions'!$R$5:$R$292,A202)</f>
        <v>0</v>
      </c>
      <c r="C202" s="38" t="n">
        <f aca="false">SUMIF('Raw - Sessions'!$R$5:$R$292,A202,'Raw - Sessions'!$D$5:$D$292)</f>
        <v>0</v>
      </c>
      <c r="D202" s="38" t="n">
        <f aca="false">SUMIF('Raw - Sessions'!$R$5:$R$292,A202,'Raw - Sessions'!$E$5:$E$292)</f>
        <v>0</v>
      </c>
      <c r="E202" s="38" t="n">
        <f aca="false">'Raw - Daily Energy'!B197</f>
        <v>0</v>
      </c>
      <c r="F202" s="42" t="n">
        <f aca="false">SUMIF('Raw - Sessions'!$R$5:$R$292,A202,'Raw - Sessions'!$P$5:$P$292)</f>
        <v>0</v>
      </c>
    </row>
    <row r="203" customFormat="false" ht="15" hidden="false" customHeight="false" outlineLevel="0" collapsed="false">
      <c r="A203" s="54" t="n">
        <f aca="false">'Raw - Daily Energy'!A198</f>
        <v>46043</v>
      </c>
      <c r="B203" s="17" t="n">
        <f aca="false">COUNTIF('Raw - Sessions'!$R$5:$R$292,A203)</f>
        <v>0</v>
      </c>
      <c r="C203" s="39" t="n">
        <f aca="false">SUMIF('Raw - Sessions'!$R$5:$R$292,A203,'Raw - Sessions'!$D$5:$D$292)</f>
        <v>0</v>
      </c>
      <c r="D203" s="39" t="n">
        <f aca="false">SUMIF('Raw - Sessions'!$R$5:$R$292,A203,'Raw - Sessions'!$E$5:$E$292)</f>
        <v>0</v>
      </c>
      <c r="E203" s="39" t="n">
        <f aca="false">'Raw - Daily Energy'!B198</f>
        <v>0</v>
      </c>
      <c r="F203" s="44" t="n">
        <f aca="false">SUMIF('Raw - Sessions'!$R$5:$R$292,A203,'Raw - Sessions'!$P$5:$P$292)</f>
        <v>0</v>
      </c>
    </row>
    <row r="204" customFormat="false" ht="15" hidden="false" customHeight="false" outlineLevel="0" collapsed="false">
      <c r="A204" s="53" t="n">
        <f aca="false">'Raw - Daily Energy'!A199</f>
        <v>46044</v>
      </c>
      <c r="B204" s="14" t="n">
        <f aca="false">COUNTIF('Raw - Sessions'!$R$5:$R$292,A204)</f>
        <v>0</v>
      </c>
      <c r="C204" s="38" t="n">
        <f aca="false">SUMIF('Raw - Sessions'!$R$5:$R$292,A204,'Raw - Sessions'!$D$5:$D$292)</f>
        <v>0</v>
      </c>
      <c r="D204" s="38" t="n">
        <f aca="false">SUMIF('Raw - Sessions'!$R$5:$R$292,A204,'Raw - Sessions'!$E$5:$E$292)</f>
        <v>0</v>
      </c>
      <c r="E204" s="38" t="n">
        <f aca="false">'Raw - Daily Energy'!B199</f>
        <v>0</v>
      </c>
      <c r="F204" s="42" t="n">
        <f aca="false">SUMIF('Raw - Sessions'!$R$5:$R$292,A204,'Raw - Sessions'!$P$5:$P$292)</f>
        <v>0</v>
      </c>
    </row>
    <row r="205" customFormat="false" ht="15" hidden="false" customHeight="false" outlineLevel="0" collapsed="false">
      <c r="A205" s="54" t="n">
        <f aca="false">'Raw - Daily Energy'!A200</f>
        <v>46045</v>
      </c>
      <c r="B205" s="17" t="n">
        <f aca="false">COUNTIF('Raw - Sessions'!$R$5:$R$292,A205)</f>
        <v>0</v>
      </c>
      <c r="C205" s="39" t="n">
        <f aca="false">SUMIF('Raw - Sessions'!$R$5:$R$292,A205,'Raw - Sessions'!$D$5:$D$292)</f>
        <v>0</v>
      </c>
      <c r="D205" s="39" t="n">
        <f aca="false">SUMIF('Raw - Sessions'!$R$5:$R$292,A205,'Raw - Sessions'!$E$5:$E$292)</f>
        <v>0</v>
      </c>
      <c r="E205" s="39" t="n">
        <f aca="false">'Raw - Daily Energy'!B200</f>
        <v>0</v>
      </c>
      <c r="F205" s="44" t="n">
        <f aca="false">SUMIF('Raw - Sessions'!$R$5:$R$292,A205,'Raw - Sessions'!$P$5:$P$292)</f>
        <v>0</v>
      </c>
    </row>
    <row r="206" customFormat="false" ht="15" hidden="false" customHeight="false" outlineLevel="0" collapsed="false">
      <c r="A206" s="53" t="n">
        <f aca="false">'Raw - Daily Energy'!A201</f>
        <v>46046</v>
      </c>
      <c r="B206" s="14" t="n">
        <f aca="false">COUNTIF('Raw - Sessions'!$R$5:$R$292,A206)</f>
        <v>0</v>
      </c>
      <c r="C206" s="38" t="n">
        <f aca="false">SUMIF('Raw - Sessions'!$R$5:$R$292,A206,'Raw - Sessions'!$D$5:$D$292)</f>
        <v>0</v>
      </c>
      <c r="D206" s="38" t="n">
        <f aca="false">SUMIF('Raw - Sessions'!$R$5:$R$292,A206,'Raw - Sessions'!$E$5:$E$292)</f>
        <v>0</v>
      </c>
      <c r="E206" s="38" t="n">
        <f aca="false">'Raw - Daily Energy'!B201</f>
        <v>0</v>
      </c>
      <c r="F206" s="42" t="n">
        <f aca="false">SUMIF('Raw - Sessions'!$R$5:$R$292,A206,'Raw - Sessions'!$P$5:$P$292)</f>
        <v>0</v>
      </c>
    </row>
    <row r="207" customFormat="false" ht="15" hidden="false" customHeight="false" outlineLevel="0" collapsed="false">
      <c r="A207" s="54" t="n">
        <f aca="false">'Raw - Daily Energy'!A202</f>
        <v>46047</v>
      </c>
      <c r="B207" s="17" t="n">
        <f aca="false">COUNTIF('Raw - Sessions'!$R$5:$R$292,A207)</f>
        <v>0</v>
      </c>
      <c r="C207" s="39" t="n">
        <f aca="false">SUMIF('Raw - Sessions'!$R$5:$R$292,A207,'Raw - Sessions'!$D$5:$D$292)</f>
        <v>0</v>
      </c>
      <c r="D207" s="39" t="n">
        <f aca="false">SUMIF('Raw - Sessions'!$R$5:$R$292,A207,'Raw - Sessions'!$E$5:$E$292)</f>
        <v>0</v>
      </c>
      <c r="E207" s="39" t="n">
        <f aca="false">'Raw - Daily Energy'!B202</f>
        <v>0</v>
      </c>
      <c r="F207" s="44" t="n">
        <f aca="false">SUMIF('Raw - Sessions'!$R$5:$R$292,A207,'Raw - Sessions'!$P$5:$P$292)</f>
        <v>0</v>
      </c>
    </row>
    <row r="208" customFormat="false" ht="15" hidden="false" customHeight="false" outlineLevel="0" collapsed="false">
      <c r="A208" s="53" t="n">
        <f aca="false">'Raw - Daily Energy'!A203</f>
        <v>46048</v>
      </c>
      <c r="B208" s="14" t="n">
        <f aca="false">COUNTIF('Raw - Sessions'!$R$5:$R$292,A208)</f>
        <v>0</v>
      </c>
      <c r="C208" s="38" t="n">
        <f aca="false">SUMIF('Raw - Sessions'!$R$5:$R$292,A208,'Raw - Sessions'!$D$5:$D$292)</f>
        <v>0</v>
      </c>
      <c r="D208" s="38" t="n">
        <f aca="false">SUMIF('Raw - Sessions'!$R$5:$R$292,A208,'Raw - Sessions'!$E$5:$E$292)</f>
        <v>0</v>
      </c>
      <c r="E208" s="38" t="n">
        <f aca="false">'Raw - Daily Energy'!B203</f>
        <v>0</v>
      </c>
      <c r="F208" s="42" t="n">
        <f aca="false">SUMIF('Raw - Sessions'!$R$5:$R$292,A208,'Raw - Sessions'!$P$5:$P$292)</f>
        <v>0</v>
      </c>
    </row>
    <row r="209" customFormat="false" ht="15" hidden="false" customHeight="false" outlineLevel="0" collapsed="false">
      <c r="A209" s="54" t="n">
        <f aca="false">'Raw - Daily Energy'!A204</f>
        <v>46049</v>
      </c>
      <c r="B209" s="17" t="n">
        <f aca="false">COUNTIF('Raw - Sessions'!$R$5:$R$292,A209)</f>
        <v>0</v>
      </c>
      <c r="C209" s="39" t="n">
        <f aca="false">SUMIF('Raw - Sessions'!$R$5:$R$292,A209,'Raw - Sessions'!$D$5:$D$292)</f>
        <v>0</v>
      </c>
      <c r="D209" s="39" t="n">
        <f aca="false">SUMIF('Raw - Sessions'!$R$5:$R$292,A209,'Raw - Sessions'!$E$5:$E$292)</f>
        <v>0</v>
      </c>
      <c r="E209" s="39" t="n">
        <f aca="false">'Raw - Daily Energy'!B204</f>
        <v>0</v>
      </c>
      <c r="F209" s="44" t="n">
        <f aca="false">SUMIF('Raw - Sessions'!$R$5:$R$292,A209,'Raw - Sessions'!$P$5:$P$292)</f>
        <v>0</v>
      </c>
    </row>
    <row r="210" customFormat="false" ht="15" hidden="false" customHeight="false" outlineLevel="0" collapsed="false">
      <c r="A210" s="53" t="n">
        <f aca="false">'Raw - Daily Energy'!A205</f>
        <v>46050</v>
      </c>
      <c r="B210" s="14" t="n">
        <f aca="false">COUNTIF('Raw - Sessions'!$R$5:$R$292,A210)</f>
        <v>0</v>
      </c>
      <c r="C210" s="38" t="n">
        <f aca="false">SUMIF('Raw - Sessions'!$R$5:$R$292,A210,'Raw - Sessions'!$D$5:$D$292)</f>
        <v>0</v>
      </c>
      <c r="D210" s="38" t="n">
        <f aca="false">SUMIF('Raw - Sessions'!$R$5:$R$292,A210,'Raw - Sessions'!$E$5:$E$292)</f>
        <v>0</v>
      </c>
      <c r="E210" s="38" t="n">
        <f aca="false">'Raw - Daily Energy'!B205</f>
        <v>0</v>
      </c>
      <c r="F210" s="42" t="n">
        <f aca="false">SUMIF('Raw - Sessions'!$R$5:$R$292,A210,'Raw - Sessions'!$P$5:$P$292)</f>
        <v>0</v>
      </c>
    </row>
    <row r="211" customFormat="false" ht="15" hidden="false" customHeight="false" outlineLevel="0" collapsed="false">
      <c r="A211" s="54" t="n">
        <f aca="false">'Raw - Daily Energy'!A206</f>
        <v>46051</v>
      </c>
      <c r="B211" s="17" t="n">
        <f aca="false">COUNTIF('Raw - Sessions'!$R$5:$R$292,A211)</f>
        <v>0</v>
      </c>
      <c r="C211" s="39" t="n">
        <f aca="false">SUMIF('Raw - Sessions'!$R$5:$R$292,A211,'Raw - Sessions'!$D$5:$D$292)</f>
        <v>0</v>
      </c>
      <c r="D211" s="39" t="n">
        <f aca="false">SUMIF('Raw - Sessions'!$R$5:$R$292,A211,'Raw - Sessions'!$E$5:$E$292)</f>
        <v>0</v>
      </c>
      <c r="E211" s="39" t="n">
        <f aca="false">'Raw - Daily Energy'!B206</f>
        <v>0</v>
      </c>
      <c r="F211" s="44" t="n">
        <f aca="false">SUMIF('Raw - Sessions'!$R$5:$R$292,A211,'Raw - Sessions'!$P$5:$P$292)</f>
        <v>0</v>
      </c>
    </row>
    <row r="212" customFormat="false" ht="15" hidden="false" customHeight="false" outlineLevel="0" collapsed="false">
      <c r="A212" s="53" t="n">
        <f aca="false">'Raw - Daily Energy'!A207</f>
        <v>46052</v>
      </c>
      <c r="B212" s="14" t="n">
        <f aca="false">COUNTIF('Raw - Sessions'!$R$5:$R$292,A212)</f>
        <v>0</v>
      </c>
      <c r="C212" s="38" t="n">
        <f aca="false">SUMIF('Raw - Sessions'!$R$5:$R$292,A212,'Raw - Sessions'!$D$5:$D$292)</f>
        <v>0</v>
      </c>
      <c r="D212" s="38" t="n">
        <f aca="false">SUMIF('Raw - Sessions'!$R$5:$R$292,A212,'Raw - Sessions'!$E$5:$E$292)</f>
        <v>0</v>
      </c>
      <c r="E212" s="38" t="n">
        <f aca="false">'Raw - Daily Energy'!B207</f>
        <v>0</v>
      </c>
      <c r="F212" s="42" t="n">
        <f aca="false">SUMIF('Raw - Sessions'!$R$5:$R$292,A212,'Raw - Sessions'!$P$5:$P$292)</f>
        <v>0</v>
      </c>
    </row>
    <row r="213" customFormat="false" ht="15" hidden="false" customHeight="false" outlineLevel="0" collapsed="false">
      <c r="A213" s="54" t="n">
        <f aca="false">'Raw - Daily Energy'!A208</f>
        <v>46053</v>
      </c>
      <c r="B213" s="17" t="n">
        <f aca="false">COUNTIF('Raw - Sessions'!$R$5:$R$292,A213)</f>
        <v>0</v>
      </c>
      <c r="C213" s="39" t="n">
        <f aca="false">SUMIF('Raw - Sessions'!$R$5:$R$292,A213,'Raw - Sessions'!$D$5:$D$292)</f>
        <v>0</v>
      </c>
      <c r="D213" s="39" t="n">
        <f aca="false">SUMIF('Raw - Sessions'!$R$5:$R$292,A213,'Raw - Sessions'!$E$5:$E$292)</f>
        <v>0</v>
      </c>
      <c r="E213" s="39" t="n">
        <f aca="false">'Raw - Daily Energy'!B208</f>
        <v>0</v>
      </c>
      <c r="F213" s="44" t="n">
        <f aca="false">SUMIF('Raw - Sessions'!$R$5:$R$292,A213,'Raw - Sessions'!$P$5:$P$292)</f>
        <v>0</v>
      </c>
    </row>
    <row r="214" customFormat="false" ht="15" hidden="false" customHeight="false" outlineLevel="0" collapsed="false">
      <c r="A214" s="53" t="n">
        <f aca="false">'Raw - Daily Energy'!A209</f>
        <v>46054</v>
      </c>
      <c r="B214" s="14" t="n">
        <f aca="false">COUNTIF('Raw - Sessions'!$R$5:$R$292,A214)</f>
        <v>2</v>
      </c>
      <c r="C214" s="38" t="n">
        <f aca="false">SUMIF('Raw - Sessions'!$R$5:$R$292,A214,'Raw - Sessions'!$D$5:$D$292)</f>
        <v>1.40916666666667</v>
      </c>
      <c r="D214" s="38" t="n">
        <f aca="false">SUMIF('Raw - Sessions'!$R$5:$R$292,A214,'Raw - Sessions'!$E$5:$E$292)</f>
        <v>73.232498</v>
      </c>
      <c r="E214" s="38" t="n">
        <f aca="false">'Raw - Daily Energy'!B209</f>
        <v>73.232</v>
      </c>
      <c r="F214" s="42" t="n">
        <f aca="false">SUMIF('Raw - Sessions'!$R$5:$R$292,A214,'Raw - Sessions'!$P$5:$P$292)</f>
        <v>36.95</v>
      </c>
    </row>
    <row r="215" customFormat="false" ht="15" hidden="false" customHeight="false" outlineLevel="0" collapsed="false">
      <c r="A215" s="54" t="n">
        <f aca="false">'Raw - Daily Energy'!A210</f>
        <v>46055</v>
      </c>
      <c r="B215" s="17" t="n">
        <f aca="false">COUNTIF('Raw - Sessions'!$R$5:$R$292,A215)</f>
        <v>1</v>
      </c>
      <c r="C215" s="39" t="n">
        <f aca="false">SUMIF('Raw - Sessions'!$R$5:$R$292,A215,'Raw - Sessions'!$D$5:$D$292)</f>
        <v>1.16638888888889</v>
      </c>
      <c r="D215" s="39" t="n">
        <f aca="false">SUMIF('Raw - Sessions'!$R$5:$R$292,A215,'Raw - Sessions'!$E$5:$E$292)</f>
        <v>50.064899</v>
      </c>
      <c r="E215" s="39" t="n">
        <f aca="false">'Raw - Daily Energy'!B210</f>
        <v>50.065</v>
      </c>
      <c r="F215" s="44" t="n">
        <f aca="false">SUMIF('Raw - Sessions'!$R$5:$R$292,A215,'Raw - Sessions'!$P$5:$P$292)</f>
        <v>26.18</v>
      </c>
    </row>
    <row r="216" customFormat="false" ht="15" hidden="false" customHeight="false" outlineLevel="0" collapsed="false">
      <c r="A216" s="53" t="n">
        <f aca="false">'Raw - Daily Energy'!A211</f>
        <v>46056</v>
      </c>
      <c r="B216" s="14" t="n">
        <f aca="false">COUNTIF('Raw - Sessions'!$R$5:$R$292,A216)</f>
        <v>0</v>
      </c>
      <c r="C216" s="38" t="n">
        <f aca="false">SUMIF('Raw - Sessions'!$R$5:$R$292,A216,'Raw - Sessions'!$D$5:$D$292)</f>
        <v>0</v>
      </c>
      <c r="D216" s="38" t="n">
        <f aca="false">SUMIF('Raw - Sessions'!$R$5:$R$292,A216,'Raw - Sessions'!$E$5:$E$292)</f>
        <v>0</v>
      </c>
      <c r="E216" s="38" t="n">
        <f aca="false">'Raw - Daily Energy'!B211</f>
        <v>0</v>
      </c>
      <c r="F216" s="42" t="n">
        <f aca="false">SUMIF('Raw - Sessions'!$R$5:$R$292,A216,'Raw - Sessions'!$P$5:$P$292)</f>
        <v>0</v>
      </c>
    </row>
    <row r="217" customFormat="false" ht="15" hidden="false" customHeight="false" outlineLevel="0" collapsed="false">
      <c r="A217" s="54" t="n">
        <f aca="false">'Raw - Daily Energy'!A212</f>
        <v>46057</v>
      </c>
      <c r="B217" s="17" t="n">
        <f aca="false">COUNTIF('Raw - Sessions'!$R$5:$R$292,A217)</f>
        <v>3</v>
      </c>
      <c r="C217" s="39" t="n">
        <f aca="false">SUMIF('Raw - Sessions'!$R$5:$R$292,A217,'Raw - Sessions'!$D$5:$D$292)</f>
        <v>2.66666666666667</v>
      </c>
      <c r="D217" s="39" t="n">
        <f aca="false">SUMIF('Raw - Sessions'!$R$5:$R$292,A217,'Raw - Sessions'!$E$5:$E$292)</f>
        <v>132.774003</v>
      </c>
      <c r="E217" s="39" t="n">
        <f aca="false">'Raw - Daily Energy'!B212</f>
        <v>132.774</v>
      </c>
      <c r="F217" s="44" t="n">
        <f aca="false">SUMIF('Raw - Sessions'!$R$5:$R$292,A217,'Raw - Sessions'!$P$5:$P$292)</f>
        <v>67.6</v>
      </c>
    </row>
    <row r="218" customFormat="false" ht="15" hidden="false" customHeight="false" outlineLevel="0" collapsed="false">
      <c r="A218" s="53" t="n">
        <f aca="false">'Raw - Daily Energy'!A213</f>
        <v>46058</v>
      </c>
      <c r="B218" s="14" t="n">
        <f aca="false">COUNTIF('Raw - Sessions'!$R$5:$R$292,A218)</f>
        <v>0</v>
      </c>
      <c r="C218" s="38" t="n">
        <f aca="false">SUMIF('Raw - Sessions'!$R$5:$R$292,A218,'Raw - Sessions'!$D$5:$D$292)</f>
        <v>0</v>
      </c>
      <c r="D218" s="38" t="n">
        <f aca="false">SUMIF('Raw - Sessions'!$R$5:$R$292,A218,'Raw - Sessions'!$E$5:$E$292)</f>
        <v>0</v>
      </c>
      <c r="E218" s="38" t="n">
        <f aca="false">'Raw - Daily Energy'!B213</f>
        <v>0</v>
      </c>
      <c r="F218" s="42" t="n">
        <f aca="false">SUMIF('Raw - Sessions'!$R$5:$R$292,A218,'Raw - Sessions'!$P$5:$P$292)</f>
        <v>0</v>
      </c>
    </row>
    <row r="219" customFormat="false" ht="15" hidden="false" customHeight="false" outlineLevel="0" collapsed="false">
      <c r="A219" s="54" t="n">
        <f aca="false">'Raw - Daily Energy'!A214</f>
        <v>46059</v>
      </c>
      <c r="B219" s="17" t="n">
        <f aca="false">COUNTIF('Raw - Sessions'!$R$5:$R$292,A219)</f>
        <v>0</v>
      </c>
      <c r="C219" s="39" t="n">
        <f aca="false">SUMIF('Raw - Sessions'!$R$5:$R$292,A219,'Raw - Sessions'!$D$5:$D$292)</f>
        <v>0</v>
      </c>
      <c r="D219" s="39" t="n">
        <f aca="false">SUMIF('Raw - Sessions'!$R$5:$R$292,A219,'Raw - Sessions'!$E$5:$E$292)</f>
        <v>0</v>
      </c>
      <c r="E219" s="39" t="n">
        <f aca="false">'Raw - Daily Energy'!B214</f>
        <v>0</v>
      </c>
      <c r="F219" s="44" t="n">
        <f aca="false">SUMIF('Raw - Sessions'!$R$5:$R$292,A219,'Raw - Sessions'!$P$5:$P$292)</f>
        <v>0</v>
      </c>
    </row>
    <row r="220" customFormat="false" ht="15" hidden="false" customHeight="false" outlineLevel="0" collapsed="false">
      <c r="A220" s="53" t="n">
        <f aca="false">'Raw - Daily Energy'!A215</f>
        <v>46060</v>
      </c>
      <c r="B220" s="14" t="n">
        <f aca="false">COUNTIF('Raw - Sessions'!$R$5:$R$292,A220)</f>
        <v>1</v>
      </c>
      <c r="C220" s="38" t="n">
        <f aca="false">SUMIF('Raw - Sessions'!$R$5:$R$292,A220,'Raw - Sessions'!$D$5:$D$292)</f>
        <v>0.678055555555556</v>
      </c>
      <c r="D220" s="38" t="n">
        <f aca="false">SUMIF('Raw - Sessions'!$R$5:$R$292,A220,'Raw - Sessions'!$E$5:$E$292)</f>
        <v>37.706402</v>
      </c>
      <c r="E220" s="38" t="n">
        <f aca="false">'Raw - Daily Energy'!B215</f>
        <v>82.255</v>
      </c>
      <c r="F220" s="42" t="n">
        <f aca="false">SUMIF('Raw - Sessions'!$R$5:$R$292,A220,'Raw - Sessions'!$P$5:$P$292)</f>
        <v>23.57</v>
      </c>
    </row>
    <row r="221" customFormat="false" ht="15" hidden="false" customHeight="false" outlineLevel="0" collapsed="false">
      <c r="A221" s="54" t="n">
        <f aca="false">'Raw - Daily Energy'!A216</f>
        <v>46061</v>
      </c>
      <c r="B221" s="17" t="n">
        <f aca="false">COUNTIF('Raw - Sessions'!$R$5:$R$292,A221)</f>
        <v>2</v>
      </c>
      <c r="C221" s="39" t="n">
        <f aca="false">SUMIF('Raw - Sessions'!$R$5:$R$292,A221,'Raw - Sessions'!$D$5:$D$292)</f>
        <v>1.44472222222222</v>
      </c>
      <c r="D221" s="39" t="n">
        <f aca="false">SUMIF('Raw - Sessions'!$R$5:$R$292,A221,'Raw - Sessions'!$E$5:$E$292)</f>
        <v>72.369801</v>
      </c>
      <c r="E221" s="39" t="n">
        <f aca="false">'Raw - Daily Energy'!B216</f>
        <v>27.821</v>
      </c>
      <c r="F221" s="44" t="n">
        <f aca="false">SUMIF('Raw - Sessions'!$R$5:$R$292,A221,'Raw - Sessions'!$P$5:$P$292)</f>
        <v>46.02</v>
      </c>
    </row>
    <row r="222" customFormat="false" ht="15" hidden="false" customHeight="false" outlineLevel="0" collapsed="false">
      <c r="A222" s="53" t="n">
        <f aca="false">'Raw - Daily Energy'!A217</f>
        <v>46062</v>
      </c>
      <c r="B222" s="14" t="n">
        <f aca="false">COUNTIF('Raw - Sessions'!$R$5:$R$292,A222)</f>
        <v>1</v>
      </c>
      <c r="C222" s="38" t="n">
        <f aca="false">SUMIF('Raw - Sessions'!$R$5:$R$292,A222,'Raw - Sessions'!$D$5:$D$292)</f>
        <v>1.26444444444444</v>
      </c>
      <c r="D222" s="38" t="n">
        <f aca="false">SUMIF('Raw - Sessions'!$R$5:$R$292,A222,'Raw - Sessions'!$E$5:$E$292)</f>
        <v>55.450699</v>
      </c>
      <c r="E222" s="38" t="n">
        <f aca="false">'Raw - Daily Energy'!B217</f>
        <v>55.451</v>
      </c>
      <c r="F222" s="42" t="n">
        <f aca="false">SUMIF('Raw - Sessions'!$R$5:$R$292,A222,'Raw - Sessions'!$P$5:$P$292)</f>
        <v>36.09</v>
      </c>
    </row>
    <row r="223" customFormat="false" ht="15" hidden="false" customHeight="false" outlineLevel="0" collapsed="false">
      <c r="A223" s="54" t="n">
        <f aca="false">'Raw - Daily Energy'!A218</f>
        <v>46063</v>
      </c>
      <c r="B223" s="17" t="n">
        <f aca="false">COUNTIF('Raw - Sessions'!$R$5:$R$292,A223)</f>
        <v>1</v>
      </c>
      <c r="C223" s="39" t="n">
        <f aca="false">SUMIF('Raw - Sessions'!$R$5:$R$292,A223,'Raw - Sessions'!$D$5:$D$292)</f>
        <v>0.43</v>
      </c>
      <c r="D223" s="39" t="n">
        <f aca="false">SUMIF('Raw - Sessions'!$R$5:$R$292,A223,'Raw - Sessions'!$E$5:$E$292)</f>
        <v>22.3647</v>
      </c>
      <c r="E223" s="39" t="n">
        <f aca="false">'Raw - Daily Energy'!B218</f>
        <v>22.365</v>
      </c>
      <c r="F223" s="44" t="n">
        <f aca="false">SUMIF('Raw - Sessions'!$R$5:$R$292,A223,'Raw - Sessions'!$P$5:$P$292)</f>
        <v>14.13</v>
      </c>
    </row>
    <row r="224" customFormat="false" ht="15" hidden="false" customHeight="false" outlineLevel="0" collapsed="false">
      <c r="A224" s="53" t="n">
        <f aca="false">'Raw - Daily Energy'!A219</f>
        <v>46064</v>
      </c>
      <c r="B224" s="14" t="n">
        <f aca="false">COUNTIF('Raw - Sessions'!$R$5:$R$292,A224)</f>
        <v>0</v>
      </c>
      <c r="C224" s="38" t="n">
        <f aca="false">SUMIF('Raw - Sessions'!$R$5:$R$292,A224,'Raw - Sessions'!$D$5:$D$292)</f>
        <v>0</v>
      </c>
      <c r="D224" s="38" t="n">
        <f aca="false">SUMIF('Raw - Sessions'!$R$5:$R$292,A224,'Raw - Sessions'!$E$5:$E$292)</f>
        <v>0</v>
      </c>
      <c r="E224" s="38" t="n">
        <f aca="false">'Raw - Daily Energy'!B219</f>
        <v>0</v>
      </c>
      <c r="F224" s="42" t="n">
        <f aca="false">SUMIF('Raw - Sessions'!$R$5:$R$292,A224,'Raw - Sessions'!$P$5:$P$292)</f>
        <v>0</v>
      </c>
    </row>
    <row r="225" customFormat="false" ht="15" hidden="false" customHeight="false" outlineLevel="0" collapsed="false">
      <c r="A225" s="54" t="n">
        <f aca="false">'Raw - Daily Energy'!A220</f>
        <v>46065</v>
      </c>
      <c r="B225" s="17" t="n">
        <f aca="false">COUNTIF('Raw - Sessions'!$R$5:$R$292,A225)</f>
        <v>0</v>
      </c>
      <c r="C225" s="39" t="n">
        <f aca="false">SUMIF('Raw - Sessions'!$R$5:$R$292,A225,'Raw - Sessions'!$D$5:$D$292)</f>
        <v>0</v>
      </c>
      <c r="D225" s="39" t="n">
        <f aca="false">SUMIF('Raw - Sessions'!$R$5:$R$292,A225,'Raw - Sessions'!$E$5:$E$292)</f>
        <v>0</v>
      </c>
      <c r="E225" s="39" t="n">
        <f aca="false">'Raw - Daily Energy'!B220</f>
        <v>0</v>
      </c>
      <c r="F225" s="44" t="n">
        <f aca="false">SUMIF('Raw - Sessions'!$R$5:$R$292,A225,'Raw - Sessions'!$P$5:$P$292)</f>
        <v>0</v>
      </c>
    </row>
    <row r="226" customFormat="false" ht="15" hidden="false" customHeight="false" outlineLevel="0" collapsed="false">
      <c r="A226" s="53" t="n">
        <f aca="false">'Raw - Daily Energy'!A221</f>
        <v>46066</v>
      </c>
      <c r="B226" s="14" t="n">
        <f aca="false">COUNTIF('Raw - Sessions'!$R$5:$R$292,A226)</f>
        <v>0</v>
      </c>
      <c r="C226" s="38" t="n">
        <f aca="false">SUMIF('Raw - Sessions'!$R$5:$R$292,A226,'Raw - Sessions'!$D$5:$D$292)</f>
        <v>0</v>
      </c>
      <c r="D226" s="38" t="n">
        <f aca="false">SUMIF('Raw - Sessions'!$R$5:$R$292,A226,'Raw - Sessions'!$E$5:$E$292)</f>
        <v>0</v>
      </c>
      <c r="E226" s="38" t="n">
        <f aca="false">'Raw - Daily Energy'!B221</f>
        <v>0</v>
      </c>
      <c r="F226" s="42" t="n">
        <f aca="false">SUMIF('Raw - Sessions'!$R$5:$R$292,A226,'Raw - Sessions'!$P$5:$P$292)</f>
        <v>0</v>
      </c>
    </row>
    <row r="227" customFormat="false" ht="15" hidden="false" customHeight="false" outlineLevel="0" collapsed="false">
      <c r="A227" s="54" t="n">
        <f aca="false">'Raw - Daily Energy'!A222</f>
        <v>46067</v>
      </c>
      <c r="B227" s="17" t="n">
        <f aca="false">COUNTIF('Raw - Sessions'!$R$5:$R$292,A227)</f>
        <v>0</v>
      </c>
      <c r="C227" s="39" t="n">
        <f aca="false">SUMIF('Raw - Sessions'!$R$5:$R$292,A227,'Raw - Sessions'!$D$5:$D$292)</f>
        <v>0</v>
      </c>
      <c r="D227" s="39" t="n">
        <f aca="false">SUMIF('Raw - Sessions'!$R$5:$R$292,A227,'Raw - Sessions'!$E$5:$E$292)</f>
        <v>0</v>
      </c>
      <c r="E227" s="39" t="n">
        <f aca="false">'Raw - Daily Energy'!B222</f>
        <v>0</v>
      </c>
      <c r="F227" s="44" t="n">
        <f aca="false">SUMIF('Raw - Sessions'!$R$5:$R$292,A227,'Raw - Sessions'!$P$5:$P$292)</f>
        <v>0</v>
      </c>
    </row>
    <row r="228" customFormat="false" ht="15" hidden="false" customHeight="false" outlineLevel="0" collapsed="false">
      <c r="A228" s="53" t="n">
        <f aca="false">'Raw - Daily Energy'!A223</f>
        <v>46068</v>
      </c>
      <c r="B228" s="14" t="n">
        <f aca="false">COUNTIF('Raw - Sessions'!$R$5:$R$292,A228)</f>
        <v>0</v>
      </c>
      <c r="C228" s="38" t="n">
        <f aca="false">SUMIF('Raw - Sessions'!$R$5:$R$292,A228,'Raw - Sessions'!$D$5:$D$292)</f>
        <v>0</v>
      </c>
      <c r="D228" s="38" t="n">
        <f aca="false">SUMIF('Raw - Sessions'!$R$5:$R$292,A228,'Raw - Sessions'!$E$5:$E$292)</f>
        <v>0</v>
      </c>
      <c r="E228" s="38" t="n">
        <f aca="false">'Raw - Daily Energy'!B223</f>
        <v>0</v>
      </c>
      <c r="F228" s="42" t="n">
        <f aca="false">SUMIF('Raw - Sessions'!$R$5:$R$292,A228,'Raw - Sessions'!$P$5:$P$292)</f>
        <v>0</v>
      </c>
    </row>
    <row r="229" customFormat="false" ht="15" hidden="false" customHeight="false" outlineLevel="0" collapsed="false">
      <c r="A229" s="54" t="n">
        <f aca="false">'Raw - Daily Energy'!A224</f>
        <v>46069</v>
      </c>
      <c r="B229" s="17" t="n">
        <f aca="false">COUNTIF('Raw - Sessions'!$R$5:$R$292,A229)</f>
        <v>1</v>
      </c>
      <c r="C229" s="39" t="n">
        <f aca="false">SUMIF('Raw - Sessions'!$R$5:$R$292,A229,'Raw - Sessions'!$D$5:$D$292)</f>
        <v>2.33555555555556</v>
      </c>
      <c r="D229" s="39" t="n">
        <f aca="false">SUMIF('Raw - Sessions'!$R$5:$R$292,A229,'Raw - Sessions'!$E$5:$E$292)</f>
        <v>89.408302</v>
      </c>
      <c r="E229" s="39" t="n">
        <f aca="false">'Raw - Daily Energy'!B224</f>
        <v>89.408</v>
      </c>
      <c r="F229" s="44" t="n">
        <f aca="false">SUMIF('Raw - Sessions'!$R$5:$R$292,A229,'Raw - Sessions'!$P$5:$P$292)</f>
        <v>59.76</v>
      </c>
    </row>
    <row r="230" customFormat="false" ht="15" hidden="false" customHeight="false" outlineLevel="0" collapsed="false">
      <c r="A230" s="53" t="n">
        <f aca="false">'Raw - Daily Energy'!A225</f>
        <v>46070</v>
      </c>
      <c r="B230" s="14" t="n">
        <f aca="false">COUNTIF('Raw - Sessions'!$R$5:$R$292,A230)</f>
        <v>0</v>
      </c>
      <c r="C230" s="38" t="n">
        <f aca="false">SUMIF('Raw - Sessions'!$R$5:$R$292,A230,'Raw - Sessions'!$D$5:$D$292)</f>
        <v>0</v>
      </c>
      <c r="D230" s="38" t="n">
        <f aca="false">SUMIF('Raw - Sessions'!$R$5:$R$292,A230,'Raw - Sessions'!$E$5:$E$292)</f>
        <v>0</v>
      </c>
      <c r="E230" s="38" t="n">
        <f aca="false">'Raw - Daily Energy'!B225</f>
        <v>0</v>
      </c>
      <c r="F230" s="42" t="n">
        <f aca="false">SUMIF('Raw - Sessions'!$R$5:$R$292,A230,'Raw - Sessions'!$P$5:$P$292)</f>
        <v>0</v>
      </c>
    </row>
    <row r="231" customFormat="false" ht="15" hidden="false" customHeight="false" outlineLevel="0" collapsed="false">
      <c r="A231" s="54" t="n">
        <f aca="false">'Raw - Daily Energy'!A226</f>
        <v>46071</v>
      </c>
      <c r="B231" s="17" t="n">
        <f aca="false">COUNTIF('Raw - Sessions'!$R$5:$R$292,A231)</f>
        <v>0</v>
      </c>
      <c r="C231" s="39" t="n">
        <f aca="false">SUMIF('Raw - Sessions'!$R$5:$R$292,A231,'Raw - Sessions'!$D$5:$D$292)</f>
        <v>0</v>
      </c>
      <c r="D231" s="39" t="n">
        <f aca="false">SUMIF('Raw - Sessions'!$R$5:$R$292,A231,'Raw - Sessions'!$E$5:$E$292)</f>
        <v>0</v>
      </c>
      <c r="E231" s="39" t="n">
        <f aca="false">'Raw - Daily Energy'!B226</f>
        <v>14.537</v>
      </c>
      <c r="F231" s="44" t="n">
        <f aca="false">SUMIF('Raw - Sessions'!$R$5:$R$292,A231,'Raw - Sessions'!$P$5:$P$292)</f>
        <v>0</v>
      </c>
    </row>
    <row r="232" customFormat="false" ht="15" hidden="false" customHeight="false" outlineLevel="0" collapsed="false">
      <c r="A232" s="53" t="n">
        <f aca="false">'Raw - Daily Energy'!A227</f>
        <v>46072</v>
      </c>
      <c r="B232" s="14" t="n">
        <f aca="false">COUNTIF('Raw - Sessions'!$R$5:$R$292,A232)</f>
        <v>2</v>
      </c>
      <c r="C232" s="38" t="n">
        <f aca="false">SUMIF('Raw - Sessions'!$R$5:$R$292,A232,'Raw - Sessions'!$D$5:$D$292)</f>
        <v>3.83611111111111</v>
      </c>
      <c r="D232" s="38" t="n">
        <f aca="false">SUMIF('Raw - Sessions'!$R$5:$R$292,A232,'Raw - Sessions'!$E$5:$E$292)</f>
        <v>46.373246</v>
      </c>
      <c r="E232" s="38" t="n">
        <f aca="false">'Raw - Daily Energy'!B227</f>
        <v>31.837</v>
      </c>
      <c r="F232" s="42" t="n">
        <f aca="false">SUMIF('Raw - Sessions'!$R$5:$R$292,A232,'Raw - Sessions'!$P$5:$P$292)</f>
        <v>44.92</v>
      </c>
    </row>
    <row r="233" customFormat="false" ht="15" hidden="false" customHeight="false" outlineLevel="0" collapsed="false">
      <c r="A233" s="54" t="n">
        <f aca="false">'Raw - Daily Energy'!A228</f>
        <v>46073</v>
      </c>
      <c r="B233" s="17" t="n">
        <f aca="false">COUNTIF('Raw - Sessions'!$R$5:$R$292,A233)</f>
        <v>0</v>
      </c>
      <c r="C233" s="39" t="n">
        <f aca="false">SUMIF('Raw - Sessions'!$R$5:$R$292,A233,'Raw - Sessions'!$D$5:$D$292)</f>
        <v>0</v>
      </c>
      <c r="D233" s="39" t="n">
        <f aca="false">SUMIF('Raw - Sessions'!$R$5:$R$292,A233,'Raw - Sessions'!$E$5:$E$292)</f>
        <v>0</v>
      </c>
      <c r="E233" s="39" t="n">
        <f aca="false">'Raw - Daily Energy'!B228</f>
        <v>0</v>
      </c>
      <c r="F233" s="44" t="n">
        <f aca="false">SUMIF('Raw - Sessions'!$R$5:$R$292,A233,'Raw - Sessions'!$P$5:$P$292)</f>
        <v>0</v>
      </c>
    </row>
    <row r="234" customFormat="false" ht="15" hidden="false" customHeight="false" outlineLevel="0" collapsed="false">
      <c r="A234" s="53" t="n">
        <f aca="false">'Raw - Daily Energy'!A229</f>
        <v>46074</v>
      </c>
      <c r="B234" s="14" t="n">
        <f aca="false">COUNTIF('Raw - Sessions'!$R$5:$R$292,A234)</f>
        <v>0</v>
      </c>
      <c r="C234" s="38" t="n">
        <f aca="false">SUMIF('Raw - Sessions'!$R$5:$R$292,A234,'Raw - Sessions'!$D$5:$D$292)</f>
        <v>0</v>
      </c>
      <c r="D234" s="38" t="n">
        <f aca="false">SUMIF('Raw - Sessions'!$R$5:$R$292,A234,'Raw - Sessions'!$E$5:$E$292)</f>
        <v>0</v>
      </c>
      <c r="E234" s="38" t="n">
        <f aca="false">'Raw - Daily Energy'!B229</f>
        <v>17.587</v>
      </c>
      <c r="F234" s="42" t="n">
        <f aca="false">SUMIF('Raw - Sessions'!$R$5:$R$292,A234,'Raw - Sessions'!$P$5:$P$292)</f>
        <v>0</v>
      </c>
    </row>
    <row r="235" customFormat="false" ht="15" hidden="false" customHeight="false" outlineLevel="0" collapsed="false">
      <c r="A235" s="54" t="n">
        <f aca="false">'Raw - Daily Energy'!A230</f>
        <v>46075</v>
      </c>
      <c r="B235" s="17" t="n">
        <f aca="false">COUNTIF('Raw - Sessions'!$R$5:$R$292,A235)</f>
        <v>4</v>
      </c>
      <c r="C235" s="39" t="n">
        <f aca="false">SUMIF('Raw - Sessions'!$R$5:$R$292,A235,'Raw - Sessions'!$D$5:$D$292)</f>
        <v>0.578333333333333</v>
      </c>
      <c r="D235" s="39" t="n">
        <f aca="false">SUMIF('Raw - Sessions'!$R$5:$R$292,A235,'Raw - Sessions'!$E$5:$E$292)</f>
        <v>29.2255</v>
      </c>
      <c r="E235" s="39" t="n">
        <f aca="false">'Raw - Daily Energy'!B230</f>
        <v>11.639</v>
      </c>
      <c r="F235" s="44" t="n">
        <f aca="false">SUMIF('Raw - Sessions'!$R$5:$R$292,A235,'Raw - Sessions'!$P$5:$P$292)</f>
        <v>18.32</v>
      </c>
    </row>
    <row r="236" customFormat="false" ht="15" hidden="false" customHeight="false" outlineLevel="0" collapsed="false">
      <c r="A236" s="53" t="n">
        <f aca="false">'Raw - Daily Energy'!A231</f>
        <v>46076</v>
      </c>
      <c r="B236" s="14" t="n">
        <f aca="false">COUNTIF('Raw - Sessions'!$R$5:$R$292,A236)</f>
        <v>2</v>
      </c>
      <c r="C236" s="38" t="n">
        <f aca="false">SUMIF('Raw - Sessions'!$R$5:$R$292,A236,'Raw - Sessions'!$D$5:$D$292)</f>
        <v>1.40333333333333</v>
      </c>
      <c r="D236" s="38" t="n">
        <f aca="false">SUMIF('Raw - Sessions'!$R$5:$R$292,A236,'Raw - Sessions'!$E$5:$E$292)</f>
        <v>19.791105</v>
      </c>
      <c r="E236" s="38" t="n">
        <f aca="false">'Raw - Daily Energy'!B231</f>
        <v>19.791</v>
      </c>
      <c r="F236" s="42" t="n">
        <f aca="false">SUMIF('Raw - Sessions'!$R$5:$R$292,A236,'Raw - Sessions'!$P$5:$P$292)</f>
        <v>17.92</v>
      </c>
    </row>
    <row r="237" customFormat="false" ht="15" hidden="false" customHeight="false" outlineLevel="0" collapsed="false">
      <c r="A237" s="54" t="n">
        <f aca="false">'Raw - Daily Energy'!A232</f>
        <v>46077</v>
      </c>
      <c r="B237" s="17" t="n">
        <f aca="false">COUNTIF('Raw - Sessions'!$R$5:$R$292,A237)</f>
        <v>2</v>
      </c>
      <c r="C237" s="39" t="n">
        <f aca="false">SUMIF('Raw - Sessions'!$R$5:$R$292,A237,'Raw - Sessions'!$D$5:$D$292)</f>
        <v>1.14666666666667</v>
      </c>
      <c r="D237" s="39" t="n">
        <f aca="false">SUMIF('Raw - Sessions'!$R$5:$R$292,A237,'Raw - Sessions'!$E$5:$E$292)</f>
        <v>62.557197</v>
      </c>
      <c r="E237" s="39" t="n">
        <f aca="false">'Raw - Daily Energy'!B232</f>
        <v>62.557</v>
      </c>
      <c r="F237" s="44" t="n">
        <f aca="false">SUMIF('Raw - Sessions'!$R$5:$R$292,A237,'Raw - Sessions'!$P$5:$P$292)</f>
        <v>39.23</v>
      </c>
    </row>
    <row r="238" customFormat="false" ht="15" hidden="false" customHeight="false" outlineLevel="0" collapsed="false">
      <c r="A238" s="53" t="n">
        <f aca="false">'Raw - Daily Energy'!A233</f>
        <v>46078</v>
      </c>
      <c r="B238" s="14" t="n">
        <f aca="false">COUNTIF('Raw - Sessions'!$R$5:$R$292,A238)</f>
        <v>0</v>
      </c>
      <c r="C238" s="38" t="n">
        <f aca="false">SUMIF('Raw - Sessions'!$R$5:$R$292,A238,'Raw - Sessions'!$D$5:$D$292)</f>
        <v>0</v>
      </c>
      <c r="D238" s="38" t="n">
        <f aca="false">SUMIF('Raw - Sessions'!$R$5:$R$292,A238,'Raw - Sessions'!$E$5:$E$292)</f>
        <v>0</v>
      </c>
      <c r="E238" s="38" t="n">
        <f aca="false">'Raw - Daily Energy'!B233</f>
        <v>0</v>
      </c>
      <c r="F238" s="42" t="n">
        <f aca="false">SUMIF('Raw - Sessions'!$R$5:$R$292,A238,'Raw - Sessions'!$P$5:$P$292)</f>
        <v>0</v>
      </c>
    </row>
    <row r="239" customFormat="false" ht="15" hidden="false" customHeight="false" outlineLevel="0" collapsed="false">
      <c r="A239" s="54" t="n">
        <f aca="false">'Raw - Daily Energy'!A234</f>
        <v>46079</v>
      </c>
      <c r="B239" s="17" t="n">
        <f aca="false">COUNTIF('Raw - Sessions'!$R$5:$R$292,A239)</f>
        <v>0</v>
      </c>
      <c r="C239" s="39" t="n">
        <f aca="false">SUMIF('Raw - Sessions'!$R$5:$R$292,A239,'Raw - Sessions'!$D$5:$D$292)</f>
        <v>0</v>
      </c>
      <c r="D239" s="39" t="n">
        <f aca="false">SUMIF('Raw - Sessions'!$R$5:$R$292,A239,'Raw - Sessions'!$E$5:$E$292)</f>
        <v>0</v>
      </c>
      <c r="E239" s="39" t="n">
        <f aca="false">'Raw - Daily Energy'!B234</f>
        <v>0</v>
      </c>
      <c r="F239" s="44" t="n">
        <f aca="false">SUMIF('Raw - Sessions'!$R$5:$R$292,A239,'Raw - Sessions'!$P$5:$P$292)</f>
        <v>0</v>
      </c>
    </row>
    <row r="240" customFormat="false" ht="15" hidden="false" customHeight="false" outlineLevel="0" collapsed="false">
      <c r="A240" s="53" t="n">
        <f aca="false">'Raw - Daily Energy'!A235</f>
        <v>46080</v>
      </c>
      <c r="B240" s="14" t="n">
        <f aca="false">COUNTIF('Raw - Sessions'!$R$5:$R$292,A240)</f>
        <v>3</v>
      </c>
      <c r="C240" s="38" t="n">
        <f aca="false">SUMIF('Raw - Sessions'!$R$5:$R$292,A240,'Raw - Sessions'!$D$5:$D$292)</f>
        <v>1.50583333333333</v>
      </c>
      <c r="D240" s="38" t="n">
        <f aca="false">SUMIF('Raw - Sessions'!$R$5:$R$292,A240,'Raw - Sessions'!$E$5:$E$292)</f>
        <v>77.4358</v>
      </c>
      <c r="E240" s="38" t="n">
        <f aca="false">'Raw - Daily Energy'!B235</f>
        <v>77.436</v>
      </c>
      <c r="F240" s="42" t="n">
        <f aca="false">SUMIF('Raw - Sessions'!$R$5:$R$292,A240,'Raw - Sessions'!$P$5:$P$292)</f>
        <v>48.84</v>
      </c>
    </row>
    <row r="241" customFormat="false" ht="15" hidden="false" customHeight="false" outlineLevel="0" collapsed="false">
      <c r="A241" s="54" t="n">
        <f aca="false">'Raw - Daily Energy'!A236</f>
        <v>46081</v>
      </c>
      <c r="B241" s="17" t="n">
        <f aca="false">COUNTIF('Raw - Sessions'!$R$5:$R$292,A241)</f>
        <v>2</v>
      </c>
      <c r="C241" s="39" t="n">
        <f aca="false">SUMIF('Raw - Sessions'!$R$5:$R$292,A241,'Raw - Sessions'!$D$5:$D$292)</f>
        <v>0.69</v>
      </c>
      <c r="D241" s="39" t="n">
        <f aca="false">SUMIF('Raw - Sessions'!$R$5:$R$292,A241,'Raw - Sessions'!$E$5:$E$292)</f>
        <v>38.551199</v>
      </c>
      <c r="E241" s="39" t="n">
        <f aca="false">'Raw - Daily Energy'!B236</f>
        <v>38.551</v>
      </c>
      <c r="F241" s="44" t="n">
        <f aca="false">SUMIF('Raw - Sessions'!$R$5:$R$292,A241,'Raw - Sessions'!$P$5:$P$292)</f>
        <v>23.86</v>
      </c>
    </row>
    <row r="242" customFormat="false" ht="15" hidden="false" customHeight="false" outlineLevel="0" collapsed="false">
      <c r="A242" s="53" t="n">
        <f aca="false">'Raw - Daily Energy'!A237</f>
        <v>46082</v>
      </c>
      <c r="B242" s="14" t="n">
        <f aca="false">COUNTIF('Raw - Sessions'!$R$5:$R$292,A242)</f>
        <v>0</v>
      </c>
      <c r="C242" s="38" t="n">
        <f aca="false">SUMIF('Raw - Sessions'!$R$5:$R$292,A242,'Raw - Sessions'!$D$5:$D$292)</f>
        <v>0</v>
      </c>
      <c r="D242" s="38" t="n">
        <f aca="false">SUMIF('Raw - Sessions'!$R$5:$R$292,A242,'Raw - Sessions'!$E$5:$E$292)</f>
        <v>0</v>
      </c>
      <c r="E242" s="38" t="n">
        <f aca="false">'Raw - Daily Energy'!B237</f>
        <v>0</v>
      </c>
      <c r="F242" s="42" t="n">
        <f aca="false">SUMIF('Raw - Sessions'!$R$5:$R$292,A242,'Raw - Sessions'!$P$5:$P$292)</f>
        <v>0</v>
      </c>
    </row>
    <row r="243" customFormat="false" ht="15" hidden="false" customHeight="false" outlineLevel="0" collapsed="false">
      <c r="A243" s="54" t="n">
        <f aca="false">'Raw - Daily Energy'!A238</f>
        <v>46083</v>
      </c>
      <c r="B243" s="17" t="n">
        <f aca="false">COUNTIF('Raw - Sessions'!$R$5:$R$292,A243)</f>
        <v>0</v>
      </c>
      <c r="C243" s="39" t="n">
        <f aca="false">SUMIF('Raw - Sessions'!$R$5:$R$292,A243,'Raw - Sessions'!$D$5:$D$292)</f>
        <v>0</v>
      </c>
      <c r="D243" s="39" t="n">
        <f aca="false">SUMIF('Raw - Sessions'!$R$5:$R$292,A243,'Raw - Sessions'!$E$5:$E$292)</f>
        <v>0</v>
      </c>
      <c r="E243" s="39" t="n">
        <f aca="false">'Raw - Daily Energy'!B238</f>
        <v>67.745</v>
      </c>
      <c r="F243" s="44" t="n">
        <f aca="false">SUMIF('Raw - Sessions'!$R$5:$R$292,A243,'Raw - Sessions'!$P$5:$P$292)</f>
        <v>0</v>
      </c>
    </row>
    <row r="244" customFormat="false" ht="15" hidden="false" customHeight="false" outlineLevel="0" collapsed="false">
      <c r="A244" s="53" t="n">
        <f aca="false">'Raw - Daily Energy'!A239</f>
        <v>46084</v>
      </c>
      <c r="B244" s="14" t="n">
        <f aca="false">COUNTIF('Raw - Sessions'!$R$5:$R$292,A244)</f>
        <v>1</v>
      </c>
      <c r="C244" s="38" t="n">
        <f aca="false">SUMIF('Raw - Sessions'!$R$5:$R$292,A244,'Raw - Sessions'!$D$5:$D$292)</f>
        <v>1.47555555555556</v>
      </c>
      <c r="D244" s="38" t="n">
        <f aca="false">SUMIF('Raw - Sessions'!$R$5:$R$292,A244,'Raw - Sessions'!$E$5:$E$292)</f>
        <v>67.7453</v>
      </c>
      <c r="E244" s="38" t="n">
        <f aca="false">'Raw - Daily Energy'!B239</f>
        <v>0</v>
      </c>
      <c r="F244" s="42" t="n">
        <f aca="false">SUMIF('Raw - Sessions'!$R$5:$R$292,A244,'Raw - Sessions'!$P$5:$P$292)</f>
        <v>43.72</v>
      </c>
    </row>
    <row r="245" customFormat="false" ht="15" hidden="false" customHeight="false" outlineLevel="0" collapsed="false">
      <c r="A245" s="54" t="n">
        <f aca="false">'Raw - Daily Energy'!A240</f>
        <v>46085</v>
      </c>
      <c r="B245" s="17" t="n">
        <f aca="false">COUNTIF('Raw - Sessions'!$R$5:$R$292,A245)</f>
        <v>0</v>
      </c>
      <c r="C245" s="39" t="n">
        <f aca="false">SUMIF('Raw - Sessions'!$R$5:$R$292,A245,'Raw - Sessions'!$D$5:$D$292)</f>
        <v>0</v>
      </c>
      <c r="D245" s="39" t="n">
        <f aca="false">SUMIF('Raw - Sessions'!$R$5:$R$292,A245,'Raw - Sessions'!$E$5:$E$292)</f>
        <v>0</v>
      </c>
      <c r="E245" s="39" t="n">
        <f aca="false">'Raw - Daily Energy'!B240</f>
        <v>0</v>
      </c>
      <c r="F245" s="44" t="n">
        <f aca="false">SUMIF('Raw - Sessions'!$R$5:$R$292,A245,'Raw - Sessions'!$P$5:$P$292)</f>
        <v>0</v>
      </c>
    </row>
    <row r="246" customFormat="false" ht="15" hidden="false" customHeight="false" outlineLevel="0" collapsed="false">
      <c r="A246" s="53" t="n">
        <f aca="false">'Raw - Daily Energy'!A241</f>
        <v>46086</v>
      </c>
      <c r="B246" s="14" t="n">
        <f aca="false">COUNTIF('Raw - Sessions'!$R$5:$R$292,A246)</f>
        <v>0</v>
      </c>
      <c r="C246" s="38" t="n">
        <f aca="false">SUMIF('Raw - Sessions'!$R$5:$R$292,A246,'Raw - Sessions'!$D$5:$D$292)</f>
        <v>0</v>
      </c>
      <c r="D246" s="38" t="n">
        <f aca="false">SUMIF('Raw - Sessions'!$R$5:$R$292,A246,'Raw - Sessions'!$E$5:$E$292)</f>
        <v>0</v>
      </c>
      <c r="E246" s="38" t="n">
        <f aca="false">'Raw - Daily Energy'!B241</f>
        <v>0</v>
      </c>
      <c r="F246" s="42" t="n">
        <f aca="false">SUMIF('Raw - Sessions'!$R$5:$R$292,A246,'Raw - Sessions'!$P$5:$P$292)</f>
        <v>0</v>
      </c>
    </row>
    <row r="247" customFormat="false" ht="15" hidden="false" customHeight="false" outlineLevel="0" collapsed="false">
      <c r="A247" s="54" t="n">
        <f aca="false">'Raw - Daily Energy'!A242</f>
        <v>46087</v>
      </c>
      <c r="B247" s="17" t="n">
        <f aca="false">COUNTIF('Raw - Sessions'!$R$5:$R$292,A247)</f>
        <v>0</v>
      </c>
      <c r="C247" s="39" t="n">
        <f aca="false">SUMIF('Raw - Sessions'!$R$5:$R$292,A247,'Raw - Sessions'!$D$5:$D$292)</f>
        <v>0</v>
      </c>
      <c r="D247" s="39" t="n">
        <f aca="false">SUMIF('Raw - Sessions'!$R$5:$R$292,A247,'Raw - Sessions'!$E$5:$E$292)</f>
        <v>0</v>
      </c>
      <c r="E247" s="39" t="n">
        <f aca="false">'Raw - Daily Energy'!B242</f>
        <v>0</v>
      </c>
      <c r="F247" s="44" t="n">
        <f aca="false">SUMIF('Raw - Sessions'!$R$5:$R$292,A247,'Raw - Sessions'!$P$5:$P$292)</f>
        <v>0</v>
      </c>
    </row>
    <row r="248" customFormat="false" ht="15" hidden="false" customHeight="false" outlineLevel="0" collapsed="false">
      <c r="A248" s="53" t="n">
        <f aca="false">'Raw - Daily Energy'!A243</f>
        <v>46088</v>
      </c>
      <c r="B248" s="14" t="n">
        <f aca="false">COUNTIF('Raw - Sessions'!$R$5:$R$292,A248)</f>
        <v>0</v>
      </c>
      <c r="C248" s="38" t="n">
        <f aca="false">SUMIF('Raw - Sessions'!$R$5:$R$292,A248,'Raw - Sessions'!$D$5:$D$292)</f>
        <v>0</v>
      </c>
      <c r="D248" s="38" t="n">
        <f aca="false">SUMIF('Raw - Sessions'!$R$5:$R$292,A248,'Raw - Sessions'!$E$5:$E$292)</f>
        <v>0</v>
      </c>
      <c r="E248" s="38" t="n">
        <f aca="false">'Raw - Daily Energy'!B243</f>
        <v>0</v>
      </c>
      <c r="F248" s="42" t="n">
        <f aca="false">SUMIF('Raw - Sessions'!$R$5:$R$292,A248,'Raw - Sessions'!$P$5:$P$292)</f>
        <v>0</v>
      </c>
    </row>
    <row r="249" customFormat="false" ht="15" hidden="false" customHeight="false" outlineLevel="0" collapsed="false">
      <c r="A249" s="54" t="n">
        <f aca="false">'Raw - Daily Energy'!A244</f>
        <v>46089</v>
      </c>
      <c r="B249" s="17" t="n">
        <f aca="false">COUNTIF('Raw - Sessions'!$R$5:$R$292,A249)</f>
        <v>3</v>
      </c>
      <c r="C249" s="39" t="n">
        <f aca="false">SUMIF('Raw - Sessions'!$R$5:$R$292,A249,'Raw - Sessions'!$D$5:$D$292)</f>
        <v>1.19777777777778</v>
      </c>
      <c r="D249" s="39" t="n">
        <f aca="false">SUMIF('Raw - Sessions'!$R$5:$R$292,A249,'Raw - Sessions'!$E$5:$E$292)</f>
        <v>39.682908</v>
      </c>
      <c r="E249" s="39" t="n">
        <f aca="false">'Raw - Daily Energy'!B244</f>
        <v>52.165</v>
      </c>
      <c r="F249" s="44" t="n">
        <f aca="false">SUMIF('Raw - Sessions'!$R$5:$R$292,A249,'Raw - Sessions'!$P$5:$P$292)</f>
        <v>27.38</v>
      </c>
    </row>
    <row r="250" customFormat="false" ht="15" hidden="false" customHeight="false" outlineLevel="0" collapsed="false">
      <c r="A250" s="53" t="n">
        <f aca="false">'Raw - Daily Energy'!A245</f>
        <v>46090</v>
      </c>
      <c r="B250" s="14" t="n">
        <f aca="false">COUNTIF('Raw - Sessions'!$R$5:$R$292,A250)</f>
        <v>1</v>
      </c>
      <c r="C250" s="38" t="n">
        <f aca="false">SUMIF('Raw - Sessions'!$R$5:$R$292,A250,'Raw - Sessions'!$D$5:$D$292)</f>
        <v>0.220833333333333</v>
      </c>
      <c r="D250" s="38" t="n">
        <f aca="false">SUMIF('Raw - Sessions'!$R$5:$R$292,A250,'Raw - Sessions'!$E$5:$E$292)</f>
        <v>12.4824</v>
      </c>
      <c r="E250" s="38" t="n">
        <f aca="false">'Raw - Daily Energy'!B245</f>
        <v>0</v>
      </c>
      <c r="F250" s="42" t="n">
        <f aca="false">SUMIF('Raw - Sessions'!$R$5:$R$292,A250,'Raw - Sessions'!$P$5:$P$292)</f>
        <v>7.78</v>
      </c>
    </row>
    <row r="251" customFormat="false" ht="15" hidden="false" customHeight="false" outlineLevel="0" collapsed="false">
      <c r="A251" s="54" t="n">
        <f aca="false">'Raw - Daily Energy'!A246</f>
        <v>46091</v>
      </c>
      <c r="B251" s="17" t="n">
        <f aca="false">COUNTIF('Raw - Sessions'!$R$5:$R$292,A251)</f>
        <v>0</v>
      </c>
      <c r="C251" s="39" t="n">
        <f aca="false">SUMIF('Raw - Sessions'!$R$5:$R$292,A251,'Raw - Sessions'!$D$5:$D$292)</f>
        <v>0</v>
      </c>
      <c r="D251" s="39" t="n">
        <f aca="false">SUMIF('Raw - Sessions'!$R$5:$R$292,A251,'Raw - Sessions'!$E$5:$E$292)</f>
        <v>0</v>
      </c>
      <c r="E251" s="39" t="n">
        <f aca="false">'Raw - Daily Energy'!B246</f>
        <v>0</v>
      </c>
      <c r="F251" s="44" t="n">
        <f aca="false">SUMIF('Raw - Sessions'!$R$5:$R$292,A251,'Raw - Sessions'!$P$5:$P$292)</f>
        <v>0</v>
      </c>
    </row>
    <row r="252" customFormat="false" ht="15" hidden="false" customHeight="false" outlineLevel="0" collapsed="false">
      <c r="A252" s="53" t="n">
        <f aca="false">'Raw - Daily Energy'!A247</f>
        <v>46092</v>
      </c>
      <c r="B252" s="14" t="n">
        <f aca="false">COUNTIF('Raw - Sessions'!$R$5:$R$292,A252)</f>
        <v>1</v>
      </c>
      <c r="C252" s="38" t="n">
        <f aca="false">SUMIF('Raw - Sessions'!$R$5:$R$292,A252,'Raw - Sessions'!$D$5:$D$292)</f>
        <v>1.82805555555556</v>
      </c>
      <c r="D252" s="38" t="n">
        <f aca="false">SUMIF('Raw - Sessions'!$R$5:$R$292,A252,'Raw - Sessions'!$E$5:$E$292)</f>
        <v>60.586899</v>
      </c>
      <c r="E252" s="38" t="n">
        <f aca="false">'Raw - Daily Energy'!B247</f>
        <v>60.587</v>
      </c>
      <c r="F252" s="42" t="n">
        <f aca="false">SUMIF('Raw - Sessions'!$R$5:$R$292,A252,'Raw - Sessions'!$P$5:$P$292)</f>
        <v>41.8</v>
      </c>
    </row>
    <row r="253" customFormat="false" ht="15" hidden="false" customHeight="false" outlineLevel="0" collapsed="false">
      <c r="A253" s="54" t="n">
        <f aca="false">'Raw - Daily Energy'!A248</f>
        <v>46093</v>
      </c>
      <c r="B253" s="17" t="n">
        <f aca="false">COUNTIF('Raw - Sessions'!$R$5:$R$292,A253)</f>
        <v>0</v>
      </c>
      <c r="C253" s="39" t="n">
        <f aca="false">SUMIF('Raw - Sessions'!$R$5:$R$292,A253,'Raw - Sessions'!$D$5:$D$292)</f>
        <v>0</v>
      </c>
      <c r="D253" s="39" t="n">
        <f aca="false">SUMIF('Raw - Sessions'!$R$5:$R$292,A253,'Raw - Sessions'!$E$5:$E$292)</f>
        <v>0</v>
      </c>
      <c r="E253" s="39" t="n">
        <f aca="false">'Raw - Daily Energy'!B248</f>
        <v>0</v>
      </c>
      <c r="F253" s="44" t="n">
        <f aca="false">SUMIF('Raw - Sessions'!$R$5:$R$292,A253,'Raw - Sessions'!$P$5:$P$292)</f>
        <v>0</v>
      </c>
    </row>
    <row r="254" customFormat="false" ht="15" hidden="false" customHeight="false" outlineLevel="0" collapsed="false">
      <c r="A254" s="53" t="n">
        <f aca="false">'Raw - Daily Energy'!A249</f>
        <v>46094</v>
      </c>
      <c r="B254" s="14" t="n">
        <f aca="false">COUNTIF('Raw - Sessions'!$R$5:$R$292,A254)</f>
        <v>0</v>
      </c>
      <c r="C254" s="38" t="n">
        <f aca="false">SUMIF('Raw - Sessions'!$R$5:$R$292,A254,'Raw - Sessions'!$D$5:$D$292)</f>
        <v>0</v>
      </c>
      <c r="D254" s="38" t="n">
        <f aca="false">SUMIF('Raw - Sessions'!$R$5:$R$292,A254,'Raw - Sessions'!$E$5:$E$292)</f>
        <v>0</v>
      </c>
      <c r="E254" s="38" t="n">
        <f aca="false">'Raw - Daily Energy'!B249</f>
        <v>0</v>
      </c>
      <c r="F254" s="42" t="n">
        <f aca="false">SUMIF('Raw - Sessions'!$R$5:$R$292,A254,'Raw - Sessions'!$P$5:$P$292)</f>
        <v>0</v>
      </c>
    </row>
    <row r="255" customFormat="false" ht="15" hidden="false" customHeight="false" outlineLevel="0" collapsed="false">
      <c r="A255" s="54" t="n">
        <f aca="false">'Raw - Daily Energy'!A250</f>
        <v>46095</v>
      </c>
      <c r="B255" s="17" t="n">
        <f aca="false">COUNTIF('Raw - Sessions'!$R$5:$R$292,A255)</f>
        <v>1</v>
      </c>
      <c r="C255" s="39" t="n">
        <f aca="false">SUMIF('Raw - Sessions'!$R$5:$R$292,A255,'Raw - Sessions'!$D$5:$D$292)</f>
        <v>0.905833333333333</v>
      </c>
      <c r="D255" s="39" t="n">
        <f aca="false">SUMIF('Raw - Sessions'!$R$5:$R$292,A255,'Raw - Sessions'!$E$5:$E$292)</f>
        <v>53.8335</v>
      </c>
      <c r="E255" s="39" t="n">
        <f aca="false">'Raw - Daily Energy'!B250</f>
        <v>53.834</v>
      </c>
      <c r="F255" s="44" t="n">
        <f aca="false">SUMIF('Raw - Sessions'!$R$5:$R$292,A255,'Raw - Sessions'!$P$5:$P$292)</f>
        <v>33.34</v>
      </c>
    </row>
    <row r="256" customFormat="false" ht="15" hidden="false" customHeight="false" outlineLevel="0" collapsed="false">
      <c r="A256" s="53" t="n">
        <f aca="false">'Raw - Daily Energy'!A251</f>
        <v>46096</v>
      </c>
      <c r="B256" s="14" t="n">
        <f aca="false">COUNTIF('Raw - Sessions'!$R$5:$R$292,A256)</f>
        <v>0</v>
      </c>
      <c r="C256" s="38" t="n">
        <f aca="false">SUMIF('Raw - Sessions'!$R$5:$R$292,A256,'Raw - Sessions'!$D$5:$D$292)</f>
        <v>0</v>
      </c>
      <c r="D256" s="38" t="n">
        <f aca="false">SUMIF('Raw - Sessions'!$R$5:$R$292,A256,'Raw - Sessions'!$E$5:$E$292)</f>
        <v>0</v>
      </c>
      <c r="E256" s="38" t="n">
        <f aca="false">'Raw - Daily Energy'!B251</f>
        <v>0</v>
      </c>
      <c r="F256" s="42" t="n">
        <f aca="false">SUMIF('Raw - Sessions'!$R$5:$R$292,A256,'Raw - Sessions'!$P$5:$P$292)</f>
        <v>0</v>
      </c>
    </row>
    <row r="257" customFormat="false" ht="15" hidden="false" customHeight="false" outlineLevel="0" collapsed="false">
      <c r="A257" s="54" t="n">
        <f aca="false">'Raw - Daily Energy'!A252</f>
        <v>46097</v>
      </c>
      <c r="B257" s="17" t="n">
        <f aca="false">COUNTIF('Raw - Sessions'!$R$5:$R$292,A257)</f>
        <v>1</v>
      </c>
      <c r="C257" s="39" t="n">
        <f aca="false">SUMIF('Raw - Sessions'!$R$5:$R$292,A257,'Raw - Sessions'!$D$5:$D$292)</f>
        <v>0.301388888888889</v>
      </c>
      <c r="D257" s="39" t="n">
        <f aca="false">SUMIF('Raw - Sessions'!$R$5:$R$292,A257,'Raw - Sessions'!$E$5:$E$292)</f>
        <v>13.1724</v>
      </c>
      <c r="E257" s="39" t="n">
        <f aca="false">'Raw - Daily Energy'!B252</f>
        <v>13.172</v>
      </c>
      <c r="F257" s="44" t="n">
        <f aca="false">SUMIF('Raw - Sessions'!$R$5:$R$292,A257,'Raw - Sessions'!$P$5:$P$292)</f>
        <v>8.59</v>
      </c>
    </row>
    <row r="258" customFormat="false" ht="15" hidden="false" customHeight="false" outlineLevel="0" collapsed="false">
      <c r="A258" s="53" t="n">
        <f aca="false">'Raw - Daily Energy'!A253</f>
        <v>46098</v>
      </c>
      <c r="B258" s="14" t="n">
        <f aca="false">COUNTIF('Raw - Sessions'!$R$5:$R$292,A258)</f>
        <v>1</v>
      </c>
      <c r="C258" s="38" t="n">
        <f aca="false">SUMIF('Raw - Sessions'!$R$5:$R$292,A258,'Raw - Sessions'!$D$5:$D$292)</f>
        <v>0.879166666666667</v>
      </c>
      <c r="D258" s="38" t="n">
        <f aca="false">SUMIF('Raw - Sessions'!$R$5:$R$292,A258,'Raw - Sessions'!$E$5:$E$292)</f>
        <v>40.9562</v>
      </c>
      <c r="E258" s="38" t="n">
        <f aca="false">'Raw - Daily Energy'!B253</f>
        <v>40.956</v>
      </c>
      <c r="F258" s="42" t="n">
        <f aca="false">SUMIF('Raw - Sessions'!$R$5:$R$292,A258,'Raw - Sessions'!$P$5:$P$292)</f>
        <v>26.37</v>
      </c>
    </row>
    <row r="259" customFormat="false" ht="15" hidden="false" customHeight="false" outlineLevel="0" collapsed="false">
      <c r="A259" s="54" t="n">
        <f aca="false">'Raw - Daily Energy'!A254</f>
        <v>46099</v>
      </c>
      <c r="B259" s="17" t="n">
        <f aca="false">COUNTIF('Raw - Sessions'!$R$5:$R$292,A259)</f>
        <v>1</v>
      </c>
      <c r="C259" s="39" t="n">
        <f aca="false">SUMIF('Raw - Sessions'!$R$5:$R$292,A259,'Raw - Sessions'!$D$5:$D$292)</f>
        <v>1.10583333333333</v>
      </c>
      <c r="D259" s="39" t="n">
        <f aca="false">SUMIF('Raw - Sessions'!$R$5:$R$292,A259,'Raw - Sessions'!$E$5:$E$292)</f>
        <v>66.366898</v>
      </c>
      <c r="E259" s="39" t="n">
        <f aca="false">'Raw - Daily Energy'!B254</f>
        <v>66.367</v>
      </c>
      <c r="F259" s="44" t="n">
        <f aca="false">SUMIF('Raw - Sessions'!$R$5:$R$292,A259,'Raw - Sessions'!$P$5:$P$292)</f>
        <v>41.03</v>
      </c>
    </row>
    <row r="260" customFormat="false" ht="15" hidden="false" customHeight="false" outlineLevel="0" collapsed="false">
      <c r="A260" s="53" t="n">
        <f aca="false">'Raw - Daily Energy'!A255</f>
        <v>46100</v>
      </c>
      <c r="B260" s="14" t="n">
        <f aca="false">COUNTIF('Raw - Sessions'!$R$5:$R$292,A260)</f>
        <v>0</v>
      </c>
      <c r="C260" s="38" t="n">
        <f aca="false">SUMIF('Raw - Sessions'!$R$5:$R$292,A260,'Raw - Sessions'!$D$5:$D$292)</f>
        <v>0</v>
      </c>
      <c r="D260" s="38" t="n">
        <f aca="false">SUMIF('Raw - Sessions'!$R$5:$R$292,A260,'Raw - Sessions'!$E$5:$E$292)</f>
        <v>0</v>
      </c>
      <c r="E260" s="38" t="n">
        <f aca="false">'Raw - Daily Energy'!B255</f>
        <v>0</v>
      </c>
      <c r="F260" s="42" t="n">
        <f aca="false">SUMIF('Raw - Sessions'!$R$5:$R$292,A260,'Raw - Sessions'!$P$5:$P$292)</f>
        <v>0</v>
      </c>
    </row>
    <row r="261" customFormat="false" ht="15" hidden="false" customHeight="false" outlineLevel="0" collapsed="false">
      <c r="A261" s="54" t="n">
        <f aca="false">'Raw - Daily Energy'!A256</f>
        <v>46101</v>
      </c>
      <c r="B261" s="17" t="n">
        <f aca="false">COUNTIF('Raw - Sessions'!$R$5:$R$292,A261)</f>
        <v>0</v>
      </c>
      <c r="C261" s="39" t="n">
        <f aca="false">SUMIF('Raw - Sessions'!$R$5:$R$292,A261,'Raw - Sessions'!$D$5:$D$292)</f>
        <v>0</v>
      </c>
      <c r="D261" s="39" t="n">
        <f aca="false">SUMIF('Raw - Sessions'!$R$5:$R$292,A261,'Raw - Sessions'!$E$5:$E$292)</f>
        <v>0</v>
      </c>
      <c r="E261" s="39" t="n">
        <f aca="false">'Raw - Daily Energy'!B256</f>
        <v>0</v>
      </c>
      <c r="F261" s="44" t="n">
        <f aca="false">SUMIF('Raw - Sessions'!$R$5:$R$292,A261,'Raw - Sessions'!$P$5:$P$292)</f>
        <v>0</v>
      </c>
    </row>
    <row r="262" customFormat="false" ht="15" hidden="false" customHeight="false" outlineLevel="0" collapsed="false">
      <c r="A262" s="53" t="n">
        <f aca="false">'Raw - Daily Energy'!A257</f>
        <v>46102</v>
      </c>
      <c r="B262" s="14" t="n">
        <f aca="false">COUNTIF('Raw - Sessions'!$R$5:$R$292,A262)</f>
        <v>0</v>
      </c>
      <c r="C262" s="38" t="n">
        <f aca="false">SUMIF('Raw - Sessions'!$R$5:$R$292,A262,'Raw - Sessions'!$D$5:$D$292)</f>
        <v>0</v>
      </c>
      <c r="D262" s="38" t="n">
        <f aca="false">SUMIF('Raw - Sessions'!$R$5:$R$292,A262,'Raw - Sessions'!$E$5:$E$292)</f>
        <v>0</v>
      </c>
      <c r="E262" s="38" t="n">
        <f aca="false">'Raw - Daily Energy'!B257</f>
        <v>0</v>
      </c>
      <c r="F262" s="42" t="n">
        <f aca="false">SUMIF('Raw - Sessions'!$R$5:$R$292,A262,'Raw - Sessions'!$P$5:$P$292)</f>
        <v>0</v>
      </c>
    </row>
    <row r="263" customFormat="false" ht="15" hidden="false" customHeight="false" outlineLevel="0" collapsed="false">
      <c r="A263" s="54" t="n">
        <f aca="false">'Raw - Daily Energy'!A258</f>
        <v>46103</v>
      </c>
      <c r="B263" s="17" t="n">
        <f aca="false">COUNTIF('Raw - Sessions'!$R$5:$R$292,A263)</f>
        <v>0</v>
      </c>
      <c r="C263" s="39" t="n">
        <f aca="false">SUMIF('Raw - Sessions'!$R$5:$R$292,A263,'Raw - Sessions'!$D$5:$D$292)</f>
        <v>0</v>
      </c>
      <c r="D263" s="39" t="n">
        <f aca="false">SUMIF('Raw - Sessions'!$R$5:$R$292,A263,'Raw - Sessions'!$E$5:$E$292)</f>
        <v>0</v>
      </c>
      <c r="E263" s="39" t="n">
        <f aca="false">'Raw - Daily Energy'!B258</f>
        <v>0</v>
      </c>
      <c r="F263" s="44" t="n">
        <f aca="false">SUMIF('Raw - Sessions'!$R$5:$R$292,A263,'Raw - Sessions'!$P$5:$P$292)</f>
        <v>0</v>
      </c>
    </row>
    <row r="264" customFormat="false" ht="15" hidden="false" customHeight="false" outlineLevel="0" collapsed="false">
      <c r="A264" s="53" t="n">
        <f aca="false">'Raw - Daily Energy'!A259</f>
        <v>46104</v>
      </c>
      <c r="B264" s="14" t="n">
        <f aca="false">COUNTIF('Raw - Sessions'!$R$5:$R$292,A264)</f>
        <v>0</v>
      </c>
      <c r="C264" s="38" t="n">
        <f aca="false">SUMIF('Raw - Sessions'!$R$5:$R$292,A264,'Raw - Sessions'!$D$5:$D$292)</f>
        <v>0</v>
      </c>
      <c r="D264" s="38" t="n">
        <f aca="false">SUMIF('Raw - Sessions'!$R$5:$R$292,A264,'Raw - Sessions'!$E$5:$E$292)</f>
        <v>0</v>
      </c>
      <c r="E264" s="38" t="n">
        <f aca="false">'Raw - Daily Energy'!B259</f>
        <v>0</v>
      </c>
      <c r="F264" s="42" t="n">
        <f aca="false">SUMIF('Raw - Sessions'!$R$5:$R$292,A264,'Raw - Sessions'!$P$5:$P$292)</f>
        <v>0</v>
      </c>
    </row>
    <row r="265" customFormat="false" ht="15" hidden="false" customHeight="false" outlineLevel="0" collapsed="false">
      <c r="A265" s="54" t="n">
        <f aca="false">'Raw - Daily Energy'!A260</f>
        <v>46105</v>
      </c>
      <c r="B265" s="17" t="n">
        <f aca="false">COUNTIF('Raw - Sessions'!$R$5:$R$292,A265)</f>
        <v>0</v>
      </c>
      <c r="C265" s="39" t="n">
        <f aca="false">SUMIF('Raw - Sessions'!$R$5:$R$292,A265,'Raw - Sessions'!$D$5:$D$292)</f>
        <v>0</v>
      </c>
      <c r="D265" s="39" t="n">
        <f aca="false">SUMIF('Raw - Sessions'!$R$5:$R$292,A265,'Raw - Sessions'!$E$5:$E$292)</f>
        <v>0</v>
      </c>
      <c r="E265" s="39" t="n">
        <f aca="false">'Raw - Daily Energy'!B260</f>
        <v>0</v>
      </c>
      <c r="F265" s="44" t="n">
        <f aca="false">SUMIF('Raw - Sessions'!$R$5:$R$292,A265,'Raw - Sessions'!$P$5:$P$292)</f>
        <v>0</v>
      </c>
    </row>
    <row r="266" customFormat="false" ht="15" hidden="false" customHeight="false" outlineLevel="0" collapsed="false">
      <c r="A266" s="53" t="n">
        <f aca="false">'Raw - Daily Energy'!A261</f>
        <v>46106</v>
      </c>
      <c r="B266" s="14" t="n">
        <f aca="false">COUNTIF('Raw - Sessions'!$R$5:$R$292,A266)</f>
        <v>1</v>
      </c>
      <c r="C266" s="38" t="n">
        <f aca="false">SUMIF('Raw - Sessions'!$R$5:$R$292,A266,'Raw - Sessions'!$D$5:$D$292)</f>
        <v>0.44</v>
      </c>
      <c r="D266" s="38" t="n">
        <f aca="false">SUMIF('Raw - Sessions'!$R$5:$R$292,A266,'Raw - Sessions'!$E$5:$E$292)</f>
        <v>19.178699</v>
      </c>
      <c r="E266" s="38" t="n">
        <f aca="false">'Raw - Daily Energy'!B261</f>
        <v>19.179</v>
      </c>
      <c r="F266" s="42" t="n">
        <f aca="false">SUMIF('Raw - Sessions'!$R$5:$R$292,A266,'Raw - Sessions'!$P$5:$P$292)</f>
        <v>12.5</v>
      </c>
    </row>
    <row r="267" customFormat="false" ht="15" hidden="false" customHeight="false" outlineLevel="0" collapsed="false">
      <c r="A267" s="54" t="n">
        <f aca="false">'Raw - Daily Energy'!A262</f>
        <v>46107</v>
      </c>
      <c r="B267" s="17" t="n">
        <f aca="false">COUNTIF('Raw - Sessions'!$R$5:$R$292,A267)</f>
        <v>0</v>
      </c>
      <c r="C267" s="39" t="n">
        <f aca="false">SUMIF('Raw - Sessions'!$R$5:$R$292,A267,'Raw - Sessions'!$D$5:$D$292)</f>
        <v>0</v>
      </c>
      <c r="D267" s="39" t="n">
        <f aca="false">SUMIF('Raw - Sessions'!$R$5:$R$292,A267,'Raw - Sessions'!$E$5:$E$292)</f>
        <v>0</v>
      </c>
      <c r="E267" s="39" t="n">
        <f aca="false">'Raw - Daily Energy'!B262</f>
        <v>0</v>
      </c>
      <c r="F267" s="44" t="n">
        <f aca="false">SUMIF('Raw - Sessions'!$R$5:$R$292,A267,'Raw - Sessions'!$P$5:$P$292)</f>
        <v>0</v>
      </c>
    </row>
    <row r="268" customFormat="false" ht="15" hidden="false" customHeight="false" outlineLevel="0" collapsed="false">
      <c r="A268" s="53" t="n">
        <f aca="false">'Raw - Daily Energy'!A263</f>
        <v>46108</v>
      </c>
      <c r="B268" s="14" t="n">
        <f aca="false">COUNTIF('Raw - Sessions'!$R$5:$R$292,A268)</f>
        <v>2</v>
      </c>
      <c r="C268" s="38" t="n">
        <f aca="false">SUMIF('Raw - Sessions'!$R$5:$R$292,A268,'Raw - Sessions'!$D$5:$D$292)</f>
        <v>1.32194444444445</v>
      </c>
      <c r="D268" s="38" t="n">
        <f aca="false">SUMIF('Raw - Sessions'!$R$5:$R$292,A268,'Raw - Sessions'!$E$5:$E$292)</f>
        <v>53.4073</v>
      </c>
      <c r="E268" s="38" t="n">
        <f aca="false">'Raw - Daily Energy'!B263</f>
        <v>55.204</v>
      </c>
      <c r="F268" s="42" t="n">
        <f aca="false">SUMIF('Raw - Sessions'!$R$5:$R$292,A268,'Raw - Sessions'!$P$5:$P$292)</f>
        <v>35.31</v>
      </c>
    </row>
    <row r="269" customFormat="false" ht="15" hidden="false" customHeight="false" outlineLevel="0" collapsed="false">
      <c r="A269" s="54" t="n">
        <f aca="false">'Raw - Daily Energy'!A264</f>
        <v>46109</v>
      </c>
      <c r="B269" s="17" t="n">
        <f aca="false">COUNTIF('Raw - Sessions'!$R$5:$R$292,A269)</f>
        <v>5</v>
      </c>
      <c r="C269" s="39" t="n">
        <f aca="false">SUMIF('Raw - Sessions'!$R$5:$R$292,A269,'Raw - Sessions'!$D$5:$D$292)</f>
        <v>7.71555555555556</v>
      </c>
      <c r="D269" s="39" t="n">
        <f aca="false">SUMIF('Raw - Sessions'!$R$5:$R$292,A269,'Raw - Sessions'!$E$5:$E$292)</f>
        <v>138.374945</v>
      </c>
      <c r="E269" s="39" t="n">
        <f aca="false">'Raw - Daily Energy'!B264</f>
        <v>148.098</v>
      </c>
      <c r="F269" s="44" t="n">
        <f aca="false">SUMIF('Raw - Sessions'!$R$5:$R$292,A269,'Raw - Sessions'!$P$5:$P$292)</f>
        <v>114.04</v>
      </c>
    </row>
    <row r="270" customFormat="false" ht="15" hidden="false" customHeight="false" outlineLevel="0" collapsed="false">
      <c r="A270" s="53" t="n">
        <f aca="false">'Raw - Daily Energy'!A265</f>
        <v>46110</v>
      </c>
      <c r="B270" s="14" t="n">
        <f aca="false">COUNTIF('Raw - Sessions'!$R$5:$R$292,A270)</f>
        <v>2</v>
      </c>
      <c r="C270" s="38" t="n">
        <f aca="false">SUMIF('Raw - Sessions'!$R$5:$R$292,A270,'Raw - Sessions'!$D$5:$D$292)</f>
        <v>1.69777777777778</v>
      </c>
      <c r="D270" s="38" t="n">
        <f aca="false">SUMIF('Raw - Sessions'!$R$5:$R$292,A270,'Raw - Sessions'!$E$5:$E$292)</f>
        <v>31.579</v>
      </c>
      <c r="E270" s="38" t="n">
        <f aca="false">'Raw - Daily Energy'!B265</f>
        <v>20.059</v>
      </c>
      <c r="F270" s="42" t="n">
        <f aca="false">SUMIF('Raw - Sessions'!$R$5:$R$292,A270,'Raw - Sessions'!$P$5:$P$292)</f>
        <v>25.74</v>
      </c>
    </row>
    <row r="271" customFormat="false" ht="15" hidden="false" customHeight="false" outlineLevel="0" collapsed="false">
      <c r="A271" s="54" t="n">
        <f aca="false">'Raw - Daily Energy'!A266</f>
        <v>46111</v>
      </c>
      <c r="B271" s="17" t="n">
        <f aca="false">COUNTIF('Raw - Sessions'!$R$5:$R$292,A271)</f>
        <v>1</v>
      </c>
      <c r="C271" s="39" t="n">
        <f aca="false">SUMIF('Raw - Sessions'!$R$5:$R$292,A271,'Raw - Sessions'!$D$5:$D$292)</f>
        <v>2.66222222222222</v>
      </c>
      <c r="D271" s="39" t="n">
        <f aca="false">SUMIF('Raw - Sessions'!$R$5:$R$292,A271,'Raw - Sessions'!$E$5:$E$292)</f>
        <v>57.816898</v>
      </c>
      <c r="E271" s="39" t="n">
        <f aca="false">'Raw - Daily Energy'!B266</f>
        <v>57.817</v>
      </c>
      <c r="F271" s="44" t="n">
        <f aca="false">SUMIF('Raw - Sessions'!$R$5:$R$292,A271,'Raw - Sessions'!$P$5:$P$292)</f>
        <v>44.75</v>
      </c>
    </row>
    <row r="272" customFormat="false" ht="15" hidden="false" customHeight="false" outlineLevel="0" collapsed="false">
      <c r="A272" s="53" t="n">
        <f aca="false">'Raw - Daily Energy'!A267</f>
        <v>46112</v>
      </c>
      <c r="B272" s="14" t="n">
        <f aca="false">COUNTIF('Raw - Sessions'!$R$5:$R$292,A272)</f>
        <v>0</v>
      </c>
      <c r="C272" s="38" t="n">
        <f aca="false">SUMIF('Raw - Sessions'!$R$5:$R$292,A272,'Raw - Sessions'!$D$5:$D$292)</f>
        <v>0</v>
      </c>
      <c r="D272" s="38" t="n">
        <f aca="false">SUMIF('Raw - Sessions'!$R$5:$R$292,A272,'Raw - Sessions'!$E$5:$E$292)</f>
        <v>0</v>
      </c>
      <c r="E272" s="38" t="n">
        <f aca="false">'Raw - Daily Energy'!B267</f>
        <v>0</v>
      </c>
      <c r="F272" s="42" t="n">
        <f aca="false">SUMIF('Raw - Sessions'!$R$5:$R$292,A272,'Raw - Sessions'!$P$5:$P$292)</f>
        <v>0</v>
      </c>
    </row>
    <row r="273" customFormat="false" ht="15" hidden="false" customHeight="false" outlineLevel="0" collapsed="false">
      <c r="A273" s="54" t="n">
        <f aca="false">'Raw - Daily Energy'!A268</f>
        <v>46113</v>
      </c>
      <c r="B273" s="17" t="n">
        <f aca="false">COUNTIF('Raw - Sessions'!$R$5:$R$292,A273)</f>
        <v>0</v>
      </c>
      <c r="C273" s="39" t="n">
        <f aca="false">SUMIF('Raw - Sessions'!$R$5:$R$292,A273,'Raw - Sessions'!$D$5:$D$292)</f>
        <v>0</v>
      </c>
      <c r="D273" s="39" t="n">
        <f aca="false">SUMIF('Raw - Sessions'!$R$5:$R$292,A273,'Raw - Sessions'!$E$5:$E$292)</f>
        <v>0</v>
      </c>
      <c r="E273" s="39" t="n">
        <f aca="false">'Raw - Daily Energy'!B268</f>
        <v>0</v>
      </c>
      <c r="F273" s="44" t="n">
        <f aca="false">SUMIF('Raw - Sessions'!$R$5:$R$292,A273,'Raw - Sessions'!$P$5:$P$292)</f>
        <v>0</v>
      </c>
    </row>
    <row r="274" customFormat="false" ht="15" hidden="false" customHeight="false" outlineLevel="0" collapsed="false">
      <c r="A274" s="53" t="n">
        <f aca="false">'Raw - Daily Energy'!A269</f>
        <v>46114</v>
      </c>
      <c r="B274" s="14" t="n">
        <f aca="false">COUNTIF('Raw - Sessions'!$R$5:$R$292,A274)</f>
        <v>3</v>
      </c>
      <c r="C274" s="38" t="n">
        <f aca="false">SUMIF('Raw - Sessions'!$R$5:$R$292,A274,'Raw - Sessions'!$D$5:$D$292)</f>
        <v>3.94888888888889</v>
      </c>
      <c r="D274" s="38" t="n">
        <f aca="false">SUMIF('Raw - Sessions'!$R$5:$R$292,A274,'Raw - Sessions'!$E$5:$E$292)</f>
        <v>76.174622</v>
      </c>
      <c r="E274" s="38" t="n">
        <f aca="false">'Raw - Daily Energy'!B269</f>
        <v>76.175</v>
      </c>
      <c r="F274" s="42" t="n">
        <f aca="false">SUMIF('Raw - Sessions'!$R$5:$R$292,A274,'Raw - Sessions'!$P$5:$P$292)</f>
        <v>61.3</v>
      </c>
    </row>
    <row r="275" customFormat="false" ht="15" hidden="false" customHeight="false" outlineLevel="0" collapsed="false">
      <c r="A275" s="54" t="n">
        <f aca="false">'Raw - Daily Energy'!A270</f>
        <v>46115</v>
      </c>
      <c r="B275" s="17" t="n">
        <f aca="false">COUNTIF('Raw - Sessions'!$R$5:$R$292,A275)</f>
        <v>1</v>
      </c>
      <c r="C275" s="39" t="n">
        <f aca="false">SUMIF('Raw - Sessions'!$R$5:$R$292,A275,'Raw - Sessions'!$D$5:$D$292)</f>
        <v>2.51055555555556</v>
      </c>
      <c r="D275" s="39" t="n">
        <f aca="false">SUMIF('Raw - Sessions'!$R$5:$R$292,A275,'Raw - Sessions'!$E$5:$E$292)</f>
        <v>51.890499</v>
      </c>
      <c r="E275" s="39" t="n">
        <f aca="false">'Raw - Daily Energy'!B270</f>
        <v>68.137</v>
      </c>
      <c r="F275" s="44" t="n">
        <f aca="false">SUMIF('Raw - Sessions'!$R$5:$R$292,A275,'Raw - Sessions'!$P$5:$P$292)</f>
        <v>40.81</v>
      </c>
    </row>
    <row r="276" customFormat="false" ht="15" hidden="false" customHeight="false" outlineLevel="0" collapsed="false">
      <c r="A276" s="53" t="n">
        <f aca="false">'Raw - Daily Energy'!A271</f>
        <v>46116</v>
      </c>
      <c r="B276" s="14" t="n">
        <f aca="false">COUNTIF('Raw - Sessions'!$R$5:$R$292,A276)</f>
        <v>5</v>
      </c>
      <c r="C276" s="38" t="n">
        <f aca="false">SUMIF('Raw - Sessions'!$R$5:$R$292,A276,'Raw - Sessions'!$D$5:$D$292)</f>
        <v>3.66194444444445</v>
      </c>
      <c r="D276" s="38" t="n">
        <f aca="false">SUMIF('Raw - Sessions'!$R$5:$R$292,A276,'Raw - Sessions'!$E$5:$E$292)</f>
        <v>71.489155</v>
      </c>
      <c r="E276" s="38" t="n">
        <f aca="false">'Raw - Daily Energy'!B271</f>
        <v>55.243</v>
      </c>
      <c r="F276" s="42" t="n">
        <f aca="false">SUMIF('Raw - Sessions'!$R$5:$R$292,A276,'Raw - Sessions'!$P$5:$P$292)</f>
        <v>57.14</v>
      </c>
    </row>
    <row r="277" customFormat="false" ht="15" hidden="false" customHeight="false" outlineLevel="0" collapsed="false">
      <c r="A277" s="54" t="n">
        <f aca="false">'Raw - Daily Energy'!A272</f>
        <v>46117</v>
      </c>
      <c r="B277" s="17" t="n">
        <f aca="false">COUNTIF('Raw - Sessions'!$R$5:$R$292,A277)</f>
        <v>1</v>
      </c>
      <c r="C277" s="39" t="n">
        <f aca="false">SUMIF('Raw - Sessions'!$R$5:$R$292,A277,'Raw - Sessions'!$D$5:$D$292)</f>
        <v>0.731111111111111</v>
      </c>
      <c r="D277" s="39" t="n">
        <f aca="false">SUMIF('Raw - Sessions'!$R$5:$R$292,A277,'Raw - Sessions'!$E$5:$E$292)</f>
        <v>41.103699</v>
      </c>
      <c r="E277" s="39" t="n">
        <f aca="false">'Raw - Daily Energy'!B272</f>
        <v>41.104</v>
      </c>
      <c r="F277" s="44" t="n">
        <f aca="false">SUMIF('Raw - Sessions'!$R$5:$R$292,A277,'Raw - Sessions'!$P$5:$P$292)</f>
        <v>25.66</v>
      </c>
    </row>
    <row r="278" customFormat="false" ht="15" hidden="false" customHeight="false" outlineLevel="0" collapsed="false">
      <c r="A278" s="53" t="n">
        <f aca="false">'Raw - Daily Energy'!A273</f>
        <v>46118</v>
      </c>
      <c r="B278" s="14" t="n">
        <f aca="false">COUNTIF('Raw - Sessions'!$R$5:$R$292,A278)</f>
        <v>0</v>
      </c>
      <c r="C278" s="38" t="n">
        <f aca="false">SUMIF('Raw - Sessions'!$R$5:$R$292,A278,'Raw - Sessions'!$D$5:$D$292)</f>
        <v>0</v>
      </c>
      <c r="D278" s="38" t="n">
        <f aca="false">SUMIF('Raw - Sessions'!$R$5:$R$292,A278,'Raw - Sessions'!$E$5:$E$292)</f>
        <v>0</v>
      </c>
      <c r="E278" s="38" t="n">
        <f aca="false">'Raw - Daily Energy'!B273</f>
        <v>36.237</v>
      </c>
      <c r="F278" s="42" t="n">
        <f aca="false">SUMIF('Raw - Sessions'!$R$5:$R$292,A278,'Raw - Sessions'!$P$5:$P$292)</f>
        <v>0</v>
      </c>
    </row>
    <row r="279" customFormat="false" ht="15" hidden="false" customHeight="false" outlineLevel="0" collapsed="false">
      <c r="A279" s="54" t="n">
        <f aca="false">'Raw - Daily Energy'!A274</f>
        <v>46119</v>
      </c>
      <c r="B279" s="17" t="n">
        <f aca="false">COUNTIF('Raw - Sessions'!$R$5:$R$292,A279)</f>
        <v>4</v>
      </c>
      <c r="C279" s="39" t="n">
        <f aca="false">SUMIF('Raw - Sessions'!$R$5:$R$292,A279,'Raw - Sessions'!$D$5:$D$292)</f>
        <v>2.17527777777778</v>
      </c>
      <c r="D279" s="39" t="n">
        <f aca="false">SUMIF('Raw - Sessions'!$R$5:$R$292,A279,'Raw - Sessions'!$E$5:$E$292)</f>
        <v>87.9707</v>
      </c>
      <c r="E279" s="39" t="n">
        <f aca="false">'Raw - Daily Energy'!B274</f>
        <v>51.734</v>
      </c>
      <c r="F279" s="44" t="n">
        <f aca="false">SUMIF('Raw - Sessions'!$R$5:$R$292,A279,'Raw - Sessions'!$P$5:$P$292)</f>
        <v>57.97</v>
      </c>
    </row>
    <row r="280" customFormat="false" ht="15" hidden="false" customHeight="false" outlineLevel="0" collapsed="false">
      <c r="A280" s="53" t="n">
        <f aca="false">'Raw - Daily Energy'!A275</f>
        <v>46120</v>
      </c>
      <c r="B280" s="14" t="n">
        <f aca="false">COUNTIF('Raw - Sessions'!$R$5:$R$292,A280)</f>
        <v>2</v>
      </c>
      <c r="C280" s="38" t="n">
        <f aca="false">SUMIF('Raw - Sessions'!$R$5:$R$292,A280,'Raw - Sessions'!$D$5:$D$292)</f>
        <v>1.85083333333333</v>
      </c>
      <c r="D280" s="38" t="n">
        <f aca="false">SUMIF('Raw - Sessions'!$R$5:$R$292,A280,'Raw - Sessions'!$E$5:$E$292)</f>
        <v>97.629803</v>
      </c>
      <c r="E280" s="38" t="n">
        <f aca="false">'Raw - Daily Energy'!B275</f>
        <v>97.63</v>
      </c>
      <c r="F280" s="42" t="n">
        <f aca="false">SUMIF('Raw - Sessions'!$R$5:$R$292,A280,'Raw - Sessions'!$P$5:$P$292)</f>
        <v>61.56</v>
      </c>
    </row>
    <row r="281" customFormat="false" ht="15" hidden="false" customHeight="false" outlineLevel="0" collapsed="false">
      <c r="A281" s="54" t="n">
        <f aca="false">'Raw - Daily Energy'!A276</f>
        <v>46121</v>
      </c>
      <c r="B281" s="17" t="n">
        <f aca="false">COUNTIF('Raw - Sessions'!$R$5:$R$292,A281)</f>
        <v>0</v>
      </c>
      <c r="C281" s="39" t="n">
        <f aca="false">SUMIF('Raw - Sessions'!$R$5:$R$292,A281,'Raw - Sessions'!$D$5:$D$292)</f>
        <v>0</v>
      </c>
      <c r="D281" s="39" t="n">
        <f aca="false">SUMIF('Raw - Sessions'!$R$5:$R$292,A281,'Raw - Sessions'!$E$5:$E$292)</f>
        <v>0</v>
      </c>
      <c r="E281" s="39" t="n">
        <f aca="false">'Raw - Daily Energy'!B276</f>
        <v>0</v>
      </c>
      <c r="F281" s="44" t="n">
        <f aca="false">SUMIF('Raw - Sessions'!$R$5:$R$292,A281,'Raw - Sessions'!$P$5:$P$292)</f>
        <v>0</v>
      </c>
    </row>
    <row r="282" customFormat="false" ht="15" hidden="false" customHeight="false" outlineLevel="0" collapsed="false">
      <c r="A282" s="53" t="n">
        <f aca="false">'Raw - Daily Energy'!A277</f>
        <v>46122</v>
      </c>
      <c r="B282" s="14" t="n">
        <f aca="false">COUNTIF('Raw - Sessions'!$R$5:$R$292,A282)</f>
        <v>4</v>
      </c>
      <c r="C282" s="38" t="n">
        <f aca="false">SUMIF('Raw - Sessions'!$R$5:$R$292,A282,'Raw - Sessions'!$D$5:$D$292)</f>
        <v>2.6</v>
      </c>
      <c r="D282" s="38" t="n">
        <f aca="false">SUMIF('Raw - Sessions'!$R$5:$R$292,A282,'Raw - Sessions'!$E$5:$E$292)</f>
        <v>123.154197</v>
      </c>
      <c r="E282" s="38" t="n">
        <f aca="false">'Raw - Daily Energy'!B277</f>
        <v>123.154</v>
      </c>
      <c r="F282" s="42" t="n">
        <f aca="false">SUMIF('Raw - Sessions'!$R$5:$R$292,A282,'Raw - Sessions'!$P$5:$P$292)</f>
        <v>79.08</v>
      </c>
    </row>
    <row r="283" customFormat="false" ht="15" hidden="false" customHeight="false" outlineLevel="0" collapsed="false">
      <c r="A283" s="54" t="n">
        <f aca="false">'Raw - Daily Energy'!A278</f>
        <v>46123</v>
      </c>
      <c r="B283" s="17" t="n">
        <f aca="false">COUNTIF('Raw - Sessions'!$R$5:$R$292,A283)</f>
        <v>3</v>
      </c>
      <c r="C283" s="39" t="n">
        <f aca="false">SUMIF('Raw - Sessions'!$R$5:$R$292,A283,'Raw - Sessions'!$D$5:$D$292)</f>
        <v>1.30166666666667</v>
      </c>
      <c r="D283" s="39" t="n">
        <f aca="false">SUMIF('Raw - Sessions'!$R$5:$R$292,A283,'Raw - Sessions'!$E$5:$E$292)</f>
        <v>56.6621</v>
      </c>
      <c r="E283" s="39" t="n">
        <f aca="false">'Raw - Daily Energy'!B278</f>
        <v>56.662</v>
      </c>
      <c r="F283" s="44" t="n">
        <f aca="false">SUMIF('Raw - Sessions'!$R$5:$R$292,A283,'Raw - Sessions'!$P$5:$P$292)</f>
        <v>36.92</v>
      </c>
    </row>
    <row r="284" customFormat="false" ht="15" hidden="false" customHeight="false" outlineLevel="0" collapsed="false">
      <c r="A284" s="53" t="n">
        <f aca="false">'Raw - Daily Energy'!A279</f>
        <v>46124</v>
      </c>
      <c r="B284" s="14" t="n">
        <f aca="false">COUNTIF('Raw - Sessions'!$R$5:$R$292,A284)</f>
        <v>3</v>
      </c>
      <c r="C284" s="38" t="n">
        <f aca="false">SUMIF('Raw - Sessions'!$R$5:$R$292,A284,'Raw - Sessions'!$D$5:$D$292)</f>
        <v>2.15833333333333</v>
      </c>
      <c r="D284" s="38" t="n">
        <f aca="false">SUMIF('Raw - Sessions'!$R$5:$R$292,A284,'Raw - Sessions'!$E$5:$E$292)</f>
        <v>101.620696</v>
      </c>
      <c r="E284" s="38" t="n">
        <f aca="false">'Raw - Daily Energy'!B279</f>
        <v>101.621</v>
      </c>
      <c r="F284" s="42" t="n">
        <f aca="false">SUMIF('Raw - Sessions'!$R$5:$R$292,A284,'Raw - Sessions'!$P$5:$P$292)</f>
        <v>65.32</v>
      </c>
    </row>
    <row r="285" customFormat="false" ht="15" hidden="false" customHeight="false" outlineLevel="0" collapsed="false">
      <c r="A285" s="54" t="n">
        <f aca="false">'Raw - Daily Energy'!A280</f>
        <v>46125</v>
      </c>
      <c r="B285" s="17" t="n">
        <f aca="false">COUNTIF('Raw - Sessions'!$R$5:$R$292,A285)</f>
        <v>1</v>
      </c>
      <c r="C285" s="39" t="n">
        <f aca="false">SUMIF('Raw - Sessions'!$R$5:$R$292,A285,'Raw - Sessions'!$D$5:$D$292)</f>
        <v>1.64027777777778</v>
      </c>
      <c r="D285" s="39" t="n">
        <f aca="false">SUMIF('Raw - Sessions'!$R$5:$R$292,A285,'Raw - Sessions'!$E$5:$E$292)</f>
        <v>79.641098</v>
      </c>
      <c r="E285" s="39" t="n">
        <f aca="false">'Raw - Daily Energy'!B280</f>
        <v>79.641</v>
      </c>
      <c r="F285" s="44" t="n">
        <f aca="false">SUMIF('Raw - Sessions'!$R$5:$R$292,A285,'Raw - Sessions'!$P$5:$P$292)</f>
        <v>50.9</v>
      </c>
    </row>
    <row r="286" customFormat="false" ht="15" hidden="false" customHeight="false" outlineLevel="0" collapsed="false">
      <c r="A286" s="53" t="n">
        <f aca="false">'Raw - Daily Energy'!A281</f>
        <v>46126</v>
      </c>
      <c r="B286" s="14" t="n">
        <f aca="false">COUNTIF('Raw - Sessions'!$R$5:$R$292,A286)</f>
        <v>0</v>
      </c>
      <c r="C286" s="38" t="n">
        <f aca="false">SUMIF('Raw - Sessions'!$R$5:$R$292,A286,'Raw - Sessions'!$D$5:$D$292)</f>
        <v>0</v>
      </c>
      <c r="D286" s="38" t="n">
        <f aca="false">SUMIF('Raw - Sessions'!$R$5:$R$292,A286,'Raw - Sessions'!$E$5:$E$292)</f>
        <v>0</v>
      </c>
      <c r="E286" s="38" t="n">
        <f aca="false">'Raw - Daily Energy'!B281</f>
        <v>0</v>
      </c>
      <c r="F286" s="42" t="n">
        <f aca="false">SUMIF('Raw - Sessions'!$R$5:$R$292,A286,'Raw - Sessions'!$P$5:$P$292)</f>
        <v>0</v>
      </c>
    </row>
    <row r="287" customFormat="false" ht="15" hidden="false" customHeight="false" outlineLevel="0" collapsed="false">
      <c r="A287" s="54" t="n">
        <f aca="false">'Raw - Daily Energy'!A282</f>
        <v>46127</v>
      </c>
      <c r="B287" s="17" t="n">
        <f aca="false">COUNTIF('Raw - Sessions'!$R$5:$R$292,A287)</f>
        <v>1</v>
      </c>
      <c r="C287" s="39" t="n">
        <f aca="false">SUMIF('Raw - Sessions'!$R$5:$R$292,A287,'Raw - Sessions'!$D$5:$D$292)</f>
        <v>0.435555555555556</v>
      </c>
      <c r="D287" s="39" t="n">
        <f aca="false">SUMIF('Raw - Sessions'!$R$5:$R$292,A287,'Raw - Sessions'!$E$5:$E$292)</f>
        <v>25.6824</v>
      </c>
      <c r="E287" s="39" t="n">
        <f aca="false">'Raw - Daily Energy'!B282</f>
        <v>25.682</v>
      </c>
      <c r="F287" s="44" t="n">
        <f aca="false">SUMIF('Raw - Sessions'!$R$5:$R$292,A287,'Raw - Sessions'!$P$5:$P$292)</f>
        <v>15.92</v>
      </c>
    </row>
    <row r="288" customFormat="false" ht="15" hidden="false" customHeight="false" outlineLevel="0" collapsed="false">
      <c r="A288" s="53" t="n">
        <f aca="false">'Raw - Daily Energy'!A283</f>
        <v>46128</v>
      </c>
      <c r="B288" s="14" t="n">
        <f aca="false">COUNTIF('Raw - Sessions'!$R$5:$R$292,A288)</f>
        <v>0</v>
      </c>
      <c r="C288" s="38" t="n">
        <f aca="false">SUMIF('Raw - Sessions'!$R$5:$R$292,A288,'Raw - Sessions'!$D$5:$D$292)</f>
        <v>0</v>
      </c>
      <c r="D288" s="38" t="n">
        <f aca="false">SUMIF('Raw - Sessions'!$R$5:$R$292,A288,'Raw - Sessions'!$E$5:$E$292)</f>
        <v>0</v>
      </c>
      <c r="E288" s="38" t="n">
        <f aca="false">'Raw - Daily Energy'!B283</f>
        <v>0</v>
      </c>
      <c r="F288" s="42" t="n">
        <f aca="false">SUMIF('Raw - Sessions'!$R$5:$R$292,A288,'Raw - Sessions'!$P$5:$P$292)</f>
        <v>0</v>
      </c>
    </row>
    <row r="289" customFormat="false" ht="15" hidden="false" customHeight="false" outlineLevel="0" collapsed="false">
      <c r="A289" s="54" t="n">
        <f aca="false">'Raw - Daily Energy'!A284</f>
        <v>46129</v>
      </c>
      <c r="B289" s="17" t="n">
        <f aca="false">COUNTIF('Raw - Sessions'!$R$5:$R$292,A289)</f>
        <v>1</v>
      </c>
      <c r="C289" s="39" t="n">
        <f aca="false">SUMIF('Raw - Sessions'!$R$5:$R$292,A289,'Raw - Sessions'!$D$5:$D$292)</f>
        <v>0.317777777777778</v>
      </c>
      <c r="D289" s="39" t="n">
        <f aca="false">SUMIF('Raw - Sessions'!$R$5:$R$292,A289,'Raw - Sessions'!$E$5:$E$292)</f>
        <v>14.6061</v>
      </c>
      <c r="E289" s="39" t="n">
        <f aca="false">'Raw - Daily Energy'!B284</f>
        <v>14.606</v>
      </c>
      <c r="F289" s="44" t="n">
        <f aca="false">SUMIF('Raw - Sessions'!$R$5:$R$292,A289,'Raw - Sessions'!$P$5:$P$292)</f>
        <v>9.43</v>
      </c>
    </row>
    <row r="290" customFormat="false" ht="15" hidden="false" customHeight="false" outlineLevel="0" collapsed="false">
      <c r="A290" s="53" t="n">
        <f aca="false">'Raw - Daily Energy'!A285</f>
        <v>46130</v>
      </c>
      <c r="B290" s="14" t="n">
        <f aca="false">COUNTIF('Raw - Sessions'!$R$5:$R$292,A290)</f>
        <v>2</v>
      </c>
      <c r="C290" s="38" t="n">
        <f aca="false">SUMIF('Raw - Sessions'!$R$5:$R$292,A290,'Raw - Sessions'!$D$5:$D$292)</f>
        <v>1.75472222222222</v>
      </c>
      <c r="D290" s="38" t="n">
        <f aca="false">SUMIF('Raw - Sessions'!$R$5:$R$292,A290,'Raw - Sessions'!$E$5:$E$292)</f>
        <v>80.153398</v>
      </c>
      <c r="E290" s="38" t="n">
        <f aca="false">'Raw - Daily Energy'!B285</f>
        <v>80.153</v>
      </c>
      <c r="F290" s="42" t="n">
        <f aca="false">SUMIF('Raw - Sessions'!$R$5:$R$292,A290,'Raw - Sessions'!$P$5:$P$292)</f>
        <v>51.8</v>
      </c>
    </row>
    <row r="291" customFormat="false" ht="15" hidden="false" customHeight="false" outlineLevel="0" collapsed="false">
      <c r="A291" s="54" t="n">
        <f aca="false">'Raw - Daily Energy'!A286</f>
        <v>46131</v>
      </c>
      <c r="B291" s="17" t="n">
        <f aca="false">COUNTIF('Raw - Sessions'!$R$5:$R$292,A291)</f>
        <v>1</v>
      </c>
      <c r="C291" s="39" t="n">
        <f aca="false">SUMIF('Raw - Sessions'!$R$5:$R$292,A291,'Raw - Sessions'!$D$5:$D$292)</f>
        <v>0.384444444444444</v>
      </c>
      <c r="D291" s="39" t="n">
        <f aca="false">SUMIF('Raw - Sessions'!$R$5:$R$292,A291,'Raw - Sessions'!$E$5:$E$292)</f>
        <v>15.6444</v>
      </c>
      <c r="E291" s="39" t="n">
        <f aca="false">'Raw - Daily Energy'!B286</f>
        <v>15.644</v>
      </c>
      <c r="F291" s="44" t="n">
        <f aca="false">SUMIF('Raw - Sessions'!$R$5:$R$292,A291,'Raw - Sessions'!$P$5:$P$292)</f>
        <v>10.33</v>
      </c>
    </row>
    <row r="292" customFormat="false" ht="15" hidden="false" customHeight="false" outlineLevel="0" collapsed="false">
      <c r="A292" s="53" t="n">
        <f aca="false">'Raw - Daily Energy'!A287</f>
        <v>46132</v>
      </c>
      <c r="B292" s="14" t="n">
        <f aca="false">COUNTIF('Raw - Sessions'!$R$5:$R$292,A292)</f>
        <v>0</v>
      </c>
      <c r="C292" s="38" t="n">
        <f aca="false">SUMIF('Raw - Sessions'!$R$5:$R$292,A292,'Raw - Sessions'!$D$5:$D$292)</f>
        <v>0</v>
      </c>
      <c r="D292" s="38" t="n">
        <f aca="false">SUMIF('Raw - Sessions'!$R$5:$R$292,A292,'Raw - Sessions'!$E$5:$E$292)</f>
        <v>0</v>
      </c>
      <c r="E292" s="38" t="n">
        <f aca="false">'Raw - Daily Energy'!B287</f>
        <v>0</v>
      </c>
      <c r="F292" s="42" t="n">
        <f aca="false">SUMIF('Raw - Sessions'!$R$5:$R$292,A292,'Raw - Sessions'!$P$5:$P$292)</f>
        <v>0</v>
      </c>
    </row>
    <row r="293" customFormat="false" ht="15" hidden="false" customHeight="false" outlineLevel="0" collapsed="false">
      <c r="A293" s="54" t="n">
        <f aca="false">'Raw - Daily Energy'!A288</f>
        <v>46133</v>
      </c>
      <c r="B293" s="17" t="n">
        <f aca="false">COUNTIF('Raw - Sessions'!$R$5:$R$292,A293)</f>
        <v>2</v>
      </c>
      <c r="C293" s="39" t="n">
        <f aca="false">SUMIF('Raw - Sessions'!$R$5:$R$292,A293,'Raw - Sessions'!$D$5:$D$292)</f>
        <v>0.0108333333333333</v>
      </c>
      <c r="D293" s="39" t="n">
        <f aca="false">SUMIF('Raw - Sessions'!$R$5:$R$292,A293,'Raw - Sessions'!$E$5:$E$292)</f>
        <v>0</v>
      </c>
      <c r="E293" s="39" t="n">
        <f aca="false">'Raw - Daily Energy'!B288</f>
        <v>0</v>
      </c>
      <c r="F293" s="44" t="n">
        <f aca="false">SUMIF('Raw - Sessions'!$R$5:$R$292,A293,'Raw - Sessions'!$P$5:$P$292)</f>
        <v>0</v>
      </c>
    </row>
    <row r="294" customFormat="false" ht="15" hidden="false" customHeight="false" outlineLevel="0" collapsed="false">
      <c r="A294" s="53" t="n">
        <f aca="false">'Raw - Daily Energy'!A289</f>
        <v>46134</v>
      </c>
      <c r="B294" s="14" t="n">
        <f aca="false">COUNTIF('Raw - Sessions'!$R$5:$R$292,A294)</f>
        <v>4</v>
      </c>
      <c r="C294" s="38" t="n">
        <f aca="false">SUMIF('Raw - Sessions'!$R$5:$R$292,A294,'Raw - Sessions'!$D$5:$D$292)</f>
        <v>0.673333333333333</v>
      </c>
      <c r="D294" s="38" t="n">
        <f aca="false">SUMIF('Raw - Sessions'!$R$5:$R$292,A294,'Raw - Sessions'!$E$5:$E$292)</f>
        <v>17.332644</v>
      </c>
      <c r="E294" s="38" t="n">
        <f aca="false">'Raw - Daily Energy'!B289</f>
        <v>25.719</v>
      </c>
      <c r="F294" s="42" t="n">
        <f aca="false">SUMIF('Raw - Sessions'!$R$5:$R$292,A294,'Raw - Sessions'!$P$5:$P$292)</f>
        <v>12.53</v>
      </c>
    </row>
    <row r="295" customFormat="false" ht="15" hidden="false" customHeight="false" outlineLevel="0" collapsed="false">
      <c r="A295" s="54" t="n">
        <f aca="false">'Raw - Daily Energy'!A290</f>
        <v>46135</v>
      </c>
      <c r="B295" s="17" t="n">
        <f aca="false">COUNTIF('Raw - Sessions'!$R$5:$R$292,A295)</f>
        <v>3</v>
      </c>
      <c r="C295" s="39" t="n">
        <f aca="false">SUMIF('Raw - Sessions'!$R$5:$R$292,A295,'Raw - Sessions'!$D$5:$D$292)</f>
        <v>3.475</v>
      </c>
      <c r="D295" s="39" t="n">
        <f aca="false">SUMIF('Raw - Sessions'!$R$5:$R$292,A295,'Raw - Sessions'!$E$5:$E$292)</f>
        <v>65.729556</v>
      </c>
      <c r="E295" s="39" t="n">
        <f aca="false">'Raw - Daily Energy'!B290</f>
        <v>57.343</v>
      </c>
      <c r="F295" s="44" t="n">
        <f aca="false">SUMIF('Raw - Sessions'!$R$5:$R$292,A295,'Raw - Sessions'!$P$5:$P$292)</f>
        <v>53.24</v>
      </c>
    </row>
    <row r="296" customFormat="false" ht="15" hidden="false" customHeight="false" outlineLevel="0" collapsed="false">
      <c r="A296" s="53" t="n">
        <f aca="false">'Raw - Daily Energy'!A291</f>
        <v>46136</v>
      </c>
      <c r="B296" s="14" t="n">
        <f aca="false">COUNTIF('Raw - Sessions'!$R$5:$R$292,A296)</f>
        <v>1</v>
      </c>
      <c r="C296" s="38" t="n">
        <f aca="false">SUMIF('Raw - Sessions'!$R$5:$R$292,A296,'Raw - Sessions'!$D$5:$D$292)</f>
        <v>0.954444444444444</v>
      </c>
      <c r="D296" s="38" t="n">
        <f aca="false">SUMIF('Raw - Sessions'!$R$5:$R$292,A296,'Raw - Sessions'!$E$5:$E$292)</f>
        <v>34.3673</v>
      </c>
      <c r="E296" s="38" t="n">
        <f aca="false">'Raw - Daily Energy'!B291</f>
        <v>34.367</v>
      </c>
      <c r="F296" s="42" t="n">
        <f aca="false">SUMIF('Raw - Sessions'!$R$5:$R$292,A296,'Raw - Sessions'!$P$5:$P$292)</f>
        <v>23.27</v>
      </c>
    </row>
    <row r="297" customFormat="false" ht="15" hidden="false" customHeight="false" outlineLevel="0" collapsed="false">
      <c r="A297" s="54" t="n">
        <f aca="false">'Raw - Daily Energy'!A292</f>
        <v>46137</v>
      </c>
      <c r="B297" s="17" t="n">
        <f aca="false">COUNTIF('Raw - Sessions'!$R$5:$R$292,A297)</f>
        <v>1</v>
      </c>
      <c r="C297" s="39" t="n">
        <f aca="false">SUMIF('Raw - Sessions'!$R$5:$R$292,A297,'Raw - Sessions'!$D$5:$D$292)</f>
        <v>2.74055555555556</v>
      </c>
      <c r="D297" s="39" t="n">
        <f aca="false">SUMIF('Raw - Sessions'!$R$5:$R$292,A297,'Raw - Sessions'!$E$5:$E$292)</f>
        <v>69.3154</v>
      </c>
      <c r="E297" s="39" t="n">
        <f aca="false">'Raw - Daily Energy'!B292</f>
        <v>69.315</v>
      </c>
      <c r="F297" s="44" t="n">
        <f aca="false">SUMIF('Raw - Sessions'!$R$5:$R$292,A297,'Raw - Sessions'!$P$5:$P$292)</f>
        <v>51.26</v>
      </c>
    </row>
    <row r="298" customFormat="false" ht="15" hidden="false" customHeight="false" outlineLevel="0" collapsed="false">
      <c r="A298" s="53" t="n">
        <f aca="false">'Raw - Daily Energy'!A293</f>
        <v>46138</v>
      </c>
      <c r="B298" s="14" t="n">
        <f aca="false">COUNTIF('Raw - Sessions'!$R$5:$R$292,A298)</f>
        <v>1</v>
      </c>
      <c r="C298" s="38" t="n">
        <f aca="false">SUMIF('Raw - Sessions'!$R$5:$R$292,A298,'Raw - Sessions'!$D$5:$D$292)</f>
        <v>1.52555555555556</v>
      </c>
      <c r="D298" s="38" t="n">
        <f aca="false">SUMIF('Raw - Sessions'!$R$5:$R$292,A298,'Raw - Sessions'!$E$5:$E$292)</f>
        <v>10.965973</v>
      </c>
      <c r="E298" s="38" t="n">
        <f aca="false">'Raw - Daily Energy'!B293</f>
        <v>10.966</v>
      </c>
      <c r="F298" s="42" t="n">
        <f aca="false">SUMIF('Raw - Sessions'!$R$5:$R$292,A298,'Raw - Sessions'!$P$5:$P$292)</f>
        <v>13.9</v>
      </c>
    </row>
    <row r="299" customFormat="false" ht="15" hidden="false" customHeight="false" outlineLevel="0" collapsed="false">
      <c r="A299" s="54" t="n">
        <f aca="false">'Raw - Daily Energy'!A294</f>
        <v>46139</v>
      </c>
      <c r="B299" s="17" t="n">
        <f aca="false">COUNTIF('Raw - Sessions'!$R$5:$R$292,A299)</f>
        <v>0</v>
      </c>
      <c r="C299" s="39" t="n">
        <f aca="false">SUMIF('Raw - Sessions'!$R$5:$R$292,A299,'Raw - Sessions'!$D$5:$D$292)</f>
        <v>0</v>
      </c>
      <c r="D299" s="39" t="n">
        <f aca="false">SUMIF('Raw - Sessions'!$R$5:$R$292,A299,'Raw - Sessions'!$E$5:$E$292)</f>
        <v>0</v>
      </c>
      <c r="E299" s="39" t="n">
        <f aca="false">'Raw - Daily Energy'!B294</f>
        <v>0</v>
      </c>
      <c r="F299" s="44" t="n">
        <f aca="false">SUMIF('Raw - Sessions'!$R$5:$R$292,A299,'Raw - Sessions'!$P$5:$P$292)</f>
        <v>0</v>
      </c>
    </row>
    <row r="300" customFormat="false" ht="15" hidden="false" customHeight="false" outlineLevel="0" collapsed="false">
      <c r="A300" s="53" t="n">
        <f aca="false">'Raw - Daily Energy'!A295</f>
        <v>46140</v>
      </c>
      <c r="B300" s="14" t="n">
        <f aca="false">COUNTIF('Raw - Sessions'!$R$5:$R$292,A300)</f>
        <v>1</v>
      </c>
      <c r="C300" s="38" t="n">
        <f aca="false">SUMIF('Raw - Sessions'!$R$5:$R$292,A300,'Raw - Sessions'!$D$5:$D$292)</f>
        <v>0.640555555555556</v>
      </c>
      <c r="D300" s="38" t="n">
        <f aca="false">SUMIF('Raw - Sessions'!$R$5:$R$292,A300,'Raw - Sessions'!$E$5:$E$292)</f>
        <v>34.6041</v>
      </c>
      <c r="E300" s="38" t="n">
        <f aca="false">'Raw - Daily Energy'!B295</f>
        <v>34.604</v>
      </c>
      <c r="F300" s="42" t="n">
        <f aca="false">SUMIF('Raw - Sessions'!$R$5:$R$292,A300,'Raw - Sessions'!$P$5:$P$292)</f>
        <v>21.7</v>
      </c>
    </row>
    <row r="301" customFormat="false" ht="15" hidden="false" customHeight="false" outlineLevel="0" collapsed="false">
      <c r="A301" s="54" t="n">
        <f aca="false">'Raw - Daily Energy'!A296</f>
        <v>46141</v>
      </c>
      <c r="B301" s="17" t="n">
        <f aca="false">COUNTIF('Raw - Sessions'!$R$5:$R$292,A301)</f>
        <v>2</v>
      </c>
      <c r="C301" s="39" t="n">
        <f aca="false">SUMIF('Raw - Sessions'!$R$5:$R$292,A301,'Raw - Sessions'!$D$5:$D$292)</f>
        <v>0.765277777777778</v>
      </c>
      <c r="D301" s="39" t="n">
        <f aca="false">SUMIF('Raw - Sessions'!$R$5:$R$292,A301,'Raw - Sessions'!$E$5:$E$292)</f>
        <v>39.8502</v>
      </c>
      <c r="E301" s="39" t="n">
        <f aca="false">'Raw - Daily Energy'!B296</f>
        <v>39.85</v>
      </c>
      <c r="F301" s="44" t="n">
        <f aca="false">SUMIF('Raw - Sessions'!$R$5:$R$292,A301,'Raw - Sessions'!$P$5:$P$292)</f>
        <v>25.17</v>
      </c>
    </row>
    <row r="302" customFormat="false" ht="15" hidden="false" customHeight="false" outlineLevel="0" collapsed="false">
      <c r="A302" s="53" t="n">
        <f aca="false">'Raw - Daily Energy'!A297</f>
        <v>46142</v>
      </c>
      <c r="B302" s="14" t="n">
        <f aca="false">COUNTIF('Raw - Sessions'!$R$5:$R$292,A302)</f>
        <v>0</v>
      </c>
      <c r="C302" s="38" t="n">
        <f aca="false">SUMIF('Raw - Sessions'!$R$5:$R$292,A302,'Raw - Sessions'!$D$5:$D$292)</f>
        <v>0</v>
      </c>
      <c r="D302" s="38" t="n">
        <f aca="false">SUMIF('Raw - Sessions'!$R$5:$R$292,A302,'Raw - Sessions'!$E$5:$E$292)</f>
        <v>0</v>
      </c>
      <c r="E302" s="38" t="n">
        <f aca="false">'Raw - Daily Energy'!B297</f>
        <v>0</v>
      </c>
      <c r="F302" s="42" t="n">
        <f aca="false">SUMIF('Raw - Sessions'!$R$5:$R$292,A302,'Raw - Sessions'!$P$5:$P$292)</f>
        <v>0</v>
      </c>
    </row>
    <row r="303" customFormat="false" ht="15" hidden="false" customHeight="false" outlineLevel="0" collapsed="false">
      <c r="A303" s="54" t="n">
        <f aca="false">'Raw - Daily Energy'!A298</f>
        <v>46143</v>
      </c>
      <c r="B303" s="17" t="n">
        <f aca="false">COUNTIF('Raw - Sessions'!$R$5:$R$292,A303)</f>
        <v>3</v>
      </c>
      <c r="C303" s="39" t="n">
        <f aca="false">SUMIF('Raw - Sessions'!$R$5:$R$292,A303,'Raw - Sessions'!$D$5:$D$292)</f>
        <v>1.92972222222222</v>
      </c>
      <c r="D303" s="39" t="n">
        <f aca="false">SUMIF('Raw - Sessions'!$R$5:$R$292,A303,'Raw - Sessions'!$E$5:$E$292)</f>
        <v>78.2008</v>
      </c>
      <c r="E303" s="39" t="n">
        <f aca="false">'Raw - Daily Energy'!B298</f>
        <v>78.201</v>
      </c>
      <c r="F303" s="44" t="n">
        <f aca="false">SUMIF('Raw - Sessions'!$R$5:$R$292,A303,'Raw - Sessions'!$P$5:$P$292)</f>
        <v>51.62</v>
      </c>
    </row>
    <row r="304" customFormat="false" ht="15" hidden="false" customHeight="false" outlineLevel="0" collapsed="false">
      <c r="A304" s="53" t="n">
        <f aca="false">'Raw - Daily Energy'!A299</f>
        <v>46144</v>
      </c>
      <c r="B304" s="14" t="n">
        <f aca="false">COUNTIF('Raw - Sessions'!$R$5:$R$292,A304)</f>
        <v>0</v>
      </c>
      <c r="C304" s="38" t="n">
        <f aca="false">SUMIF('Raw - Sessions'!$R$5:$R$292,A304,'Raw - Sessions'!$D$5:$D$292)</f>
        <v>0</v>
      </c>
      <c r="D304" s="38" t="n">
        <f aca="false">SUMIF('Raw - Sessions'!$R$5:$R$292,A304,'Raw - Sessions'!$E$5:$E$292)</f>
        <v>0</v>
      </c>
      <c r="E304" s="38" t="n">
        <f aca="false">'Raw - Daily Energy'!B299</f>
        <v>5.016</v>
      </c>
      <c r="F304" s="42" t="n">
        <f aca="false">SUMIF('Raw - Sessions'!$R$5:$R$292,A304,'Raw - Sessions'!$P$5:$P$292)</f>
        <v>0</v>
      </c>
    </row>
    <row r="305" customFormat="false" ht="15" hidden="false" customHeight="false" outlineLevel="0" collapsed="false">
      <c r="A305" s="54" t="n">
        <f aca="false">'Raw - Daily Energy'!A300</f>
        <v>46145</v>
      </c>
      <c r="B305" s="17" t="n">
        <f aca="false">COUNTIF('Raw - Sessions'!$R$5:$R$292,A305)</f>
        <v>1</v>
      </c>
      <c r="C305" s="39" t="n">
        <f aca="false">SUMIF('Raw - Sessions'!$R$5:$R$292,A305,'Raw - Sessions'!$D$5:$D$292)</f>
        <v>0.739166666666667</v>
      </c>
      <c r="D305" s="39" t="n">
        <f aca="false">SUMIF('Raw - Sessions'!$R$5:$R$292,A305,'Raw - Sessions'!$E$5:$E$292)</f>
        <v>5.016269</v>
      </c>
      <c r="E305" s="39" t="n">
        <f aca="false">'Raw - Daily Energy'!B300</f>
        <v>0</v>
      </c>
      <c r="F305" s="44" t="n">
        <f aca="false">SUMIF('Raw - Sessions'!$R$5:$R$292,A305,'Raw - Sessions'!$P$5:$P$292)</f>
        <v>6.58</v>
      </c>
    </row>
    <row r="306" customFormat="false" ht="15" hidden="false" customHeight="false" outlineLevel="0" collapsed="false">
      <c r="A306" s="53" t="n">
        <f aca="false">'Raw - Daily Energy'!A301</f>
        <v>46146</v>
      </c>
      <c r="B306" s="14" t="n">
        <f aca="false">COUNTIF('Raw - Sessions'!$R$5:$R$292,A306)</f>
        <v>0</v>
      </c>
      <c r="C306" s="38" t="n">
        <f aca="false">SUMIF('Raw - Sessions'!$R$5:$R$292,A306,'Raw - Sessions'!$D$5:$D$292)</f>
        <v>0</v>
      </c>
      <c r="D306" s="38" t="n">
        <f aca="false">SUMIF('Raw - Sessions'!$R$5:$R$292,A306,'Raw - Sessions'!$E$5:$E$292)</f>
        <v>0</v>
      </c>
      <c r="E306" s="38" t="n">
        <f aca="false">'Raw - Daily Energy'!B301</f>
        <v>38.975</v>
      </c>
      <c r="F306" s="42" t="n">
        <f aca="false">SUMIF('Raw - Sessions'!$R$5:$R$292,A306,'Raw - Sessions'!$P$5:$P$292)</f>
        <v>0</v>
      </c>
    </row>
    <row r="307" customFormat="false" ht="15" hidden="false" customHeight="false" outlineLevel="0" collapsed="false">
      <c r="A307" s="54" t="n">
        <f aca="false">'Raw - Daily Energy'!A302</f>
        <v>46147</v>
      </c>
      <c r="B307" s="17" t="n">
        <f aca="false">COUNTIF('Raw - Sessions'!$R$5:$R$292,A307)</f>
        <v>2</v>
      </c>
      <c r="C307" s="39" t="n">
        <f aca="false">SUMIF('Raw - Sessions'!$R$5:$R$292,A307,'Raw - Sessions'!$D$5:$D$292)</f>
        <v>2.11722222222222</v>
      </c>
      <c r="D307" s="39" t="n">
        <f aca="false">SUMIF('Raw - Sessions'!$R$5:$R$292,A307,'Raw - Sessions'!$E$5:$E$292)</f>
        <v>38.9751</v>
      </c>
      <c r="E307" s="39" t="n">
        <f aca="false">'Raw - Daily Energy'!B302</f>
        <v>0</v>
      </c>
      <c r="F307" s="44" t="n">
        <f aca="false">SUMIF('Raw - Sessions'!$R$5:$R$292,A307,'Raw - Sessions'!$P$5:$P$292)</f>
        <v>31.66</v>
      </c>
    </row>
    <row r="308" customFormat="false" ht="15" hidden="false" customHeight="false" outlineLevel="0" collapsed="false">
      <c r="A308" s="53" t="n">
        <f aca="false">'Raw - Daily Energy'!A303</f>
        <v>46148</v>
      </c>
      <c r="B308" s="14" t="n">
        <f aca="false">COUNTIF('Raw - Sessions'!$R$5:$R$292,A308)</f>
        <v>1</v>
      </c>
      <c r="C308" s="38" t="n">
        <f aca="false">SUMIF('Raw - Sessions'!$R$5:$R$292,A308,'Raw - Sessions'!$D$5:$D$292)</f>
        <v>0.788333333333333</v>
      </c>
      <c r="D308" s="38" t="n">
        <f aca="false">SUMIF('Raw - Sessions'!$R$5:$R$292,A308,'Raw - Sessions'!$E$5:$E$292)</f>
        <v>47.9561</v>
      </c>
      <c r="E308" s="38" t="n">
        <f aca="false">'Raw - Daily Energy'!B303</f>
        <v>47.956</v>
      </c>
      <c r="F308" s="42" t="n">
        <f aca="false">SUMIF('Raw - Sessions'!$R$5:$R$292,A308,'Raw - Sessions'!$P$5:$P$292)</f>
        <v>29.6</v>
      </c>
    </row>
    <row r="309" customFormat="false" ht="15" hidden="false" customHeight="false" outlineLevel="0" collapsed="false">
      <c r="A309" s="54" t="n">
        <f aca="false">'Raw - Daily Energy'!A304</f>
        <v>46149</v>
      </c>
      <c r="B309" s="17" t="n">
        <f aca="false">COUNTIF('Raw - Sessions'!$R$5:$R$292,A309)</f>
        <v>2</v>
      </c>
      <c r="C309" s="39" t="n">
        <f aca="false">SUMIF('Raw - Sessions'!$R$5:$R$292,A309,'Raw - Sessions'!$D$5:$D$292)</f>
        <v>1.19416666666667</v>
      </c>
      <c r="D309" s="39" t="n">
        <f aca="false">SUMIF('Raw - Sessions'!$R$5:$R$292,A309,'Raw - Sessions'!$E$5:$E$292)</f>
        <v>39.1554</v>
      </c>
      <c r="E309" s="39" t="n">
        <f aca="false">'Raw - Daily Energy'!B304</f>
        <v>39.155</v>
      </c>
      <c r="F309" s="44" t="n">
        <f aca="false">SUMIF('Raw - Sessions'!$R$5:$R$292,A309,'Raw - Sessions'!$P$5:$P$292)</f>
        <v>27.08</v>
      </c>
    </row>
    <row r="310" customFormat="false" ht="15" hidden="false" customHeight="false" outlineLevel="0" collapsed="false">
      <c r="A310" s="53" t="n">
        <f aca="false">'Raw - Daily Energy'!A305</f>
        <v>46150</v>
      </c>
      <c r="B310" s="14" t="n">
        <f aca="false">COUNTIF('Raw - Sessions'!$R$5:$R$292,A310)</f>
        <v>4</v>
      </c>
      <c r="C310" s="38" t="n">
        <f aca="false">SUMIF('Raw - Sessions'!$R$5:$R$292,A310,'Raw - Sessions'!$D$5:$D$292)</f>
        <v>3.955</v>
      </c>
      <c r="D310" s="38" t="n">
        <f aca="false">SUMIF('Raw - Sessions'!$R$5:$R$292,A310,'Raw - Sessions'!$E$5:$E$292)</f>
        <v>149.115</v>
      </c>
      <c r="E310" s="38" t="n">
        <f aca="false">'Raw - Daily Energy'!B305</f>
        <v>149.115</v>
      </c>
      <c r="F310" s="42" t="n">
        <f aca="false">SUMIF('Raw - Sessions'!$R$5:$R$292,A310,'Raw - Sessions'!$P$5:$P$292)</f>
        <v>99.69</v>
      </c>
    </row>
    <row r="311" customFormat="false" ht="15" hidden="false" customHeight="false" outlineLevel="0" collapsed="false">
      <c r="A311" s="54" t="n">
        <f aca="false">'Raw - Daily Energy'!A306</f>
        <v>46151</v>
      </c>
      <c r="B311" s="17" t="n">
        <f aca="false">COUNTIF('Raw - Sessions'!$R$5:$R$292,A311)</f>
        <v>1</v>
      </c>
      <c r="C311" s="39" t="n">
        <f aca="false">SUMIF('Raw - Sessions'!$R$5:$R$292,A311,'Raw - Sessions'!$D$5:$D$292)</f>
        <v>1.05222222222222</v>
      </c>
      <c r="D311" s="39" t="n">
        <f aca="false">SUMIF('Raw - Sessions'!$R$5:$R$292,A311,'Raw - Sessions'!$E$5:$E$292)</f>
        <v>7.369006</v>
      </c>
      <c r="E311" s="39" t="n">
        <f aca="false">'Raw - Daily Energy'!B306</f>
        <v>7.369</v>
      </c>
      <c r="F311" s="44" t="n">
        <f aca="false">SUMIF('Raw - Sessions'!$R$5:$R$292,A311,'Raw - Sessions'!$P$5:$P$292)</f>
        <v>9.48</v>
      </c>
    </row>
    <row r="312" customFormat="false" ht="15" hidden="false" customHeight="false" outlineLevel="0" collapsed="false">
      <c r="A312" s="53" t="n">
        <f aca="false">'Raw - Daily Energy'!A307</f>
        <v>46152</v>
      </c>
      <c r="B312" s="14" t="n">
        <f aca="false">COUNTIF('Raw - Sessions'!$R$5:$R$292,A312)</f>
        <v>1</v>
      </c>
      <c r="C312" s="38" t="n">
        <f aca="false">SUMIF('Raw - Sessions'!$R$5:$R$292,A312,'Raw - Sessions'!$D$5:$D$292)</f>
        <v>0.419722222222222</v>
      </c>
      <c r="D312" s="38" t="n">
        <f aca="false">SUMIF('Raw - Sessions'!$R$5:$R$292,A312,'Raw - Sessions'!$E$5:$E$292)</f>
        <v>2.856592</v>
      </c>
      <c r="E312" s="38" t="n">
        <f aca="false">'Raw - Daily Energy'!B307</f>
        <v>13.938</v>
      </c>
      <c r="F312" s="42" t="n">
        <f aca="false">SUMIF('Raw - Sessions'!$R$5:$R$292,A312,'Raw - Sessions'!$P$5:$P$292)</f>
        <v>3.75</v>
      </c>
    </row>
    <row r="313" customFormat="false" ht="15" hidden="false" customHeight="false" outlineLevel="0" collapsed="false">
      <c r="A313" s="54" t="n">
        <f aca="false">'Raw - Daily Energy'!A308</f>
        <v>46153</v>
      </c>
      <c r="B313" s="17" t="n">
        <f aca="false">COUNTIF('Raw - Sessions'!$R$5:$R$292,A313)</f>
        <v>1</v>
      </c>
      <c r="C313" s="39" t="n">
        <f aca="false">SUMIF('Raw - Sessions'!$R$5:$R$292,A313,'Raw - Sessions'!$D$5:$D$292)</f>
        <v>0.608611111111111</v>
      </c>
      <c r="D313" s="39" t="n">
        <f aca="false">SUMIF('Raw - Sessions'!$R$5:$R$292,A313,'Raw - Sessions'!$E$5:$E$292)</f>
        <v>11.0811</v>
      </c>
      <c r="E313" s="39" t="n">
        <f aca="false">'Raw - Daily Energy'!B308</f>
        <v>0</v>
      </c>
      <c r="F313" s="44" t="n">
        <f aca="false">SUMIF('Raw - Sessions'!$R$5:$R$292,A313,'Raw - Sessions'!$P$5:$P$292)</f>
        <v>9.08</v>
      </c>
    </row>
    <row r="314" customFormat="false" ht="15" hidden="false" customHeight="false" outlineLevel="0" collapsed="false">
      <c r="A314" s="53" t="n">
        <f aca="false">'Raw - Daily Energy'!A309</f>
        <v>46154</v>
      </c>
      <c r="B314" s="14" t="n">
        <f aca="false">COUNTIF('Raw - Sessions'!$R$5:$R$292,A314)</f>
        <v>0</v>
      </c>
      <c r="C314" s="38" t="n">
        <f aca="false">SUMIF('Raw - Sessions'!$R$5:$R$292,A314,'Raw - Sessions'!$D$5:$D$292)</f>
        <v>0</v>
      </c>
      <c r="D314" s="38" t="n">
        <f aca="false">SUMIF('Raw - Sessions'!$R$5:$R$292,A314,'Raw - Sessions'!$E$5:$E$292)</f>
        <v>0</v>
      </c>
      <c r="E314" s="38" t="n">
        <f aca="false">'Raw - Daily Energy'!B309</f>
        <v>0</v>
      </c>
      <c r="F314" s="42" t="n">
        <f aca="false">SUMIF('Raw - Sessions'!$R$5:$R$292,A314,'Raw - Sessions'!$P$5:$P$292)</f>
        <v>0</v>
      </c>
    </row>
    <row r="315" customFormat="false" ht="15" hidden="false" customHeight="false" outlineLevel="0" collapsed="false">
      <c r="A315" s="54" t="n">
        <f aca="false">'Raw - Daily Energy'!A310</f>
        <v>46155</v>
      </c>
      <c r="B315" s="17" t="n">
        <f aca="false">COUNTIF('Raw - Sessions'!$R$5:$R$292,A315)</f>
        <v>0</v>
      </c>
      <c r="C315" s="39" t="n">
        <f aca="false">SUMIF('Raw - Sessions'!$R$5:$R$292,A315,'Raw - Sessions'!$D$5:$D$292)</f>
        <v>0</v>
      </c>
      <c r="D315" s="39" t="n">
        <f aca="false">SUMIF('Raw - Sessions'!$R$5:$R$292,A315,'Raw - Sessions'!$E$5:$E$292)</f>
        <v>0</v>
      </c>
      <c r="E315" s="39" t="n">
        <f aca="false">'Raw - Daily Energy'!B310</f>
        <v>0</v>
      </c>
      <c r="F315" s="44" t="n">
        <f aca="false">SUMIF('Raw - Sessions'!$R$5:$R$292,A315,'Raw - Sessions'!$P$5:$P$292)</f>
        <v>0</v>
      </c>
    </row>
    <row r="316" customFormat="false" ht="15" hidden="false" customHeight="false" outlineLevel="0" collapsed="false">
      <c r="A316" s="53" t="n">
        <f aca="false">'Raw - Daily Energy'!A311</f>
        <v>46156</v>
      </c>
      <c r="B316" s="14" t="n">
        <f aca="false">COUNTIF('Raw - Sessions'!$R$5:$R$292,A316)</f>
        <v>1</v>
      </c>
      <c r="C316" s="38" t="n">
        <f aca="false">SUMIF('Raw - Sessions'!$R$5:$R$292,A316,'Raw - Sessions'!$D$5:$D$292)</f>
        <v>2.19527777777778</v>
      </c>
      <c r="D316" s="38" t="n">
        <f aca="false">SUMIF('Raw - Sessions'!$R$5:$R$292,A316,'Raw - Sessions'!$E$5:$E$292)</f>
        <v>81.4171</v>
      </c>
      <c r="E316" s="38" t="n">
        <f aca="false">'Raw - Daily Energy'!B311</f>
        <v>81.417</v>
      </c>
      <c r="F316" s="42" t="n">
        <f aca="false">SUMIF('Raw - Sessions'!$R$5:$R$292,A316,'Raw - Sessions'!$P$5:$P$292)</f>
        <v>54.77</v>
      </c>
    </row>
    <row r="317" customFormat="false" ht="15" hidden="false" customHeight="false" outlineLevel="0" collapsed="false">
      <c r="A317" s="54" t="n">
        <f aca="false">'Raw - Daily Energy'!A312</f>
        <v>46157</v>
      </c>
      <c r="B317" s="17" t="n">
        <f aca="false">COUNTIF('Raw - Sessions'!$R$5:$R$292,A317)</f>
        <v>0</v>
      </c>
      <c r="C317" s="39" t="n">
        <f aca="false">SUMIF('Raw - Sessions'!$R$5:$R$292,A317,'Raw - Sessions'!$D$5:$D$292)</f>
        <v>0</v>
      </c>
      <c r="D317" s="39" t="n">
        <f aca="false">SUMIF('Raw - Sessions'!$R$5:$R$292,A317,'Raw - Sessions'!$E$5:$E$292)</f>
        <v>0</v>
      </c>
      <c r="E317" s="39" t="n">
        <f aca="false">'Raw - Daily Energy'!B312</f>
        <v>0</v>
      </c>
      <c r="F317" s="44" t="n">
        <f aca="false">SUMIF('Raw - Sessions'!$R$5:$R$292,A317,'Raw - Sessions'!$P$5:$P$292)</f>
        <v>0</v>
      </c>
    </row>
    <row r="318" customFormat="false" ht="15" hidden="false" customHeight="false" outlineLevel="0" collapsed="false">
      <c r="A318" s="53" t="n">
        <f aca="false">'Raw - Daily Energy'!A313</f>
        <v>46158</v>
      </c>
      <c r="B318" s="14" t="n">
        <f aca="false">COUNTIF('Raw - Sessions'!$R$5:$R$292,A318)</f>
        <v>0</v>
      </c>
      <c r="C318" s="38" t="n">
        <f aca="false">SUMIF('Raw - Sessions'!$R$5:$R$292,A318,'Raw - Sessions'!$D$5:$D$292)</f>
        <v>0</v>
      </c>
      <c r="D318" s="38" t="n">
        <f aca="false">SUMIF('Raw - Sessions'!$R$5:$R$292,A318,'Raw - Sessions'!$E$5:$E$292)</f>
        <v>0</v>
      </c>
      <c r="E318" s="38" t="n">
        <f aca="false">'Raw - Daily Energy'!B313</f>
        <v>0</v>
      </c>
      <c r="F318" s="42" t="n">
        <f aca="false">SUMIF('Raw - Sessions'!$R$5:$R$292,A318,'Raw - Sessions'!$P$5:$P$292)</f>
        <v>0</v>
      </c>
    </row>
    <row r="319" customFormat="false" ht="15" hidden="false" customHeight="false" outlineLevel="0" collapsed="false">
      <c r="A319" s="54" t="n">
        <f aca="false">'Raw - Daily Energy'!A314</f>
        <v>46159</v>
      </c>
      <c r="B319" s="17" t="n">
        <f aca="false">COUNTIF('Raw - Sessions'!$R$5:$R$292,A319)</f>
        <v>0</v>
      </c>
      <c r="C319" s="39" t="n">
        <f aca="false">SUMIF('Raw - Sessions'!$R$5:$R$292,A319,'Raw - Sessions'!$D$5:$D$292)</f>
        <v>0</v>
      </c>
      <c r="D319" s="39" t="n">
        <f aca="false">SUMIF('Raw - Sessions'!$R$5:$R$292,A319,'Raw - Sessions'!$E$5:$E$292)</f>
        <v>0</v>
      </c>
      <c r="E319" s="39" t="n">
        <f aca="false">'Raw - Daily Energy'!B314</f>
        <v>0</v>
      </c>
      <c r="F319" s="44" t="n">
        <f aca="false">SUMIF('Raw - Sessions'!$R$5:$R$292,A319,'Raw - Sessions'!$P$5:$P$292)</f>
        <v>0</v>
      </c>
    </row>
    <row r="320" customFormat="false" ht="15" hidden="false" customHeight="false" outlineLevel="0" collapsed="false">
      <c r="A320" s="53" t="n">
        <f aca="false">'Raw - Daily Energy'!A315</f>
        <v>46160</v>
      </c>
      <c r="B320" s="14" t="n">
        <f aca="false">COUNTIF('Raw - Sessions'!$R$5:$R$292,A320)</f>
        <v>0</v>
      </c>
      <c r="C320" s="38" t="n">
        <f aca="false">SUMIF('Raw - Sessions'!$R$5:$R$292,A320,'Raw - Sessions'!$D$5:$D$292)</f>
        <v>0</v>
      </c>
      <c r="D320" s="38" t="n">
        <f aca="false">SUMIF('Raw - Sessions'!$R$5:$R$292,A320,'Raw - Sessions'!$E$5:$E$292)</f>
        <v>0</v>
      </c>
      <c r="E320" s="38" t="n">
        <f aca="false">'Raw - Daily Energy'!B315</f>
        <v>33.755</v>
      </c>
      <c r="F320" s="42" t="n">
        <f aca="false">SUMIF('Raw - Sessions'!$R$5:$R$292,A320,'Raw - Sessions'!$P$5:$P$292)</f>
        <v>0</v>
      </c>
    </row>
    <row r="321" customFormat="false" ht="15" hidden="false" customHeight="false" outlineLevel="0" collapsed="false">
      <c r="A321" s="54" t="n">
        <f aca="false">'Raw - Daily Energy'!A316</f>
        <v>46161</v>
      </c>
      <c r="B321" s="17" t="n">
        <f aca="false">COUNTIF('Raw - Sessions'!$R$5:$R$292,A321)</f>
        <v>3</v>
      </c>
      <c r="C321" s="39" t="n">
        <f aca="false">SUMIF('Raw - Sessions'!$R$5:$R$292,A321,'Raw - Sessions'!$D$5:$D$292)</f>
        <v>1.34777777777778</v>
      </c>
      <c r="D321" s="39" t="n">
        <f aca="false">SUMIF('Raw - Sessions'!$R$5:$R$292,A321,'Raw - Sessions'!$E$5:$E$292)</f>
        <v>38.6271</v>
      </c>
      <c r="E321" s="39" t="n">
        <f aca="false">'Raw - Daily Energy'!B316</f>
        <v>4.872</v>
      </c>
      <c r="F321" s="44" t="n">
        <f aca="false">SUMIF('Raw - Sessions'!$R$5:$R$292,A321,'Raw - Sessions'!$P$5:$P$292)</f>
        <v>28.43</v>
      </c>
    </row>
    <row r="322" customFormat="false" ht="15" hidden="false" customHeight="false" outlineLevel="0" collapsed="false">
      <c r="A322" s="53" t="n">
        <f aca="false">'Raw - Daily Energy'!A317</f>
        <v>46162</v>
      </c>
      <c r="B322" s="14" t="n">
        <f aca="false">COUNTIF('Raw - Sessions'!$R$5:$R$292,A322)</f>
        <v>0</v>
      </c>
      <c r="C322" s="38" t="n">
        <f aca="false">SUMIF('Raw - Sessions'!$R$5:$R$292,A322,'Raw - Sessions'!$D$5:$D$292)</f>
        <v>0</v>
      </c>
      <c r="D322" s="38" t="n">
        <f aca="false">SUMIF('Raw - Sessions'!$R$5:$R$292,A322,'Raw - Sessions'!$E$5:$E$292)</f>
        <v>0</v>
      </c>
      <c r="E322" s="38" t="n">
        <f aca="false">'Raw - Daily Energy'!B317</f>
        <v>0</v>
      </c>
      <c r="F322" s="42" t="n">
        <f aca="false">SUMIF('Raw - Sessions'!$R$5:$R$292,A322,'Raw - Sessions'!$P$5:$P$292)</f>
        <v>0</v>
      </c>
    </row>
    <row r="323" customFormat="false" ht="15" hidden="false" customHeight="false" outlineLevel="0" collapsed="false">
      <c r="A323" s="54" t="n">
        <f aca="false">'Raw - Daily Energy'!A318</f>
        <v>46163</v>
      </c>
      <c r="B323" s="17" t="n">
        <f aca="false">COUNTIF('Raw - Sessions'!$R$5:$R$292,A323)</f>
        <v>0</v>
      </c>
      <c r="C323" s="39" t="n">
        <f aca="false">SUMIF('Raw - Sessions'!$R$5:$R$292,A323,'Raw - Sessions'!$D$5:$D$292)</f>
        <v>0</v>
      </c>
      <c r="D323" s="39" t="n">
        <f aca="false">SUMIF('Raw - Sessions'!$R$5:$R$292,A323,'Raw - Sessions'!$E$5:$E$292)</f>
        <v>0</v>
      </c>
      <c r="E323" s="39" t="n">
        <f aca="false">'Raw - Daily Energy'!B318</f>
        <v>0</v>
      </c>
      <c r="F323" s="44" t="n">
        <f aca="false">SUMIF('Raw - Sessions'!$R$5:$R$292,A323,'Raw - Sessions'!$P$5:$P$292)</f>
        <v>0</v>
      </c>
    </row>
    <row r="324" customFormat="false" ht="15" hidden="false" customHeight="false" outlineLevel="0" collapsed="false">
      <c r="A324" s="53" t="n">
        <f aca="false">'Raw - Daily Energy'!A319</f>
        <v>46164</v>
      </c>
      <c r="B324" s="14" t="n">
        <f aca="false">COUNTIF('Raw - Sessions'!$R$5:$R$292,A324)</f>
        <v>3</v>
      </c>
      <c r="C324" s="38" t="n">
        <f aca="false">SUMIF('Raw - Sessions'!$R$5:$R$292,A324,'Raw - Sessions'!$D$5:$D$292)</f>
        <v>3.94777777777778</v>
      </c>
      <c r="D324" s="38" t="n">
        <f aca="false">SUMIF('Raw - Sessions'!$R$5:$R$292,A324,'Raw - Sessions'!$E$5:$E$292)</f>
        <v>96.88177</v>
      </c>
      <c r="E324" s="38" t="n">
        <f aca="false">'Raw - Daily Energy'!B319</f>
        <v>96.882</v>
      </c>
      <c r="F324" s="42" t="n">
        <f aca="false">SUMIF('Raw - Sessions'!$R$5:$R$292,A324,'Raw - Sessions'!$P$5:$P$292)</f>
        <v>74.75</v>
      </c>
    </row>
    <row r="325" customFormat="false" ht="15" hidden="false" customHeight="false" outlineLevel="0" collapsed="false">
      <c r="A325" s="54" t="n">
        <f aca="false">'Raw - Daily Energy'!A320</f>
        <v>46165</v>
      </c>
      <c r="B325" s="17" t="n">
        <f aca="false">COUNTIF('Raw - Sessions'!$R$5:$R$292,A325)</f>
        <v>1</v>
      </c>
      <c r="C325" s="39" t="n">
        <f aca="false">SUMIF('Raw - Sessions'!$R$5:$R$292,A325,'Raw - Sessions'!$D$5:$D$292)</f>
        <v>0.589722222222222</v>
      </c>
      <c r="D325" s="39" t="n">
        <f aca="false">SUMIF('Raw - Sessions'!$R$5:$R$292,A325,'Raw - Sessions'!$E$5:$E$292)</f>
        <v>14.4048</v>
      </c>
      <c r="E325" s="39" t="n">
        <f aca="false">'Raw - Daily Energy'!B320</f>
        <v>14.405</v>
      </c>
      <c r="F325" s="44" t="n">
        <f aca="false">SUMIF('Raw - Sessions'!$R$5:$R$292,A325,'Raw - Sessions'!$P$5:$P$292)</f>
        <v>11.75</v>
      </c>
    </row>
    <row r="326" customFormat="false" ht="15" hidden="false" customHeight="false" outlineLevel="0" collapsed="false">
      <c r="A326" s="53" t="n">
        <f aca="false">'Raw - Daily Energy'!A321</f>
        <v>46166</v>
      </c>
      <c r="B326" s="14" t="n">
        <f aca="false">COUNTIF('Raw - Sessions'!$R$5:$R$292,A326)</f>
        <v>1</v>
      </c>
      <c r="C326" s="38" t="n">
        <f aca="false">SUMIF('Raw - Sessions'!$R$5:$R$292,A326,'Raw - Sessions'!$D$5:$D$292)</f>
        <v>0.447222222222222</v>
      </c>
      <c r="D326" s="38" t="n">
        <f aca="false">SUMIF('Raw - Sessions'!$R$5:$R$292,A326,'Raw - Sessions'!$E$5:$E$292)</f>
        <v>16.1868</v>
      </c>
      <c r="E326" s="38" t="n">
        <f aca="false">'Raw - Daily Energy'!B321</f>
        <v>16.187</v>
      </c>
      <c r="F326" s="42" t="n">
        <f aca="false">SUMIF('Raw - Sessions'!$R$5:$R$292,A326,'Raw - Sessions'!$P$5:$P$292)</f>
        <v>11.44</v>
      </c>
    </row>
    <row r="327" customFormat="false" ht="15" hidden="false" customHeight="false" outlineLevel="0" collapsed="false">
      <c r="A327" s="54" t="n">
        <f aca="false">'Raw - Daily Energy'!A322</f>
        <v>46167</v>
      </c>
      <c r="B327" s="17" t="n">
        <f aca="false">COUNTIF('Raw - Sessions'!$R$5:$R$292,A327)</f>
        <v>2</v>
      </c>
      <c r="C327" s="39" t="n">
        <f aca="false">SUMIF('Raw - Sessions'!$R$5:$R$292,A327,'Raw - Sessions'!$D$5:$D$292)</f>
        <v>1.12194444444444</v>
      </c>
      <c r="D327" s="39" t="n">
        <f aca="false">SUMIF('Raw - Sessions'!$R$5:$R$292,A327,'Raw - Sessions'!$E$5:$E$292)</f>
        <v>37.5135</v>
      </c>
      <c r="E327" s="39" t="n">
        <f aca="false">'Raw - Daily Energy'!B322</f>
        <v>37.514</v>
      </c>
      <c r="F327" s="44" t="n">
        <f aca="false">SUMIF('Raw - Sessions'!$R$5:$R$292,A327,'Raw - Sessions'!$P$5:$P$292)</f>
        <v>26.81</v>
      </c>
    </row>
    <row r="328" customFormat="false" ht="15" hidden="false" customHeight="false" outlineLevel="0" collapsed="false">
      <c r="A328" s="53" t="n">
        <f aca="false">'Raw - Daily Energy'!A323</f>
        <v>46168</v>
      </c>
      <c r="B328" s="14" t="n">
        <f aca="false">COUNTIF('Raw - Sessions'!$R$5:$R$292,A328)</f>
        <v>4</v>
      </c>
      <c r="C328" s="38" t="n">
        <f aca="false">SUMIF('Raw - Sessions'!$R$5:$R$292,A328,'Raw - Sessions'!$D$5:$D$292)</f>
        <v>2.29444444444444</v>
      </c>
      <c r="D328" s="38" t="n">
        <f aca="false">SUMIF('Raw - Sessions'!$R$5:$R$292,A328,'Raw - Sessions'!$E$5:$E$292)</f>
        <v>50.898906</v>
      </c>
      <c r="E328" s="38" t="n">
        <f aca="false">'Raw - Daily Energy'!B323</f>
        <v>50.899</v>
      </c>
      <c r="F328" s="42" t="n">
        <f aca="false">SUMIF('Raw - Sessions'!$R$5:$R$292,A328,'Raw - Sessions'!$P$5:$P$292)</f>
        <v>39.97</v>
      </c>
    </row>
    <row r="329" customFormat="false" ht="15" hidden="false" customHeight="false" outlineLevel="0" collapsed="false">
      <c r="A329" s="54" t="n">
        <f aca="false">'Raw - Daily Energy'!A324</f>
        <v>46169</v>
      </c>
      <c r="B329" s="17" t="n">
        <f aca="false">COUNTIF('Raw - Sessions'!$R$5:$R$292,A329)</f>
        <v>3</v>
      </c>
      <c r="C329" s="39" t="n">
        <f aca="false">SUMIF('Raw - Sessions'!$R$5:$R$292,A329,'Raw - Sessions'!$D$5:$D$292)</f>
        <v>0.966944444444444</v>
      </c>
      <c r="D329" s="39" t="n">
        <f aca="false">SUMIF('Raw - Sessions'!$R$5:$R$292,A329,'Raw - Sessions'!$E$5:$E$292)</f>
        <v>23.6188</v>
      </c>
      <c r="E329" s="39" t="n">
        <f aca="false">'Raw - Daily Energy'!B324</f>
        <v>38.017</v>
      </c>
      <c r="F329" s="44" t="n">
        <f aca="false">SUMIF('Raw - Sessions'!$R$5:$R$292,A329,'Raw - Sessions'!$P$5:$P$292)</f>
        <v>17.56</v>
      </c>
    </row>
    <row r="330" customFormat="false" ht="15" hidden="false" customHeight="false" outlineLevel="0" collapsed="false">
      <c r="A330" s="53" t="n">
        <f aca="false">'Raw - Daily Energy'!A325</f>
        <v>46170</v>
      </c>
      <c r="B330" s="14" t="n">
        <f aca="false">COUNTIF('Raw - Sessions'!$R$5:$R$292,A330)</f>
        <v>4</v>
      </c>
      <c r="C330" s="38" t="n">
        <f aca="false">SUMIF('Raw - Sessions'!$R$5:$R$292,A330,'Raw - Sessions'!$D$5:$D$292)</f>
        <v>2.30166666666667</v>
      </c>
      <c r="D330" s="38" t="n">
        <f aca="false">SUMIF('Raw - Sessions'!$R$5:$R$292,A330,'Raw - Sessions'!$E$5:$E$292)</f>
        <v>58.812487</v>
      </c>
      <c r="E330" s="38" t="n">
        <f aca="false">'Raw - Daily Energy'!B325</f>
        <v>44.415</v>
      </c>
      <c r="F330" s="42" t="n">
        <f aca="false">SUMIF('Raw - Sessions'!$R$5:$R$292,A330,'Raw - Sessions'!$P$5:$P$292)</f>
        <v>46.22</v>
      </c>
    </row>
    <row r="331" customFormat="false" ht="15" hidden="false" customHeight="false" outlineLevel="0" collapsed="false">
      <c r="A331" s="54" t="n">
        <f aca="false">'Raw - Daily Energy'!A326</f>
        <v>46171</v>
      </c>
      <c r="B331" s="17" t="n">
        <f aca="false">COUNTIF('Raw - Sessions'!$R$5:$R$292,A331)</f>
        <v>2</v>
      </c>
      <c r="C331" s="39" t="n">
        <f aca="false">SUMIF('Raw - Sessions'!$R$5:$R$292,A331,'Raw - Sessions'!$D$5:$D$292)</f>
        <v>2.8175</v>
      </c>
      <c r="D331" s="39" t="n">
        <f aca="false">SUMIF('Raw - Sessions'!$R$5:$R$292,A331,'Raw - Sessions'!$E$5:$E$292)</f>
        <v>20.088461</v>
      </c>
      <c r="E331" s="39" t="n">
        <f aca="false">'Raw - Daily Energy'!B326</f>
        <v>20.088</v>
      </c>
      <c r="F331" s="44" t="n">
        <f aca="false">SUMIF('Raw - Sessions'!$R$5:$R$292,A331,'Raw - Sessions'!$P$5:$P$292)</f>
        <v>25.9</v>
      </c>
    </row>
    <row r="332" customFormat="false" ht="15" hidden="false" customHeight="false" outlineLevel="0" collapsed="false">
      <c r="A332" s="53" t="n">
        <f aca="false">'Raw - Daily Energy'!A327</f>
        <v>46172</v>
      </c>
      <c r="B332" s="14" t="n">
        <f aca="false">COUNTIF('Raw - Sessions'!$R$5:$R$292,A332)</f>
        <v>0</v>
      </c>
      <c r="C332" s="38" t="n">
        <f aca="false">SUMIF('Raw - Sessions'!$R$5:$R$292,A332,'Raw - Sessions'!$D$5:$D$292)</f>
        <v>0</v>
      </c>
      <c r="D332" s="38" t="n">
        <f aca="false">SUMIF('Raw - Sessions'!$R$5:$R$292,A332,'Raw - Sessions'!$E$5:$E$292)</f>
        <v>0</v>
      </c>
      <c r="E332" s="38" t="n">
        <f aca="false">'Raw - Daily Energy'!B327</f>
        <v>0</v>
      </c>
      <c r="F332" s="42" t="n">
        <f aca="false">SUMIF('Raw - Sessions'!$R$5:$R$292,A332,'Raw - Sessions'!$P$5:$P$292)</f>
        <v>0</v>
      </c>
    </row>
    <row r="333" customFormat="false" ht="15" hidden="false" customHeight="false" outlineLevel="0" collapsed="false">
      <c r="A333" s="54" t="n">
        <f aca="false">'Raw - Daily Energy'!A328</f>
        <v>46173</v>
      </c>
      <c r="B333" s="17" t="n">
        <f aca="false">COUNTIF('Raw - Sessions'!$R$5:$R$292,A333)</f>
        <v>0</v>
      </c>
      <c r="C333" s="39" t="n">
        <f aca="false">SUMIF('Raw - Sessions'!$R$5:$R$292,A333,'Raw - Sessions'!$D$5:$D$292)</f>
        <v>0</v>
      </c>
      <c r="D333" s="39" t="n">
        <f aca="false">SUMIF('Raw - Sessions'!$R$5:$R$292,A333,'Raw - Sessions'!$E$5:$E$292)</f>
        <v>0</v>
      </c>
      <c r="E333" s="39" t="n">
        <f aca="false">'Raw - Daily Energy'!B328</f>
        <v>0</v>
      </c>
      <c r="F333" s="44" t="n">
        <f aca="false">SUMIF('Raw - Sessions'!$R$5:$R$292,A333,'Raw - Sessions'!$P$5:$P$292)</f>
        <v>0</v>
      </c>
    </row>
    <row r="334" customFormat="false" ht="15" hidden="false" customHeight="false" outlineLevel="0" collapsed="false">
      <c r="A334" s="53" t="n">
        <f aca="false">'Raw - Daily Energy'!A329</f>
        <v>46174</v>
      </c>
      <c r="B334" s="14" t="n">
        <f aca="false">COUNTIF('Raw - Sessions'!$R$5:$R$292,A334)</f>
        <v>0</v>
      </c>
      <c r="C334" s="38" t="n">
        <f aca="false">SUMIF('Raw - Sessions'!$R$5:$R$292,A334,'Raw - Sessions'!$D$5:$D$292)</f>
        <v>0</v>
      </c>
      <c r="D334" s="38" t="n">
        <f aca="false">SUMIF('Raw - Sessions'!$R$5:$R$292,A334,'Raw - Sessions'!$E$5:$E$292)</f>
        <v>0</v>
      </c>
      <c r="E334" s="38" t="n">
        <f aca="false">'Raw - Daily Energy'!B329</f>
        <v>0</v>
      </c>
      <c r="F334" s="42" t="n">
        <f aca="false">SUMIF('Raw - Sessions'!$R$5:$R$292,A334,'Raw - Sessions'!$P$5:$P$292)</f>
        <v>0</v>
      </c>
    </row>
    <row r="335" customFormat="false" ht="15" hidden="false" customHeight="false" outlineLevel="0" collapsed="false">
      <c r="A335" s="54" t="n">
        <f aca="false">'Raw - Daily Energy'!A330</f>
        <v>46175</v>
      </c>
      <c r="B335" s="17" t="n">
        <f aca="false">COUNTIF('Raw - Sessions'!$R$5:$R$292,A335)</f>
        <v>2</v>
      </c>
      <c r="C335" s="39" t="n">
        <f aca="false">SUMIF('Raw - Sessions'!$R$5:$R$292,A335,'Raw - Sessions'!$D$5:$D$292)</f>
        <v>0.0333333333333333</v>
      </c>
      <c r="D335" s="39" t="n">
        <f aca="false">SUMIF('Raw - Sessions'!$R$5:$R$292,A335,'Raw - Sessions'!$E$5:$E$292)</f>
        <v>0</v>
      </c>
      <c r="E335" s="39" t="n">
        <f aca="false">'Raw - Daily Energy'!B330</f>
        <v>0</v>
      </c>
      <c r="F335" s="44" t="n">
        <f aca="false">SUMIF('Raw - Sessions'!$R$5:$R$292,A335,'Raw - Sessions'!$P$5:$P$292)</f>
        <v>0</v>
      </c>
    </row>
    <row r="336" customFormat="false" ht="15" hidden="false" customHeight="false" outlineLevel="0" collapsed="false">
      <c r="A336" s="53" t="n">
        <f aca="false">'Raw - Daily Energy'!A331</f>
        <v>46176</v>
      </c>
      <c r="B336" s="14" t="n">
        <f aca="false">COUNTIF('Raw - Sessions'!$R$5:$R$292,A336)</f>
        <v>2</v>
      </c>
      <c r="C336" s="38" t="n">
        <f aca="false">SUMIF('Raw - Sessions'!$R$5:$R$292,A336,'Raw - Sessions'!$D$5:$D$292)</f>
        <v>0.928611111111111</v>
      </c>
      <c r="D336" s="38" t="n">
        <f aca="false">SUMIF('Raw - Sessions'!$R$5:$R$292,A336,'Raw - Sessions'!$E$5:$E$292)</f>
        <v>31.9954</v>
      </c>
      <c r="E336" s="38" t="n">
        <f aca="false">'Raw - Daily Energy'!B331</f>
        <v>57.645</v>
      </c>
      <c r="F336" s="42" t="n">
        <f aca="false">SUMIF('Raw - Sessions'!$R$5:$R$292,A336,'Raw - Sessions'!$P$5:$P$292)</f>
        <v>23.24</v>
      </c>
    </row>
    <row r="337" customFormat="false" ht="15" hidden="false" customHeight="false" outlineLevel="0" collapsed="false">
      <c r="A337" s="54" t="n">
        <f aca="false">'Raw - Daily Energy'!A332</f>
        <v>46177</v>
      </c>
      <c r="B337" s="17" t="n">
        <f aca="false">COUNTIF('Raw - Sessions'!$R$5:$R$292,A337)</f>
        <v>2</v>
      </c>
      <c r="C337" s="39" t="n">
        <f aca="false">SUMIF('Raw - Sessions'!$R$5:$R$292,A337,'Raw - Sessions'!$D$5:$D$292)</f>
        <v>1.17888888888889</v>
      </c>
      <c r="D337" s="39" t="n">
        <f aca="false">SUMIF('Raw - Sessions'!$R$5:$R$292,A337,'Raw - Sessions'!$E$5:$E$292)</f>
        <v>25.6493</v>
      </c>
      <c r="E337" s="39" t="n">
        <f aca="false">'Raw - Daily Energy'!B332</f>
        <v>0</v>
      </c>
      <c r="F337" s="44" t="n">
        <f aca="false">SUMIF('Raw - Sessions'!$R$5:$R$292,A337,'Raw - Sessions'!$P$5:$P$292)</f>
        <v>20.15</v>
      </c>
    </row>
    <row r="338" customFormat="false" ht="15" hidden="false" customHeight="false" outlineLevel="0" collapsed="false">
      <c r="A338" s="53" t="n">
        <f aca="false">'Raw - Daily Energy'!A333</f>
        <v>46178</v>
      </c>
      <c r="B338" s="14" t="n">
        <f aca="false">COUNTIF('Raw - Sessions'!$R$5:$R$292,A338)</f>
        <v>2</v>
      </c>
      <c r="C338" s="38" t="n">
        <f aca="false">SUMIF('Raw - Sessions'!$R$5:$R$292,A338,'Raw - Sessions'!$D$5:$D$292)</f>
        <v>0.0072222222222221</v>
      </c>
      <c r="D338" s="38" t="n">
        <f aca="false">SUMIF('Raw - Sessions'!$R$5:$R$292,A338,'Raw - Sessions'!$E$5:$E$292)</f>
        <v>0</v>
      </c>
      <c r="E338" s="38" t="n">
        <f aca="false">'Raw - Daily Energy'!B333</f>
        <v>28.49</v>
      </c>
      <c r="F338" s="42" t="n">
        <f aca="false">SUMIF('Raw - Sessions'!$R$5:$R$292,A338,'Raw - Sessions'!$P$5:$P$292)</f>
        <v>0</v>
      </c>
    </row>
    <row r="339" customFormat="false" ht="15" hidden="false" customHeight="false" outlineLevel="0" collapsed="false">
      <c r="A339" s="54" t="n">
        <f aca="false">'Raw - Daily Energy'!A334</f>
        <v>46179</v>
      </c>
      <c r="B339" s="17" t="n">
        <f aca="false">COUNTIF('Raw - Sessions'!$R$5:$R$292,A339)</f>
        <v>2</v>
      </c>
      <c r="C339" s="39" t="n">
        <f aca="false">SUMIF('Raw - Sessions'!$R$5:$R$292,A339,'Raw - Sessions'!$D$5:$D$292)</f>
        <v>0.824444444444444</v>
      </c>
      <c r="D339" s="39" t="n">
        <f aca="false">SUMIF('Raw - Sessions'!$R$5:$R$292,A339,'Raw - Sessions'!$E$5:$E$292)</f>
        <v>28.4904</v>
      </c>
      <c r="E339" s="39" t="n">
        <f aca="false">'Raw - Daily Energy'!B334</f>
        <v>0</v>
      </c>
      <c r="F339" s="44" t="n">
        <f aca="false">SUMIF('Raw - Sessions'!$R$5:$R$292,A339,'Raw - Sessions'!$P$5:$P$292)</f>
        <v>19.48</v>
      </c>
    </row>
    <row r="340" customFormat="false" ht="15" hidden="false" customHeight="false" outlineLevel="0" collapsed="false">
      <c r="A340" s="53" t="n">
        <f aca="false">'Raw - Daily Energy'!A335</f>
        <v>46180</v>
      </c>
      <c r="B340" s="14" t="n">
        <f aca="false">COUNTIF('Raw - Sessions'!$R$5:$R$292,A340)</f>
        <v>3</v>
      </c>
      <c r="C340" s="38" t="n">
        <f aca="false">SUMIF('Raw - Sessions'!$R$5:$R$292,A340,'Raw - Sessions'!$D$5:$D$292)</f>
        <v>1.54333333333333</v>
      </c>
      <c r="D340" s="38" t="n">
        <f aca="false">SUMIF('Raw - Sessions'!$R$5:$R$292,A340,'Raw - Sessions'!$E$5:$E$292)</f>
        <v>55.3976</v>
      </c>
      <c r="E340" s="38" t="n">
        <f aca="false">'Raw - Daily Energy'!B335</f>
        <v>55.398</v>
      </c>
      <c r="F340" s="42" t="n">
        <f aca="false">SUMIF('Raw - Sessions'!$R$5:$R$292,A340,'Raw - Sessions'!$P$5:$P$292)</f>
        <v>39.01</v>
      </c>
    </row>
    <row r="341" customFormat="false" ht="15" hidden="false" customHeight="false" outlineLevel="0" collapsed="false">
      <c r="A341" s="54" t="n">
        <f aca="false">'Raw - Daily Energy'!A336</f>
        <v>46181</v>
      </c>
      <c r="B341" s="17" t="n">
        <f aca="false">COUNTIF('Raw - Sessions'!$R$5:$R$292,A341)</f>
        <v>0</v>
      </c>
      <c r="C341" s="39" t="n">
        <f aca="false">SUMIF('Raw - Sessions'!$R$5:$R$292,A341,'Raw - Sessions'!$D$5:$D$292)</f>
        <v>0</v>
      </c>
      <c r="D341" s="39" t="n">
        <f aca="false">SUMIF('Raw - Sessions'!$R$5:$R$292,A341,'Raw - Sessions'!$E$5:$E$292)</f>
        <v>0</v>
      </c>
      <c r="E341" s="39" t="n">
        <f aca="false">'Raw - Daily Energy'!B336</f>
        <v>0</v>
      </c>
      <c r="F341" s="44" t="n">
        <f aca="false">SUMIF('Raw - Sessions'!$R$5:$R$292,A341,'Raw - Sessions'!$P$5:$P$292)</f>
        <v>0</v>
      </c>
    </row>
    <row r="342" customFormat="false" ht="15" hidden="false" customHeight="false" outlineLevel="0" collapsed="false">
      <c r="A342" s="53" t="n">
        <f aca="false">'Raw - Daily Energy'!A337</f>
        <v>46182</v>
      </c>
      <c r="B342" s="14" t="n">
        <f aca="false">COUNTIF('Raw - Sessions'!$R$5:$R$292,A342)</f>
        <v>2</v>
      </c>
      <c r="C342" s="38" t="n">
        <f aca="false">SUMIF('Raw - Sessions'!$R$5:$R$292,A342,'Raw - Sessions'!$D$5:$D$292)</f>
        <v>1.25666666666667</v>
      </c>
      <c r="D342" s="38" t="n">
        <f aca="false">SUMIF('Raw - Sessions'!$R$5:$R$292,A342,'Raw - Sessions'!$E$5:$E$292)</f>
        <v>40.2134</v>
      </c>
      <c r="E342" s="38" t="n">
        <f aca="false">'Raw - Daily Energy'!B337</f>
        <v>40.213</v>
      </c>
      <c r="F342" s="42" t="n">
        <f aca="false">SUMIF('Raw - Sessions'!$R$5:$R$292,A342,'Raw - Sessions'!$P$5:$P$292)</f>
        <v>27.96</v>
      </c>
    </row>
    <row r="343" customFormat="false" ht="15" hidden="false" customHeight="false" outlineLevel="0" collapsed="false">
      <c r="A343" s="54" t="n">
        <f aca="false">'Raw - Daily Energy'!A338</f>
        <v>46183</v>
      </c>
      <c r="B343" s="17" t="n">
        <f aca="false">COUNTIF('Raw - Sessions'!$R$5:$R$292,A343)</f>
        <v>0</v>
      </c>
      <c r="C343" s="39" t="n">
        <f aca="false">SUMIF('Raw - Sessions'!$R$5:$R$292,A343,'Raw - Sessions'!$D$5:$D$292)</f>
        <v>0</v>
      </c>
      <c r="D343" s="39" t="n">
        <f aca="false">SUMIF('Raw - Sessions'!$R$5:$R$292,A343,'Raw - Sessions'!$E$5:$E$292)</f>
        <v>0</v>
      </c>
      <c r="E343" s="39" t="n">
        <f aca="false">'Raw - Daily Energy'!B338</f>
        <v>0</v>
      </c>
      <c r="F343" s="44" t="n">
        <f aca="false">SUMIF('Raw - Sessions'!$R$5:$R$292,A343,'Raw - Sessions'!$P$5:$P$292)</f>
        <v>0</v>
      </c>
    </row>
    <row r="344" customFormat="false" ht="15" hidden="false" customHeight="false" outlineLevel="0" collapsed="false">
      <c r="A344" s="53" t="n">
        <f aca="false">'Raw - Daily Energy'!A339</f>
        <v>46184</v>
      </c>
      <c r="B344" s="14" t="n">
        <f aca="false">COUNTIF('Raw - Sessions'!$R$5:$R$292,A344)</f>
        <v>4</v>
      </c>
      <c r="C344" s="38" t="n">
        <f aca="false">SUMIF('Raw - Sessions'!$R$5:$R$292,A344,'Raw - Sessions'!$D$5:$D$292)</f>
        <v>1.50694444444444</v>
      </c>
      <c r="D344" s="38" t="n">
        <f aca="false">SUMIF('Raw - Sessions'!$R$5:$R$292,A344,'Raw - Sessions'!$E$5:$E$292)</f>
        <v>50.39</v>
      </c>
      <c r="E344" s="38" t="n">
        <f aca="false">'Raw - Daily Energy'!B339</f>
        <v>50.39</v>
      </c>
      <c r="F344" s="42" t="n">
        <f aca="false">SUMIF('Raw - Sessions'!$R$5:$R$292,A344,'Raw - Sessions'!$P$5:$P$292)</f>
        <v>36.58</v>
      </c>
    </row>
    <row r="345" customFormat="false" ht="15" hidden="false" customHeight="false" outlineLevel="0" collapsed="false">
      <c r="A345" s="54" t="n">
        <f aca="false">'Raw - Daily Energy'!A340</f>
        <v>46185</v>
      </c>
      <c r="B345" s="17" t="n">
        <f aca="false">COUNTIF('Raw - Sessions'!$R$5:$R$292,A345)</f>
        <v>2</v>
      </c>
      <c r="C345" s="39" t="n">
        <f aca="false">SUMIF('Raw - Sessions'!$R$5:$R$292,A345,'Raw - Sessions'!$D$5:$D$292)</f>
        <v>1.71888888888889</v>
      </c>
      <c r="D345" s="39" t="n">
        <f aca="false">SUMIF('Raw - Sessions'!$R$5:$R$292,A345,'Raw - Sessions'!$E$5:$E$292)</f>
        <v>58.4114</v>
      </c>
      <c r="E345" s="39" t="n">
        <f aca="false">'Raw - Daily Energy'!B340</f>
        <v>58.411</v>
      </c>
      <c r="F345" s="44" t="n">
        <f aca="false">SUMIF('Raw - Sessions'!$R$5:$R$292,A345,'Raw - Sessions'!$P$5:$P$292)</f>
        <v>41</v>
      </c>
    </row>
    <row r="346" customFormat="false" ht="15" hidden="false" customHeight="false" outlineLevel="0" collapsed="false">
      <c r="A346" s="53" t="n">
        <f aca="false">'Raw - Daily Energy'!A341</f>
        <v>46186</v>
      </c>
      <c r="B346" s="14" t="n">
        <f aca="false">COUNTIF('Raw - Sessions'!$R$5:$R$292,A346)</f>
        <v>1</v>
      </c>
      <c r="C346" s="38" t="n">
        <f aca="false">SUMIF('Raw - Sessions'!$R$5:$R$292,A346,'Raw - Sessions'!$D$5:$D$292)</f>
        <v>0.723333333333333</v>
      </c>
      <c r="D346" s="38" t="n">
        <f aca="false">SUMIF('Raw - Sessions'!$R$5:$R$292,A346,'Raw - Sessions'!$E$5:$E$292)</f>
        <v>27.5466</v>
      </c>
      <c r="E346" s="38" t="n">
        <f aca="false">'Raw - Daily Energy'!B341</f>
        <v>27.547</v>
      </c>
      <c r="F346" s="42" t="n">
        <f aca="false">SUMIF('Raw - Sessions'!$R$5:$R$292,A346,'Raw - Sessions'!$P$5:$P$292)</f>
        <v>18.42</v>
      </c>
    </row>
    <row r="347" customFormat="false" ht="15" hidden="false" customHeight="false" outlineLevel="0" collapsed="false">
      <c r="A347" s="54" t="n">
        <f aca="false">'Raw - Daily Energy'!A342</f>
        <v>46187</v>
      </c>
      <c r="B347" s="17" t="n">
        <f aca="false">COUNTIF('Raw - Sessions'!$R$5:$R$292,A347)</f>
        <v>2</v>
      </c>
      <c r="C347" s="39" t="n">
        <f aca="false">SUMIF('Raw - Sessions'!$R$5:$R$292,A347,'Raw - Sessions'!$D$5:$D$292)</f>
        <v>0.868611111111111</v>
      </c>
      <c r="D347" s="39" t="n">
        <f aca="false">SUMIF('Raw - Sessions'!$R$5:$R$292,A347,'Raw - Sessions'!$E$5:$E$292)</f>
        <v>16.1638</v>
      </c>
      <c r="E347" s="39" t="n">
        <f aca="false">'Raw - Daily Energy'!B342</f>
        <v>16.164</v>
      </c>
      <c r="F347" s="44" t="n">
        <f aca="false">SUMIF('Raw - Sessions'!$R$5:$R$292,A347,'Raw - Sessions'!$P$5:$P$292)</f>
        <v>14.03</v>
      </c>
    </row>
    <row r="348" customFormat="false" ht="15" hidden="false" customHeight="false" outlineLevel="0" collapsed="false">
      <c r="A348" s="53" t="n">
        <f aca="false">'Raw - Daily Energy'!A343</f>
        <v>46188</v>
      </c>
      <c r="B348" s="14" t="n">
        <f aca="false">COUNTIF('Raw - Sessions'!$R$5:$R$292,A348)</f>
        <v>1</v>
      </c>
      <c r="C348" s="38" t="n">
        <f aca="false">SUMIF('Raw - Sessions'!$R$5:$R$292,A348,'Raw - Sessions'!$D$5:$D$292)</f>
        <v>1.57055555555556</v>
      </c>
      <c r="D348" s="38" t="n">
        <f aca="false">SUMIF('Raw - Sessions'!$R$5:$R$292,A348,'Raw - Sessions'!$E$5:$E$292)</f>
        <v>46.2622</v>
      </c>
      <c r="E348" s="38" t="n">
        <f aca="false">'Raw - Daily Energy'!B343</f>
        <v>46.262</v>
      </c>
      <c r="F348" s="42" t="n">
        <f aca="false">SUMIF('Raw - Sessions'!$R$5:$R$292,A348,'Raw - Sessions'!$P$5:$P$292)</f>
        <v>33.8</v>
      </c>
    </row>
    <row r="349" customFormat="false" ht="15" hidden="false" customHeight="false" outlineLevel="0" collapsed="false">
      <c r="A349" s="54" t="n">
        <f aca="false">'Raw - Daily Energy'!A344</f>
        <v>46189</v>
      </c>
      <c r="B349" s="17" t="n">
        <f aca="false">COUNTIF('Raw - Sessions'!$R$5:$R$292,A349)</f>
        <v>0</v>
      </c>
      <c r="C349" s="39" t="n">
        <f aca="false">SUMIF('Raw - Sessions'!$R$5:$R$292,A349,'Raw - Sessions'!$D$5:$D$292)</f>
        <v>0</v>
      </c>
      <c r="D349" s="39" t="n">
        <f aca="false">SUMIF('Raw - Sessions'!$R$5:$R$292,A349,'Raw - Sessions'!$E$5:$E$292)</f>
        <v>0</v>
      </c>
      <c r="E349" s="39" t="n">
        <f aca="false">'Raw - Daily Energy'!B344</f>
        <v>0</v>
      </c>
      <c r="F349" s="44" t="n">
        <f aca="false">SUMIF('Raw - Sessions'!$R$5:$R$292,A349,'Raw - Sessions'!$P$5:$P$292)</f>
        <v>0</v>
      </c>
    </row>
    <row r="350" customFormat="false" ht="15" hidden="false" customHeight="false" outlineLevel="0" collapsed="false">
      <c r="A350" s="53" t="n">
        <f aca="false">'Raw - Daily Energy'!A345</f>
        <v>46190</v>
      </c>
      <c r="B350" s="14" t="n">
        <f aca="false">COUNTIF('Raw - Sessions'!$R$5:$R$292,A350)</f>
        <v>0</v>
      </c>
      <c r="C350" s="38" t="n">
        <f aca="false">SUMIF('Raw - Sessions'!$R$5:$R$292,A350,'Raw - Sessions'!$D$5:$D$292)</f>
        <v>0</v>
      </c>
      <c r="D350" s="38" t="n">
        <f aca="false">SUMIF('Raw - Sessions'!$R$5:$R$292,A350,'Raw - Sessions'!$E$5:$E$292)</f>
        <v>0</v>
      </c>
      <c r="E350" s="38" t="n">
        <f aca="false">'Raw - Daily Energy'!B345</f>
        <v>0</v>
      </c>
      <c r="F350" s="42" t="n">
        <f aca="false">SUMIF('Raw - Sessions'!$R$5:$R$292,A350,'Raw - Sessions'!$P$5:$P$292)</f>
        <v>0</v>
      </c>
    </row>
    <row r="351" customFormat="false" ht="15" hidden="false" customHeight="false" outlineLevel="0" collapsed="false">
      <c r="A351" s="54" t="n">
        <f aca="false">'Raw - Daily Energy'!A346</f>
        <v>46191</v>
      </c>
      <c r="B351" s="17" t="n">
        <f aca="false">COUNTIF('Raw - Sessions'!$R$5:$R$292,A351)</f>
        <v>2</v>
      </c>
      <c r="C351" s="39" t="n">
        <f aca="false">SUMIF('Raw - Sessions'!$R$5:$R$292,A351,'Raw - Sessions'!$D$5:$D$292)</f>
        <v>1.56583333333333</v>
      </c>
      <c r="D351" s="39" t="n">
        <f aca="false">SUMIF('Raw - Sessions'!$R$5:$R$292,A351,'Raw - Sessions'!$E$5:$E$292)</f>
        <v>60.6686</v>
      </c>
      <c r="E351" s="39" t="n">
        <f aca="false">'Raw - Daily Energy'!B346</f>
        <v>60.669</v>
      </c>
      <c r="F351" s="44" t="n">
        <f aca="false">SUMIF('Raw - Sessions'!$R$5:$R$292,A351,'Raw - Sessions'!$P$5:$P$292)</f>
        <v>41.37</v>
      </c>
    </row>
    <row r="352" customFormat="false" ht="15" hidden="false" customHeight="false" outlineLevel="0" collapsed="false">
      <c r="A352" s="53" t="n">
        <f aca="false">'Raw - Daily Energy'!A347</f>
        <v>46192</v>
      </c>
      <c r="B352" s="14" t="n">
        <f aca="false">COUNTIF('Raw - Sessions'!$R$5:$R$292,A352)</f>
        <v>0</v>
      </c>
      <c r="C352" s="38" t="n">
        <f aca="false">SUMIF('Raw - Sessions'!$R$5:$R$292,A352,'Raw - Sessions'!$D$5:$D$292)</f>
        <v>0</v>
      </c>
      <c r="D352" s="38" t="n">
        <f aca="false">SUMIF('Raw - Sessions'!$R$5:$R$292,A352,'Raw - Sessions'!$E$5:$E$292)</f>
        <v>0</v>
      </c>
      <c r="E352" s="38" t="n">
        <f aca="false">'Raw - Daily Energy'!B347</f>
        <v>0</v>
      </c>
      <c r="F352" s="42" t="n">
        <f aca="false">SUMIF('Raw - Sessions'!$R$5:$R$292,A352,'Raw - Sessions'!$P$5:$P$292)</f>
        <v>0</v>
      </c>
    </row>
    <row r="353" customFormat="false" ht="15" hidden="false" customHeight="false" outlineLevel="0" collapsed="false">
      <c r="A353" s="54" t="n">
        <f aca="false">'Raw - Daily Energy'!A348</f>
        <v>46193</v>
      </c>
      <c r="B353" s="17" t="n">
        <f aca="false">COUNTIF('Raw - Sessions'!$R$5:$R$292,A353)</f>
        <v>0</v>
      </c>
      <c r="C353" s="39" t="n">
        <f aca="false">SUMIF('Raw - Sessions'!$R$5:$R$292,A353,'Raw - Sessions'!$D$5:$D$292)</f>
        <v>0</v>
      </c>
      <c r="D353" s="39" t="n">
        <f aca="false">SUMIF('Raw - Sessions'!$R$5:$R$292,A353,'Raw - Sessions'!$E$5:$E$292)</f>
        <v>0</v>
      </c>
      <c r="E353" s="39" t="n">
        <f aca="false">'Raw - Daily Energy'!B348</f>
        <v>0</v>
      </c>
      <c r="F353" s="44" t="n">
        <f aca="false">SUMIF('Raw - Sessions'!$R$5:$R$292,A353,'Raw - Sessions'!$P$5:$P$292)</f>
        <v>0</v>
      </c>
    </row>
    <row r="354" customFormat="false" ht="15" hidden="false" customHeight="false" outlineLevel="0" collapsed="false">
      <c r="A354" s="53" t="n">
        <f aca="false">'Raw - Daily Energy'!A349</f>
        <v>46194</v>
      </c>
      <c r="B354" s="14" t="n">
        <f aca="false">COUNTIF('Raw - Sessions'!$R$5:$R$292,A354)</f>
        <v>0</v>
      </c>
      <c r="C354" s="38" t="n">
        <f aca="false">SUMIF('Raw - Sessions'!$R$5:$R$292,A354,'Raw - Sessions'!$D$5:$D$292)</f>
        <v>0</v>
      </c>
      <c r="D354" s="38" t="n">
        <f aca="false">SUMIF('Raw - Sessions'!$R$5:$R$292,A354,'Raw - Sessions'!$E$5:$E$292)</f>
        <v>0</v>
      </c>
      <c r="E354" s="38" t="n">
        <f aca="false">'Raw - Daily Energy'!B349</f>
        <v>0</v>
      </c>
      <c r="F354" s="42" t="n">
        <f aca="false">SUMIF('Raw - Sessions'!$R$5:$R$292,A354,'Raw - Sessions'!$P$5:$P$292)</f>
        <v>0</v>
      </c>
    </row>
    <row r="355" customFormat="false" ht="15" hidden="false" customHeight="false" outlineLevel="0" collapsed="false">
      <c r="A355" s="54" t="n">
        <f aca="false">'Raw - Daily Energy'!A350</f>
        <v>46195</v>
      </c>
      <c r="B355" s="17" t="n">
        <f aca="false">COUNTIF('Raw - Sessions'!$R$5:$R$292,A355)</f>
        <v>2</v>
      </c>
      <c r="C355" s="39" t="n">
        <f aca="false">SUMIF('Raw - Sessions'!$R$5:$R$292,A355,'Raw - Sessions'!$D$5:$D$292)</f>
        <v>1.37944444444444</v>
      </c>
      <c r="D355" s="39" t="n">
        <f aca="false">SUMIF('Raw - Sessions'!$R$5:$R$292,A355,'Raw - Sessions'!$E$5:$E$292)</f>
        <v>47.8904</v>
      </c>
      <c r="E355" s="39" t="n">
        <f aca="false">'Raw - Daily Energy'!B350</f>
        <v>47.89</v>
      </c>
      <c r="F355" s="44" t="n">
        <f aca="false">SUMIF('Raw - Sessions'!$R$5:$R$292,A355,'Raw - Sessions'!$P$5:$P$292)</f>
        <v>33.14</v>
      </c>
    </row>
    <row r="356" customFormat="false" ht="15" hidden="false" customHeight="false" outlineLevel="0" collapsed="false">
      <c r="A356" s="53" t="n">
        <f aca="false">'Raw - Daily Energy'!A351</f>
        <v>46196</v>
      </c>
      <c r="B356" s="14" t="n">
        <f aca="false">COUNTIF('Raw - Sessions'!$R$5:$R$292,A356)</f>
        <v>1</v>
      </c>
      <c r="C356" s="38" t="n">
        <f aca="false">SUMIF('Raw - Sessions'!$R$5:$R$292,A356,'Raw - Sessions'!$D$5:$D$292)</f>
        <v>0.834444444444444</v>
      </c>
      <c r="D356" s="38" t="n">
        <f aca="false">SUMIF('Raw - Sessions'!$R$5:$R$292,A356,'Raw - Sessions'!$E$5:$E$292)</f>
        <v>27.8244</v>
      </c>
      <c r="E356" s="38" t="n">
        <f aca="false">'Raw - Daily Energy'!B351</f>
        <v>27.824</v>
      </c>
      <c r="F356" s="42" t="n">
        <f aca="false">SUMIF('Raw - Sessions'!$R$5:$R$292,A356,'Raw - Sessions'!$P$5:$P$292)</f>
        <v>19.14</v>
      </c>
    </row>
    <row r="357" customFormat="false" ht="15" hidden="false" customHeight="false" outlineLevel="0" collapsed="false">
      <c r="A357" s="54" t="n">
        <f aca="false">'Raw - Daily Energy'!A352</f>
        <v>46197</v>
      </c>
      <c r="B357" s="17" t="n">
        <f aca="false">COUNTIF('Raw - Sessions'!$R$5:$R$292,A357)</f>
        <v>0</v>
      </c>
      <c r="C357" s="39" t="n">
        <f aca="false">SUMIF('Raw - Sessions'!$R$5:$R$292,A357,'Raw - Sessions'!$D$5:$D$292)</f>
        <v>0</v>
      </c>
      <c r="D357" s="39" t="n">
        <f aca="false">SUMIF('Raw - Sessions'!$R$5:$R$292,A357,'Raw - Sessions'!$E$5:$E$292)</f>
        <v>0</v>
      </c>
      <c r="E357" s="39" t="n">
        <f aca="false">'Raw - Daily Energy'!B352</f>
        <v>0</v>
      </c>
      <c r="F357" s="44" t="n">
        <f aca="false">SUMIF('Raw - Sessions'!$R$5:$R$292,A357,'Raw - Sessions'!$P$5:$P$292)</f>
        <v>0</v>
      </c>
    </row>
    <row r="358" customFormat="false" ht="15" hidden="false" customHeight="false" outlineLevel="0" collapsed="false">
      <c r="A358" s="53" t="n">
        <f aca="false">'Raw - Daily Energy'!A353</f>
        <v>46198</v>
      </c>
      <c r="B358" s="14" t="n">
        <f aca="false">COUNTIF('Raw - Sessions'!$R$5:$R$292,A358)</f>
        <v>2</v>
      </c>
      <c r="C358" s="38" t="n">
        <f aca="false">SUMIF('Raw - Sessions'!$R$5:$R$292,A358,'Raw - Sessions'!$D$5:$D$292)</f>
        <v>0.815</v>
      </c>
      <c r="D358" s="38" t="n">
        <f aca="false">SUMIF('Raw - Sessions'!$R$5:$R$292,A358,'Raw - Sessions'!$E$5:$E$292)</f>
        <v>29.5188</v>
      </c>
      <c r="E358" s="38" t="n">
        <f aca="false">'Raw - Daily Energy'!B353</f>
        <v>29.519</v>
      </c>
      <c r="F358" s="42" t="n">
        <f aca="false">SUMIF('Raw - Sessions'!$R$5:$R$292,A358,'Raw - Sessions'!$P$5:$P$292)</f>
        <v>20.28</v>
      </c>
    </row>
    <row r="359" customFormat="false" ht="15" hidden="false" customHeight="false" outlineLevel="0" collapsed="false">
      <c r="A359" s="54" t="n">
        <f aca="false">'Raw - Daily Energy'!A354</f>
        <v>46199</v>
      </c>
      <c r="B359" s="17" t="n">
        <f aca="false">COUNTIF('Raw - Sessions'!$R$5:$R$292,A359)</f>
        <v>0</v>
      </c>
      <c r="C359" s="39" t="n">
        <f aca="false">SUMIF('Raw - Sessions'!$R$5:$R$292,A359,'Raw - Sessions'!$D$5:$D$292)</f>
        <v>0</v>
      </c>
      <c r="D359" s="39" t="n">
        <f aca="false">SUMIF('Raw - Sessions'!$R$5:$R$292,A359,'Raw - Sessions'!$E$5:$E$292)</f>
        <v>0</v>
      </c>
      <c r="E359" s="39" t="n">
        <f aca="false">'Raw - Daily Energy'!B354</f>
        <v>1.451</v>
      </c>
      <c r="F359" s="44" t="n">
        <f aca="false">SUMIF('Raw - Sessions'!$R$5:$R$292,A359,'Raw - Sessions'!$P$5:$P$292)</f>
        <v>0</v>
      </c>
    </row>
    <row r="360" customFormat="false" ht="15" hidden="false" customHeight="false" outlineLevel="0" collapsed="false">
      <c r="A360" s="53" t="n">
        <f aca="false">'Raw - Daily Energy'!A355</f>
        <v>46200</v>
      </c>
      <c r="B360" s="14" t="n">
        <f aca="false">COUNTIF('Raw - Sessions'!$R$5:$R$292,A360)</f>
        <v>8</v>
      </c>
      <c r="C360" s="38" t="n">
        <f aca="false">SUMIF('Raw - Sessions'!$R$5:$R$292,A360,'Raw - Sessions'!$D$5:$D$292)</f>
        <v>0.473888888888889</v>
      </c>
      <c r="D360" s="38" t="n">
        <f aca="false">SUMIF('Raw - Sessions'!$R$5:$R$292,A360,'Raw - Sessions'!$E$5:$E$292)</f>
        <v>1.450754</v>
      </c>
      <c r="E360" s="38" t="n">
        <f aca="false">'Raw - Daily Energy'!B355</f>
        <v>0</v>
      </c>
      <c r="F360" s="42" t="n">
        <f aca="false">SUMIF('Raw - Sessions'!$R$5:$R$292,A360,'Raw - Sessions'!$P$5:$P$292)</f>
        <v>3.19</v>
      </c>
    </row>
    <row r="361" customFormat="false" ht="15" hidden="false" customHeight="false" outlineLevel="0" collapsed="false">
      <c r="A361" s="54" t="n">
        <f aca="false">'Raw - Daily Energy'!A356</f>
        <v>46201</v>
      </c>
      <c r="B361" s="17" t="n">
        <f aca="false">COUNTIF('Raw - Sessions'!$R$5:$R$292,A361)</f>
        <v>1</v>
      </c>
      <c r="C361" s="39" t="n">
        <f aca="false">SUMIF('Raw - Sessions'!$R$5:$R$292,A361,'Raw - Sessions'!$D$5:$D$292)</f>
        <v>0.410277777777778</v>
      </c>
      <c r="D361" s="39" t="n">
        <f aca="false">SUMIF('Raw - Sessions'!$R$5:$R$292,A361,'Raw - Sessions'!$E$5:$E$292)</f>
        <v>11.8481</v>
      </c>
      <c r="E361" s="39" t="n">
        <f aca="false">'Raw - Daily Energy'!B356</f>
        <v>11.848</v>
      </c>
      <c r="F361" s="44" t="n">
        <f aca="false">SUMIF('Raw - Sessions'!$R$5:$R$292,A361,'Raw - Sessions'!$P$5:$P$292)</f>
        <v>8.45</v>
      </c>
    </row>
    <row r="362" customFormat="false" ht="15" hidden="false" customHeight="false" outlineLevel="0" collapsed="false">
      <c r="A362" s="53" t="n">
        <f aca="false">'Raw - Daily Energy'!A357</f>
        <v>46202</v>
      </c>
      <c r="B362" s="14" t="n">
        <f aca="false">COUNTIF('Raw - Sessions'!$R$5:$R$292,A362)</f>
        <v>1</v>
      </c>
      <c r="C362" s="38" t="n">
        <f aca="false">SUMIF('Raw - Sessions'!$R$5:$R$292,A362,'Raw - Sessions'!$D$5:$D$292)</f>
        <v>0.342222222222222</v>
      </c>
      <c r="D362" s="38" t="n">
        <f aca="false">SUMIF('Raw - Sessions'!$R$5:$R$292,A362,'Raw - Sessions'!$E$5:$E$292)</f>
        <v>9.7997</v>
      </c>
      <c r="E362" s="38" t="n">
        <f aca="false">'Raw - Daily Energy'!B357</f>
        <v>9.8</v>
      </c>
      <c r="F362" s="42" t="n">
        <f aca="false">SUMIF('Raw - Sessions'!$R$5:$R$292,A362,'Raw - Sessions'!$P$5:$P$292)</f>
        <v>7.97</v>
      </c>
    </row>
    <row r="363" customFormat="false" ht="15" hidden="false" customHeight="false" outlineLevel="0" collapsed="false">
      <c r="A363" s="54" t="n">
        <f aca="false">'Raw - Daily Energy'!A358</f>
        <v>46203</v>
      </c>
      <c r="B363" s="17" t="n">
        <f aca="false">COUNTIF('Raw - Sessions'!$R$5:$R$292,A363)</f>
        <v>4</v>
      </c>
      <c r="C363" s="39" t="n">
        <f aca="false">SUMIF('Raw - Sessions'!$R$5:$R$292,A363,'Raw - Sessions'!$D$5:$D$292)</f>
        <v>2.18</v>
      </c>
      <c r="D363" s="39" t="n">
        <f aca="false">SUMIF('Raw - Sessions'!$R$5:$R$292,A363,'Raw - Sessions'!$E$5:$E$292)</f>
        <v>12.276874</v>
      </c>
      <c r="E363" s="39" t="n">
        <f aca="false">'Raw - Daily Energy'!B358</f>
        <v>12.277</v>
      </c>
      <c r="F363" s="44" t="n">
        <f aca="false">SUMIF('Raw - Sessions'!$R$5:$R$292,A363,'Raw - Sessions'!$P$5:$P$292)</f>
        <v>18.51</v>
      </c>
    </row>
    <row r="364" customFormat="false" ht="15" hidden="false" customHeight="false" outlineLevel="0" collapsed="false">
      <c r="A364" s="53" t="n">
        <f aca="false">'Raw - Daily Energy'!A359</f>
        <v>46204</v>
      </c>
      <c r="B364" s="14" t="n">
        <f aca="false">COUNTIF('Raw - Sessions'!$R$5:$R$292,A364)</f>
        <v>0</v>
      </c>
      <c r="C364" s="38" t="n">
        <f aca="false">SUMIF('Raw - Sessions'!$R$5:$R$292,A364,'Raw - Sessions'!$D$5:$D$292)</f>
        <v>0</v>
      </c>
      <c r="D364" s="38" t="n">
        <f aca="false">SUMIF('Raw - Sessions'!$R$5:$R$292,A364,'Raw - Sessions'!$E$5:$E$292)</f>
        <v>0</v>
      </c>
      <c r="E364" s="38" t="n">
        <f aca="false">'Raw - Daily Energy'!B359</f>
        <v>0</v>
      </c>
      <c r="F364" s="42" t="n">
        <f aca="false">SUMIF('Raw - Sessions'!$R$5:$R$292,A364,'Raw - Sessions'!$P$5:$P$292)</f>
        <v>0</v>
      </c>
    </row>
    <row r="365" customFormat="false" ht="15" hidden="false" customHeight="false" outlineLevel="0" collapsed="false">
      <c r="A365" s="54" t="n">
        <f aca="false">'Raw - Daily Energy'!A360</f>
        <v>46205</v>
      </c>
      <c r="B365" s="17" t="n">
        <f aca="false">COUNTIF('Raw - Sessions'!$R$5:$R$292,A365)</f>
        <v>1</v>
      </c>
      <c r="C365" s="39" t="n">
        <f aca="false">SUMIF('Raw - Sessions'!$R$5:$R$292,A365,'Raw - Sessions'!$D$5:$D$292)</f>
        <v>0.718888888888889</v>
      </c>
      <c r="D365" s="39" t="n">
        <f aca="false">SUMIF('Raw - Sessions'!$R$5:$R$292,A365,'Raw - Sessions'!$E$5:$E$292)</f>
        <v>24.9589</v>
      </c>
      <c r="E365" s="39" t="n">
        <f aca="false">'Raw - Daily Energy'!B360</f>
        <v>24.959</v>
      </c>
      <c r="F365" s="44" t="n">
        <f aca="false">SUMIF('Raw - Sessions'!$R$5:$R$292,A365,'Raw - Sessions'!$P$5:$P$292)</f>
        <v>18.03</v>
      </c>
    </row>
    <row r="366" customFormat="false" ht="15" hidden="false" customHeight="false" outlineLevel="0" collapsed="false">
      <c r="A366" s="53" t="n">
        <f aca="false">'Raw - Daily Energy'!A361</f>
        <v>46206</v>
      </c>
      <c r="B366" s="14" t="n">
        <f aca="false">COUNTIF('Raw - Sessions'!$R$5:$R$292,A366)</f>
        <v>2</v>
      </c>
      <c r="C366" s="38" t="n">
        <f aca="false">SUMIF('Raw - Sessions'!$R$5:$R$292,A366,'Raw - Sessions'!$D$5:$D$292)</f>
        <v>0.685833333333333</v>
      </c>
      <c r="D366" s="38" t="n">
        <f aca="false">SUMIF('Raw - Sessions'!$R$5:$R$292,A366,'Raw - Sessions'!$E$5:$E$292)</f>
        <v>23.4882</v>
      </c>
      <c r="E366" s="38" t="n">
        <f aca="false">'Raw - Daily Energy'!B361</f>
        <v>23.488</v>
      </c>
      <c r="F366" s="42" t="n">
        <f aca="false">SUMIF('Raw - Sessions'!$R$5:$R$292,A366,'Raw - Sessions'!$P$5:$P$292)</f>
        <v>17.56</v>
      </c>
    </row>
    <row r="367" customFormat="false" ht="15" hidden="false" customHeight="false" outlineLevel="0" collapsed="false">
      <c r="A367" s="54" t="n">
        <f aca="false">'Raw - Daily Energy'!A362</f>
        <v>46207</v>
      </c>
      <c r="B367" s="17" t="n">
        <f aca="false">COUNTIF('Raw - Sessions'!$R$5:$R$292,A367)</f>
        <v>0</v>
      </c>
      <c r="C367" s="39" t="n">
        <f aca="false">SUMIF('Raw - Sessions'!$R$5:$R$292,A367,'Raw - Sessions'!$D$5:$D$292)</f>
        <v>0</v>
      </c>
      <c r="D367" s="39" t="n">
        <f aca="false">SUMIF('Raw - Sessions'!$R$5:$R$292,A367,'Raw - Sessions'!$E$5:$E$292)</f>
        <v>0</v>
      </c>
      <c r="E367" s="39" t="n">
        <f aca="false">'Raw - Daily Energy'!B362</f>
        <v>0</v>
      </c>
      <c r="F367" s="44" t="n">
        <f aca="false">SUMIF('Raw - Sessions'!$R$5:$R$292,A367,'Raw - Sessions'!$P$5:$P$292)</f>
        <v>0</v>
      </c>
    </row>
    <row r="368" customFormat="false" ht="15" hidden="false" customHeight="false" outlineLevel="0" collapsed="false">
      <c r="A368" s="53" t="n">
        <f aca="false">'Raw - Daily Energy'!A363</f>
        <v>46208</v>
      </c>
      <c r="B368" s="14" t="n">
        <f aca="false">COUNTIF('Raw - Sessions'!$R$5:$R$292,A368)</f>
        <v>2</v>
      </c>
      <c r="C368" s="38" t="n">
        <f aca="false">SUMIF('Raw - Sessions'!$R$5:$R$292,A368,'Raw - Sessions'!$D$5:$D$292)</f>
        <v>0.482222222222222</v>
      </c>
      <c r="D368" s="38" t="n">
        <f aca="false">SUMIF('Raw - Sessions'!$R$5:$R$292,A368,'Raw - Sessions'!$E$5:$E$292)</f>
        <v>16.0578</v>
      </c>
      <c r="E368" s="38" t="n">
        <f aca="false">'Raw - Daily Energy'!B363</f>
        <v>16.058</v>
      </c>
      <c r="F368" s="42" t="n">
        <f aca="false">SUMIF('Raw - Sessions'!$R$5:$R$292,A368,'Raw - Sessions'!$P$5:$P$292)</f>
        <v>11.5</v>
      </c>
    </row>
    <row r="369" customFormat="false" ht="15" hidden="false" customHeight="false" outlineLevel="0" collapsed="false">
      <c r="A369" s="54" t="n">
        <f aca="false">'Raw - Daily Energy'!A364</f>
        <v>46209</v>
      </c>
      <c r="B369" s="17" t="n">
        <f aca="false">COUNTIF('Raw - Sessions'!$R$5:$R$292,A369)</f>
        <v>0</v>
      </c>
      <c r="C369" s="39" t="n">
        <f aca="false">SUMIF('Raw - Sessions'!$R$5:$R$292,A369,'Raw - Sessions'!$D$5:$D$292)</f>
        <v>0</v>
      </c>
      <c r="D369" s="39" t="n">
        <f aca="false">SUMIF('Raw - Sessions'!$R$5:$R$292,A369,'Raw - Sessions'!$E$5:$E$292)</f>
        <v>0</v>
      </c>
      <c r="E369" s="39" t="n">
        <f aca="false">'Raw - Daily Energy'!B364</f>
        <v>0</v>
      </c>
      <c r="F369" s="44" t="n">
        <f aca="false">SUMIF('Raw - Sessions'!$R$5:$R$292,A369,'Raw - Sessions'!$P$5:$P$292)</f>
        <v>0</v>
      </c>
    </row>
    <row r="370" customFormat="false" ht="15" hidden="false" customHeight="false" outlineLevel="0" collapsed="false">
      <c r="A370" s="53" t="n">
        <f aca="false">'Raw - Daily Energy'!A365</f>
        <v>46210</v>
      </c>
      <c r="B370" s="14" t="n">
        <f aca="false">COUNTIF('Raw - Sessions'!$R$5:$R$292,A370)</f>
        <v>1</v>
      </c>
      <c r="C370" s="38" t="n">
        <f aca="false">SUMIF('Raw - Sessions'!$R$5:$R$292,A370,'Raw - Sessions'!$D$5:$D$292)</f>
        <v>0.777222222222222</v>
      </c>
      <c r="D370" s="38" t="n">
        <f aca="false">SUMIF('Raw - Sessions'!$R$5:$R$292,A370,'Raw - Sessions'!$E$5:$E$292)</f>
        <v>29.0876</v>
      </c>
      <c r="E370" s="38" t="n">
        <f aca="false">'Raw - Daily Energy'!B365</f>
        <v>29.088</v>
      </c>
      <c r="F370" s="42" t="n">
        <f aca="false">SUMIF('Raw - Sessions'!$R$5:$R$292,A370,'Raw - Sessions'!$P$5:$P$292)</f>
        <v>19.47</v>
      </c>
    </row>
    <row r="371" customFormat="false" ht="15" hidden="false" customHeight="false" outlineLevel="0" collapsed="false">
      <c r="A371" s="54" t="n">
        <f aca="false">'Raw - Daily Energy'!A366</f>
        <v>46211</v>
      </c>
      <c r="B371" s="17" t="n">
        <f aca="false">COUNTIF('Raw - Sessions'!$R$5:$R$292,A371)</f>
        <v>0</v>
      </c>
      <c r="C371" s="39" t="n">
        <f aca="false">SUMIF('Raw - Sessions'!$R$5:$R$292,A371,'Raw - Sessions'!$D$5:$D$292)</f>
        <v>0</v>
      </c>
      <c r="D371" s="39" t="n">
        <f aca="false">SUMIF('Raw - Sessions'!$R$5:$R$292,A371,'Raw - Sessions'!$E$5:$E$292)</f>
        <v>0</v>
      </c>
      <c r="E371" s="39" t="n">
        <f aca="false">'Raw - Daily Energy'!B366</f>
        <v>12.305</v>
      </c>
      <c r="F371" s="44" t="n">
        <f aca="false">SUMIF('Raw - Sessions'!$R$5:$R$292,A371,'Raw - Sessions'!$P$5:$P$292)</f>
        <v>0</v>
      </c>
    </row>
    <row r="372" customFormat="false" ht="15" hidden="false" customHeight="false" outlineLevel="0" collapsed="false">
      <c r="A372" s="53" t="n">
        <f aca="false">'Raw - Daily Energy'!A367</f>
        <v>46212</v>
      </c>
      <c r="B372" s="14" t="n">
        <f aca="false">COUNTIF('Raw - Sessions'!$R$5:$R$292,A372)</f>
        <v>1</v>
      </c>
      <c r="C372" s="38" t="n">
        <f aca="false">SUMIF('Raw - Sessions'!$R$5:$R$292,A372,'Raw - Sessions'!$D$5:$D$292)</f>
        <v>3.71555555555556</v>
      </c>
      <c r="D372" s="38" t="n">
        <f aca="false">SUMIF('Raw - Sessions'!$R$5:$R$292,A372,'Raw - Sessions'!$E$5:$E$292)</f>
        <v>12.304789</v>
      </c>
      <c r="E372" s="38" t="n">
        <f aca="false">'Raw - Daily Energy'!B367</f>
        <v>0</v>
      </c>
      <c r="F372" s="42" t="n">
        <f aca="false">SUMIF('Raw - Sessions'!$R$5:$R$292,A372,'Raw - Sessions'!$P$5:$P$292)</f>
        <v>26.7</v>
      </c>
    </row>
    <row r="373" customFormat="false" ht="15" hidden="false" customHeight="false" outlineLevel="0" collapsed="false">
      <c r="A373" s="54" t="n">
        <f aca="false">'Raw - Daily Energy'!A368</f>
        <v>46213</v>
      </c>
      <c r="B373" s="17" t="n">
        <f aca="false">COUNTIF('Raw - Sessions'!$R$5:$R$292,A373)</f>
        <v>0</v>
      </c>
      <c r="C373" s="39" t="n">
        <f aca="false">SUMIF('Raw - Sessions'!$R$5:$R$292,A373,'Raw - Sessions'!$D$5:$D$292)</f>
        <v>0</v>
      </c>
      <c r="D373" s="39" t="n">
        <f aca="false">SUMIF('Raw - Sessions'!$R$5:$R$292,A373,'Raw - Sessions'!$E$5:$E$292)</f>
        <v>0</v>
      </c>
      <c r="E373" s="39" t="n">
        <f aca="false">'Raw - Daily Energy'!B368</f>
        <v>6.159</v>
      </c>
      <c r="F373" s="44" t="n">
        <f aca="false">SUMIF('Raw - Sessions'!$R$5:$R$292,A373,'Raw - Sessions'!$P$5:$P$292)</f>
        <v>0</v>
      </c>
    </row>
    <row r="374" customFormat="false" ht="15" hidden="false" customHeight="false" outlineLevel="0" collapsed="false">
      <c r="A374" s="53" t="n">
        <f aca="false">'Raw - Daily Energy'!A369</f>
        <v>46214</v>
      </c>
      <c r="B374" s="14" t="n">
        <f aca="false">COUNTIF('Raw - Sessions'!$R$5:$R$292,A374)</f>
        <v>0</v>
      </c>
      <c r="C374" s="38" t="n">
        <f aca="false">SUMIF('Raw - Sessions'!$R$5:$R$292,A374,'Raw - Sessions'!$D$5:$D$292)</f>
        <v>0</v>
      </c>
      <c r="D374" s="38" t="n">
        <f aca="false">SUMIF('Raw - Sessions'!$R$5:$R$292,A374,'Raw - Sessions'!$E$5:$E$292)</f>
        <v>0</v>
      </c>
      <c r="E374" s="38" t="n">
        <f aca="false">'Raw - Daily Energy'!B369</f>
        <v>0</v>
      </c>
      <c r="F374" s="42" t="n">
        <f aca="false">SUMIF('Raw - Sessions'!$R$5:$R$292,A374,'Raw - Sessions'!$P$5:$P$292)</f>
        <v>0</v>
      </c>
    </row>
  </sheetData>
  <mergeCells count="16">
    <mergeCell ref="A4:B4"/>
    <mergeCell ref="C4:D4"/>
    <mergeCell ref="E4:F4"/>
    <mergeCell ref="G4:H4"/>
    <mergeCell ref="I4:J4"/>
    <mergeCell ref="K4:L4"/>
    <mergeCell ref="M4:N4"/>
    <mergeCell ref="O4:P4"/>
    <mergeCell ref="A5:B6"/>
    <mergeCell ref="C5:D6"/>
    <mergeCell ref="E5:F6"/>
    <mergeCell ref="G5:H6"/>
    <mergeCell ref="I5:J6"/>
    <mergeCell ref="K5:L6"/>
    <mergeCell ref="M5:N6"/>
    <mergeCell ref="O5:P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0"/>
    <col collapsed="false" customWidth="true" hidden="false" outlineLevel="0" max="4" min="3" style="0" width="14"/>
    <col collapsed="false" customWidth="true" hidden="false" outlineLevel="0" max="5" min="5" style="0" width="16"/>
    <col collapsed="false" customWidth="true" hidden="false" outlineLevel="0" max="6" min="6" style="0" width="20"/>
  </cols>
  <sheetData>
    <row r="1" customFormat="false" ht="16.15" hidden="false" customHeight="false" outlineLevel="0" collapsed="false">
      <c r="A1" s="50" t="s">
        <v>91</v>
      </c>
    </row>
    <row r="2" customFormat="false" ht="15" hidden="false" customHeight="false" outlineLevel="0" collapsed="false">
      <c r="A2" s="30" t="s">
        <v>92</v>
      </c>
    </row>
    <row r="4" customFormat="false" ht="23.85" hidden="false" customHeight="false" outlineLevel="0" collapsed="false">
      <c r="A4" s="37" t="s">
        <v>63</v>
      </c>
      <c r="B4" s="37" t="s">
        <v>51</v>
      </c>
      <c r="C4" s="37" t="s">
        <v>93</v>
      </c>
      <c r="D4" s="37" t="s">
        <v>64</v>
      </c>
      <c r="E4" s="37" t="s">
        <v>38</v>
      </c>
      <c r="F4" s="37" t="s">
        <v>94</v>
      </c>
    </row>
    <row r="5" customFormat="false" ht="15" hidden="false" customHeight="false" outlineLevel="0" collapsed="false">
      <c r="A5" s="14" t="s">
        <v>65</v>
      </c>
      <c r="B5" s="14" t="n">
        <f aca="false">COUNTIF('Raw - Sessions'!$G$5:$G$292,A5)</f>
        <v>4</v>
      </c>
      <c r="C5" s="55" t="n">
        <f aca="false">B5/SUM($B$5:$B$8)</f>
        <v>0.0138888888888889</v>
      </c>
      <c r="D5" s="38" t="n">
        <f aca="false">AVERAGEIF('Raw - Sessions'!$G$5:$G$292,A5,'Raw - Sessions'!$D$5:$D$292)</f>
        <v>0.541805555555555</v>
      </c>
      <c r="E5" s="22" t="n">
        <f aca="false">SUMIF('Raw - Sessions'!$G$5:$G$292,A5,'Raw - Sessions'!$E$5:$E$292)</f>
        <v>57.8262</v>
      </c>
      <c r="F5" s="55" t="n">
        <f aca="false">AVERAGEIF('Raw - Sessions'!$G$5:$G$292,A5,'Raw - Sessions'!$J$5:$J$292)</f>
        <v>0.927454457520555</v>
      </c>
    </row>
    <row r="6" customFormat="false" ht="15" hidden="false" customHeight="false" outlineLevel="0" collapsed="false">
      <c r="A6" s="14" t="s">
        <v>66</v>
      </c>
      <c r="B6" s="14" t="n">
        <f aca="false">COUNTIF('Raw - Sessions'!$G$5:$G$292,A6)</f>
        <v>96</v>
      </c>
      <c r="C6" s="55" t="n">
        <f aca="false">B6/SUM($B$5:$B$8)</f>
        <v>0.333333333333333</v>
      </c>
      <c r="D6" s="38" t="n">
        <f aca="false">AVERAGEIF('Raw - Sessions'!$G$5:$G$292,A6,'Raw - Sessions'!$D$5:$D$292)</f>
        <v>0.728987268518519</v>
      </c>
      <c r="E6" s="22" t="n">
        <f aca="false">SUMIF('Raw - Sessions'!$G$5:$G$292,A6,'Raw - Sessions'!$E$5:$E$292)</f>
        <v>2231.979682</v>
      </c>
      <c r="F6" s="55" t="n">
        <f aca="false">AVERAGEIF('Raw - Sessions'!$G$5:$G$292,A6,'Raw - Sessions'!$J$5:$J$292)</f>
        <v>0.81222661278207</v>
      </c>
    </row>
    <row r="7" customFormat="false" ht="15" hidden="false" customHeight="false" outlineLevel="0" collapsed="false">
      <c r="A7" s="14" t="s">
        <v>67</v>
      </c>
      <c r="B7" s="14" t="n">
        <f aca="false">COUNTIF('Raw - Sessions'!$G$5:$G$292,A7)</f>
        <v>102</v>
      </c>
      <c r="C7" s="55" t="n">
        <f aca="false">B7/SUM($B$5:$B$8)</f>
        <v>0.354166666666667</v>
      </c>
      <c r="D7" s="38" t="n">
        <f aca="false">AVERAGEIF('Raw - Sessions'!$G$5:$G$292,A7,'Raw - Sessions'!$D$5:$D$292)</f>
        <v>0.790653594771242</v>
      </c>
      <c r="E7" s="22" t="n">
        <f aca="false">SUMIF('Raw - Sessions'!$G$5:$G$292,A7,'Raw - Sessions'!$E$5:$E$292)</f>
        <v>2266.263728</v>
      </c>
      <c r="F7" s="55" t="n">
        <f aca="false">AVERAGEIF('Raw - Sessions'!$G$5:$G$292,A7,'Raw - Sessions'!$J$5:$J$292)</f>
        <v>0.838342403233846</v>
      </c>
    </row>
    <row r="8" customFormat="false" ht="15" hidden="false" customHeight="false" outlineLevel="0" collapsed="false">
      <c r="A8" s="14" t="s">
        <v>68</v>
      </c>
      <c r="B8" s="14" t="n">
        <f aca="false">COUNTIF('Raw - Sessions'!$G$5:$G$292,A8)</f>
        <v>86</v>
      </c>
      <c r="C8" s="55" t="n">
        <f aca="false">B8/SUM($B$5:$B$8)</f>
        <v>0.298611111111111</v>
      </c>
      <c r="D8" s="38" t="n">
        <f aca="false">AVERAGEIF('Raw - Sessions'!$G$5:$G$292,A8,'Raw - Sessions'!$D$5:$D$292)</f>
        <v>0.70030684754522</v>
      </c>
      <c r="E8" s="22" t="n">
        <f aca="false">SUMIF('Raw - Sessions'!$G$5:$G$292,A8,'Raw - Sessions'!$E$5:$E$292)</f>
        <v>1660.635918</v>
      </c>
      <c r="F8" s="55" t="n">
        <f aca="false">AVERAGEIF('Raw - Sessions'!$G$5:$G$292,A8,'Raw - Sessions'!$J$5:$J$292)</f>
        <v>0.756581776062084</v>
      </c>
    </row>
    <row r="28" customFormat="false" ht="15" hidden="false" customHeight="false" outlineLevel="0" collapsed="false">
      <c r="A28" s="4" t="s">
        <v>95</v>
      </c>
    </row>
    <row r="29" customFormat="false" ht="15" hidden="false" customHeight="false" outlineLevel="0" collapsed="false">
      <c r="A29" s="2" t="s">
        <v>69</v>
      </c>
      <c r="C29" s="56" t="n">
        <f aca="false">COUNTIF('Raw - Sessions'!$I$5:$I$292,TRUE())</f>
        <v>86</v>
      </c>
    </row>
    <row r="30" customFormat="false" ht="15" hidden="false" customHeight="false" outlineLevel="0" collapsed="false">
      <c r="A30" s="2" t="s">
        <v>96</v>
      </c>
      <c r="C30" s="56" t="n">
        <f aca="false">'Raw - Daily Energy'!A369-'Raw - Daily Energy'!A5+1</f>
        <v>365</v>
      </c>
    </row>
    <row r="31" customFormat="false" ht="15" hidden="false" customHeight="false" outlineLevel="0" collapsed="false">
      <c r="A31" s="2" t="s">
        <v>97</v>
      </c>
      <c r="C31" s="56" t="n">
        <f aca="false">SUM('Raw - Sessions'!$S$5:$S$292)</f>
        <v>61</v>
      </c>
      <c r="D31" s="30" t="s">
        <v>98</v>
      </c>
    </row>
    <row r="32" customFormat="false" ht="15" hidden="false" customHeight="false" outlineLevel="0" collapsed="false">
      <c r="A32" s="2" t="s">
        <v>99</v>
      </c>
      <c r="C32" s="57" t="n">
        <f aca="false">C31/C30</f>
        <v>0.167123287671233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4" min="3" style="0" width="14"/>
  </cols>
  <sheetData>
    <row r="1" customFormat="false" ht="16.15" hidden="false" customHeight="false" outlineLevel="0" collapsed="false">
      <c r="A1" s="50" t="s">
        <v>100</v>
      </c>
    </row>
    <row r="2" customFormat="false" ht="27.75" hidden="false" customHeight="true" outlineLevel="0" collapsed="false">
      <c r="A2" s="31" t="s">
        <v>101</v>
      </c>
      <c r="B2" s="31"/>
      <c r="C2" s="31"/>
      <c r="D2" s="31"/>
      <c r="E2" s="31"/>
      <c r="F2" s="31"/>
      <c r="G2" s="31"/>
      <c r="H2" s="31"/>
    </row>
    <row r="5" customFormat="false" ht="15" hidden="false" customHeight="false" outlineLevel="0" collapsed="false">
      <c r="A5" s="4" t="s">
        <v>102</v>
      </c>
    </row>
    <row r="6" customFormat="false" ht="15" hidden="false" customHeight="false" outlineLevel="0" collapsed="false">
      <c r="A6" s="13" t="s">
        <v>103</v>
      </c>
      <c r="B6" s="13" t="s">
        <v>51</v>
      </c>
      <c r="C6" s="13" t="s">
        <v>104</v>
      </c>
    </row>
    <row r="7" customFormat="false" ht="15" hidden="false" customHeight="false" outlineLevel="0" collapsed="false">
      <c r="A7" s="14" t="s">
        <v>105</v>
      </c>
      <c r="B7" s="58" t="n">
        <f aca="false">COUNTIF('Raw - Sessions'!$X$5:$X$292,A7)</f>
        <v>32</v>
      </c>
      <c r="C7" s="59" t="n">
        <f aca="false">B7/SUM($B$7:$B$13)</f>
        <v>0.111111111111111</v>
      </c>
    </row>
    <row r="8" customFormat="false" ht="15" hidden="false" customHeight="false" outlineLevel="0" collapsed="false">
      <c r="A8" s="17" t="s">
        <v>106</v>
      </c>
      <c r="B8" s="60" t="n">
        <f aca="false">COUNTIF('Raw - Sessions'!$X$5:$X$292,A8)</f>
        <v>42</v>
      </c>
      <c r="C8" s="61" t="n">
        <f aca="false">B8/SUM($B$7:$B$13)</f>
        <v>0.145833333333333</v>
      </c>
    </row>
    <row r="9" customFormat="false" ht="15" hidden="false" customHeight="false" outlineLevel="0" collapsed="false">
      <c r="A9" s="14" t="s">
        <v>107</v>
      </c>
      <c r="B9" s="58" t="n">
        <f aca="false">COUNTIF('Raw - Sessions'!$X$5:$X$292,A9)</f>
        <v>28</v>
      </c>
      <c r="C9" s="59" t="n">
        <f aca="false">B9/SUM($B$7:$B$13)</f>
        <v>0.0972222222222222</v>
      </c>
    </row>
    <row r="10" customFormat="false" ht="15" hidden="false" customHeight="false" outlineLevel="0" collapsed="false">
      <c r="A10" s="17" t="s">
        <v>108</v>
      </c>
      <c r="B10" s="60" t="n">
        <f aca="false">COUNTIF('Raw - Sessions'!$X$5:$X$292,A10)</f>
        <v>32</v>
      </c>
      <c r="C10" s="61" t="n">
        <f aca="false">B10/SUM($B$7:$B$13)</f>
        <v>0.111111111111111</v>
      </c>
    </row>
    <row r="11" customFormat="false" ht="15" hidden="false" customHeight="false" outlineLevel="0" collapsed="false">
      <c r="A11" s="14" t="s">
        <v>109</v>
      </c>
      <c r="B11" s="58" t="n">
        <f aca="false">COUNTIF('Raw - Sessions'!$X$5:$X$292,A11)</f>
        <v>52</v>
      </c>
      <c r="C11" s="59" t="n">
        <f aca="false">B11/SUM($B$7:$B$13)</f>
        <v>0.180555555555556</v>
      </c>
    </row>
    <row r="12" customFormat="false" ht="15" hidden="false" customHeight="false" outlineLevel="0" collapsed="false">
      <c r="A12" s="17" t="s">
        <v>110</v>
      </c>
      <c r="B12" s="60" t="n">
        <f aca="false">COUNTIF('Raw - Sessions'!$X$5:$X$292,A12)</f>
        <v>53</v>
      </c>
      <c r="C12" s="61" t="n">
        <f aca="false">B12/SUM($B$7:$B$13)</f>
        <v>0.184027777777778</v>
      </c>
    </row>
    <row r="13" customFormat="false" ht="15" hidden="false" customHeight="false" outlineLevel="0" collapsed="false">
      <c r="A13" s="14" t="s">
        <v>111</v>
      </c>
      <c r="B13" s="58" t="n">
        <f aca="false">COUNTIF('Raw - Sessions'!$X$5:$X$292,A13)</f>
        <v>49</v>
      </c>
      <c r="C13" s="59" t="n">
        <f aca="false">B13/SUM($B$7:$B$13)</f>
        <v>0.170138888888889</v>
      </c>
    </row>
    <row r="16" customFormat="false" ht="15" hidden="false" customHeight="false" outlineLevel="0" collapsed="false">
      <c r="A16" s="4" t="s">
        <v>112</v>
      </c>
    </row>
    <row r="17" customFormat="false" ht="15" hidden="false" customHeight="false" outlineLevel="0" collapsed="false">
      <c r="A17" s="40" t="s">
        <v>113</v>
      </c>
      <c r="B17" s="40" t="s">
        <v>51</v>
      </c>
      <c r="C17" s="40" t="s">
        <v>52</v>
      </c>
      <c r="D17" s="40" t="s">
        <v>54</v>
      </c>
    </row>
    <row r="18" customFormat="false" ht="15" hidden="false" customHeight="false" outlineLevel="0" collapsed="false">
      <c r="A18" s="53" t="n">
        <v>45943</v>
      </c>
      <c r="B18" s="14" t="n">
        <f aca="false">COUNTIF('Raw - Sessions'!$Y$5:$Y$292,A18)</f>
        <v>3</v>
      </c>
      <c r="C18" s="22" t="n">
        <f aca="false">SUMIF('Raw - Sessions'!$Y$5:$Y$292,A18,'Raw - Sessions'!$E$5:$E$292)</f>
        <v>22.571108</v>
      </c>
      <c r="D18" s="42" t="n">
        <f aca="false">SUMIF('Raw - Sessions'!$Y$5:$Y$292,A18,'Raw - Sessions'!$P$5:$P$292)</f>
        <v>3.53</v>
      </c>
    </row>
    <row r="19" customFormat="false" ht="15" hidden="false" customHeight="false" outlineLevel="0" collapsed="false">
      <c r="A19" s="54" t="n">
        <v>45950</v>
      </c>
      <c r="B19" s="17" t="n">
        <f aca="false">COUNTIF('Raw - Sessions'!$Y$5:$Y$292,A19)</f>
        <v>17</v>
      </c>
      <c r="C19" s="20" t="n">
        <f aca="false">SUMIF('Raw - Sessions'!$Y$5:$Y$292,A19,'Raw - Sessions'!$E$5:$E$292)</f>
        <v>225.061461</v>
      </c>
      <c r="D19" s="44" t="n">
        <f aca="false">SUMIF('Raw - Sessions'!$Y$5:$Y$292,A19,'Raw - Sessions'!$P$5:$P$292)</f>
        <v>98.16</v>
      </c>
    </row>
    <row r="20" customFormat="false" ht="15" hidden="false" customHeight="false" outlineLevel="0" collapsed="false">
      <c r="A20" s="53" t="n">
        <v>45957</v>
      </c>
      <c r="B20" s="14" t="n">
        <f aca="false">COUNTIF('Raw - Sessions'!$Y$5:$Y$292,A20)</f>
        <v>11</v>
      </c>
      <c r="C20" s="22" t="n">
        <f aca="false">SUMIF('Raw - Sessions'!$Y$5:$Y$292,A20,'Raw - Sessions'!$E$5:$E$292)</f>
        <v>235.291303</v>
      </c>
      <c r="D20" s="42" t="n">
        <f aca="false">SUMIF('Raw - Sessions'!$Y$5:$Y$292,A20,'Raw - Sessions'!$P$5:$P$292)</f>
        <v>126.14</v>
      </c>
    </row>
    <row r="21" customFormat="false" ht="15" hidden="false" customHeight="false" outlineLevel="0" collapsed="false">
      <c r="A21" s="54" t="n">
        <v>45964</v>
      </c>
      <c r="B21" s="17" t="n">
        <f aca="false">COUNTIF('Raw - Sessions'!$Y$5:$Y$292,A21)</f>
        <v>6</v>
      </c>
      <c r="C21" s="20" t="n">
        <f aca="false">SUMIF('Raw - Sessions'!$Y$5:$Y$292,A21,'Raw - Sessions'!$E$5:$E$292)</f>
        <v>186.243601</v>
      </c>
      <c r="D21" s="44" t="n">
        <f aca="false">SUMIF('Raw - Sessions'!$Y$5:$Y$292,A21,'Raw - Sessions'!$P$5:$P$292)</f>
        <v>94.05</v>
      </c>
    </row>
    <row r="22" customFormat="false" ht="15" hidden="false" customHeight="false" outlineLevel="0" collapsed="false">
      <c r="A22" s="53" t="n">
        <v>45971</v>
      </c>
      <c r="B22" s="14" t="n">
        <f aca="false">COUNTIF('Raw - Sessions'!$Y$5:$Y$292,A22)</f>
        <v>7</v>
      </c>
      <c r="C22" s="22" t="n">
        <f aca="false">SUMIF('Raw - Sessions'!$Y$5:$Y$292,A22,'Raw - Sessions'!$E$5:$E$292)</f>
        <v>182.086062</v>
      </c>
      <c r="D22" s="42" t="n">
        <f aca="false">SUMIF('Raw - Sessions'!$Y$5:$Y$292,A22,'Raw - Sessions'!$P$5:$P$292)</f>
        <v>92.64</v>
      </c>
    </row>
    <row r="23" customFormat="false" ht="15" hidden="false" customHeight="false" outlineLevel="0" collapsed="false">
      <c r="A23" s="54" t="n">
        <v>45978</v>
      </c>
      <c r="B23" s="17" t="n">
        <f aca="false">COUNTIF('Raw - Sessions'!$Y$5:$Y$292,A23)</f>
        <v>3</v>
      </c>
      <c r="C23" s="20" t="n">
        <f aca="false">SUMIF('Raw - Sessions'!$Y$5:$Y$292,A23,'Raw - Sessions'!$E$5:$E$292)</f>
        <v>134.156301</v>
      </c>
      <c r="D23" s="44" t="n">
        <f aca="false">SUMIF('Raw - Sessions'!$Y$5:$Y$292,A23,'Raw - Sessions'!$P$5:$P$292)</f>
        <v>70.5</v>
      </c>
    </row>
    <row r="24" customFormat="false" ht="15" hidden="false" customHeight="false" outlineLevel="0" collapsed="false">
      <c r="A24" s="53" t="n">
        <v>45985</v>
      </c>
      <c r="B24" s="14" t="n">
        <f aca="false">COUNTIF('Raw - Sessions'!$Y$5:$Y$292,A24)</f>
        <v>9</v>
      </c>
      <c r="C24" s="22" t="n">
        <f aca="false">SUMIF('Raw - Sessions'!$Y$5:$Y$292,A24,'Raw - Sessions'!$E$5:$E$292)</f>
        <v>204.882782</v>
      </c>
      <c r="D24" s="42" t="n">
        <f aca="false">SUMIF('Raw - Sessions'!$Y$5:$Y$292,A24,'Raw - Sessions'!$P$5:$P$292)</f>
        <v>104.89</v>
      </c>
    </row>
    <row r="25" customFormat="false" ht="15" hidden="false" customHeight="false" outlineLevel="0" collapsed="false">
      <c r="A25" s="54" t="n">
        <v>45992</v>
      </c>
      <c r="B25" s="17" t="n">
        <f aca="false">COUNTIF('Raw - Sessions'!$Y$5:$Y$292,A25)</f>
        <v>3</v>
      </c>
      <c r="C25" s="20" t="n">
        <f aca="false">SUMIF('Raw - Sessions'!$Y$5:$Y$292,A25,'Raw - Sessions'!$E$5:$E$292)</f>
        <v>45.4715</v>
      </c>
      <c r="D25" s="44" t="n">
        <f aca="false">SUMIF('Raw - Sessions'!$Y$5:$Y$292,A25,'Raw - Sessions'!$P$5:$P$292)</f>
        <v>23.17</v>
      </c>
    </row>
    <row r="26" customFormat="false" ht="15" hidden="false" customHeight="false" outlineLevel="0" collapsed="false">
      <c r="A26" s="53" t="n">
        <v>45999</v>
      </c>
      <c r="B26" s="14" t="n">
        <f aca="false">COUNTIF('Raw - Sessions'!$Y$5:$Y$292,A26)</f>
        <v>4</v>
      </c>
      <c r="C26" s="22" t="n">
        <f aca="false">SUMIF('Raw - Sessions'!$Y$5:$Y$292,A26,'Raw - Sessions'!$E$5:$E$292)</f>
        <v>145.334408</v>
      </c>
      <c r="D26" s="42" t="n">
        <f aca="false">SUMIF('Raw - Sessions'!$Y$5:$Y$292,A26,'Raw - Sessions'!$P$5:$P$292)</f>
        <v>104.5</v>
      </c>
    </row>
    <row r="27" customFormat="false" ht="15" hidden="false" customHeight="false" outlineLevel="0" collapsed="false">
      <c r="A27" s="54" t="n">
        <v>46006</v>
      </c>
      <c r="B27" s="17" t="n">
        <f aca="false">COUNTIF('Raw - Sessions'!$Y$5:$Y$292,A27)</f>
        <v>11</v>
      </c>
      <c r="C27" s="20" t="n">
        <f aca="false">SUMIF('Raw - Sessions'!$Y$5:$Y$292,A27,'Raw - Sessions'!$E$5:$E$292)</f>
        <v>217.189996</v>
      </c>
      <c r="D27" s="44" t="n">
        <f aca="false">SUMIF('Raw - Sessions'!$Y$5:$Y$292,A27,'Raw - Sessions'!$P$5:$P$292)</f>
        <v>138.42</v>
      </c>
    </row>
    <row r="28" customFormat="false" ht="15" hidden="false" customHeight="false" outlineLevel="0" collapsed="false">
      <c r="A28" s="53" t="n">
        <v>46013</v>
      </c>
      <c r="B28" s="14" t="n">
        <f aca="false">COUNTIF('Raw - Sessions'!$Y$5:$Y$292,A28)</f>
        <v>14</v>
      </c>
      <c r="C28" s="22" t="n">
        <f aca="false">SUMIF('Raw - Sessions'!$Y$5:$Y$292,A28,'Raw - Sessions'!$E$5:$E$292)</f>
        <v>325.922359</v>
      </c>
      <c r="D28" s="42" t="n">
        <f aca="false">SUMIF('Raw - Sessions'!$Y$5:$Y$292,A28,'Raw - Sessions'!$P$5:$P$292)</f>
        <v>201.67</v>
      </c>
    </row>
    <row r="29" customFormat="false" ht="15" hidden="false" customHeight="false" outlineLevel="0" collapsed="false">
      <c r="A29" s="54" t="n">
        <v>46020</v>
      </c>
      <c r="B29" s="17" t="n">
        <f aca="false">COUNTIF('Raw - Sessions'!$Y$5:$Y$292,A29)</f>
        <v>3</v>
      </c>
      <c r="C29" s="20" t="n">
        <f aca="false">SUMIF('Raw - Sessions'!$Y$5:$Y$292,A29,'Raw - Sessions'!$E$5:$E$292)</f>
        <v>42.590099</v>
      </c>
      <c r="D29" s="44" t="n">
        <f aca="false">SUMIF('Raw - Sessions'!$Y$5:$Y$292,A29,'Raw - Sessions'!$P$5:$P$292)</f>
        <v>18.25</v>
      </c>
    </row>
    <row r="30" customFormat="false" ht="15" hidden="false" customHeight="false" outlineLevel="0" collapsed="false">
      <c r="A30" s="53" t="n">
        <v>46027</v>
      </c>
      <c r="B30" s="14" t="n">
        <f aca="false">COUNTIF('Raw - Sessions'!$Y$5:$Y$292,A30)</f>
        <v>3</v>
      </c>
      <c r="C30" s="22" t="n">
        <f aca="false">SUMIF('Raw - Sessions'!$Y$5:$Y$292,A30,'Raw - Sessions'!$E$5:$E$292)</f>
        <v>53.829602</v>
      </c>
      <c r="D30" s="42" t="n">
        <f aca="false">SUMIF('Raw - Sessions'!$Y$5:$Y$292,A30,'Raw - Sessions'!$P$5:$P$292)</f>
        <v>27.23</v>
      </c>
    </row>
    <row r="31" customFormat="false" ht="15" hidden="false" customHeight="false" outlineLevel="0" collapsed="false">
      <c r="A31" s="54" t="n">
        <v>46034</v>
      </c>
      <c r="B31" s="17" t="n">
        <f aca="false">COUNTIF('Raw - Sessions'!$Y$5:$Y$292,A31)</f>
        <v>6</v>
      </c>
      <c r="C31" s="20" t="n">
        <f aca="false">SUMIF('Raw - Sessions'!$Y$5:$Y$292,A31,'Raw - Sessions'!$E$5:$E$292)</f>
        <v>32.1281</v>
      </c>
      <c r="D31" s="44" t="n">
        <f aca="false">SUMIF('Raw - Sessions'!$Y$5:$Y$292,A31,'Raw - Sessions'!$P$5:$P$292)</f>
        <v>16.9</v>
      </c>
    </row>
    <row r="32" customFormat="false" ht="15" hidden="false" customHeight="false" outlineLevel="0" collapsed="false">
      <c r="A32" s="53" t="n">
        <v>46041</v>
      </c>
      <c r="B32" s="14" t="n">
        <f aca="false">COUNTIF('Raw - Sessions'!$Y$5:$Y$292,A32)</f>
        <v>0</v>
      </c>
      <c r="C32" s="22" t="n">
        <f aca="false">SUMIF('Raw - Sessions'!$Y$5:$Y$292,A32,'Raw - Sessions'!$E$5:$E$292)</f>
        <v>0</v>
      </c>
      <c r="D32" s="42" t="n">
        <f aca="false">SUMIF('Raw - Sessions'!$Y$5:$Y$292,A32,'Raw - Sessions'!$P$5:$P$292)</f>
        <v>0</v>
      </c>
    </row>
    <row r="33" customFormat="false" ht="15" hidden="false" customHeight="false" outlineLevel="0" collapsed="false">
      <c r="A33" s="54" t="n">
        <v>46048</v>
      </c>
      <c r="B33" s="17" t="n">
        <f aca="false">COUNTIF('Raw - Sessions'!$Y$5:$Y$292,A33)</f>
        <v>2</v>
      </c>
      <c r="C33" s="20" t="n">
        <f aca="false">SUMIF('Raw - Sessions'!$Y$5:$Y$292,A33,'Raw - Sessions'!$E$5:$E$292)</f>
        <v>73.232498</v>
      </c>
      <c r="D33" s="44" t="n">
        <f aca="false">SUMIF('Raw - Sessions'!$Y$5:$Y$292,A33,'Raw - Sessions'!$P$5:$P$292)</f>
        <v>36.95</v>
      </c>
    </row>
    <row r="34" customFormat="false" ht="15" hidden="false" customHeight="false" outlineLevel="0" collapsed="false">
      <c r="A34" s="53" t="n">
        <v>46055</v>
      </c>
      <c r="B34" s="14" t="n">
        <f aca="false">COUNTIF('Raw - Sessions'!$Y$5:$Y$292,A34)</f>
        <v>7</v>
      </c>
      <c r="C34" s="22" t="n">
        <f aca="false">SUMIF('Raw - Sessions'!$Y$5:$Y$292,A34,'Raw - Sessions'!$E$5:$E$292)</f>
        <v>292.915105</v>
      </c>
      <c r="D34" s="42" t="n">
        <f aca="false">SUMIF('Raw - Sessions'!$Y$5:$Y$292,A34,'Raw - Sessions'!$P$5:$P$292)</f>
        <v>163.37</v>
      </c>
    </row>
    <row r="35" customFormat="false" ht="15" hidden="false" customHeight="false" outlineLevel="0" collapsed="false">
      <c r="A35" s="54" t="n">
        <v>46062</v>
      </c>
      <c r="B35" s="17" t="n">
        <f aca="false">COUNTIF('Raw - Sessions'!$Y$5:$Y$292,A35)</f>
        <v>2</v>
      </c>
      <c r="C35" s="20" t="n">
        <f aca="false">SUMIF('Raw - Sessions'!$Y$5:$Y$292,A35,'Raw - Sessions'!$E$5:$E$292)</f>
        <v>77.815399</v>
      </c>
      <c r="D35" s="44" t="n">
        <f aca="false">SUMIF('Raw - Sessions'!$Y$5:$Y$292,A35,'Raw - Sessions'!$P$5:$P$292)</f>
        <v>50.22</v>
      </c>
    </row>
    <row r="36" customFormat="false" ht="15" hidden="false" customHeight="false" outlineLevel="0" collapsed="false">
      <c r="A36" s="53" t="n">
        <v>46069</v>
      </c>
      <c r="B36" s="14" t="n">
        <f aca="false">COUNTIF('Raw - Sessions'!$Y$5:$Y$292,A36)</f>
        <v>7</v>
      </c>
      <c r="C36" s="22" t="n">
        <f aca="false">SUMIF('Raw - Sessions'!$Y$5:$Y$292,A36,'Raw - Sessions'!$E$5:$E$292)</f>
        <v>165.007048</v>
      </c>
      <c r="D36" s="42" t="n">
        <f aca="false">SUMIF('Raw - Sessions'!$Y$5:$Y$292,A36,'Raw - Sessions'!$P$5:$P$292)</f>
        <v>123</v>
      </c>
    </row>
    <row r="37" customFormat="false" ht="15" hidden="false" customHeight="false" outlineLevel="0" collapsed="false">
      <c r="A37" s="54" t="n">
        <v>46076</v>
      </c>
      <c r="B37" s="17" t="n">
        <f aca="false">COUNTIF('Raw - Sessions'!$Y$5:$Y$292,A37)</f>
        <v>9</v>
      </c>
      <c r="C37" s="20" t="n">
        <f aca="false">SUMIF('Raw - Sessions'!$Y$5:$Y$292,A37,'Raw - Sessions'!$E$5:$E$292)</f>
        <v>198.335301</v>
      </c>
      <c r="D37" s="44" t="n">
        <f aca="false">SUMIF('Raw - Sessions'!$Y$5:$Y$292,A37,'Raw - Sessions'!$P$5:$P$292)</f>
        <v>129.85</v>
      </c>
    </row>
    <row r="38" customFormat="false" ht="15" hidden="false" customHeight="false" outlineLevel="0" collapsed="false">
      <c r="A38" s="53" t="n">
        <v>46083</v>
      </c>
      <c r="B38" s="14" t="n">
        <f aca="false">COUNTIF('Raw - Sessions'!$Y$5:$Y$292,A38)</f>
        <v>4</v>
      </c>
      <c r="C38" s="22" t="n">
        <f aca="false">SUMIF('Raw - Sessions'!$Y$5:$Y$292,A38,'Raw - Sessions'!$E$5:$E$292)</f>
        <v>107.428208</v>
      </c>
      <c r="D38" s="42" t="n">
        <f aca="false">SUMIF('Raw - Sessions'!$Y$5:$Y$292,A38,'Raw - Sessions'!$P$5:$P$292)</f>
        <v>71.1</v>
      </c>
    </row>
    <row r="39" customFormat="false" ht="15" hidden="false" customHeight="false" outlineLevel="0" collapsed="false">
      <c r="A39" s="54" t="n">
        <v>46090</v>
      </c>
      <c r="B39" s="17" t="n">
        <f aca="false">COUNTIF('Raw - Sessions'!$Y$5:$Y$292,A39)</f>
        <v>3</v>
      </c>
      <c r="C39" s="20" t="n">
        <f aca="false">SUMIF('Raw - Sessions'!$Y$5:$Y$292,A39,'Raw - Sessions'!$E$5:$E$292)</f>
        <v>126.902799</v>
      </c>
      <c r="D39" s="44" t="n">
        <f aca="false">SUMIF('Raw - Sessions'!$Y$5:$Y$292,A39,'Raw - Sessions'!$P$5:$P$292)</f>
        <v>82.92</v>
      </c>
    </row>
    <row r="40" customFormat="false" ht="15" hidden="false" customHeight="false" outlineLevel="0" collapsed="false">
      <c r="A40" s="53" t="n">
        <v>46097</v>
      </c>
      <c r="B40" s="14" t="n">
        <f aca="false">COUNTIF('Raw - Sessions'!$Y$5:$Y$292,A40)</f>
        <v>3</v>
      </c>
      <c r="C40" s="22" t="n">
        <f aca="false">SUMIF('Raw - Sessions'!$Y$5:$Y$292,A40,'Raw - Sessions'!$E$5:$E$292)</f>
        <v>120.495498</v>
      </c>
      <c r="D40" s="42" t="n">
        <f aca="false">SUMIF('Raw - Sessions'!$Y$5:$Y$292,A40,'Raw - Sessions'!$P$5:$P$292)</f>
        <v>75.99</v>
      </c>
    </row>
    <row r="41" customFormat="false" ht="15" hidden="false" customHeight="false" outlineLevel="0" collapsed="false">
      <c r="A41" s="54" t="n">
        <v>46104</v>
      </c>
      <c r="B41" s="17" t="n">
        <f aca="false">COUNTIF('Raw - Sessions'!$Y$5:$Y$292,A41)</f>
        <v>10</v>
      </c>
      <c r="C41" s="20" t="n">
        <f aca="false">SUMIF('Raw - Sessions'!$Y$5:$Y$292,A41,'Raw - Sessions'!$E$5:$E$292)</f>
        <v>242.539944</v>
      </c>
      <c r="D41" s="44" t="n">
        <f aca="false">SUMIF('Raw - Sessions'!$Y$5:$Y$292,A41,'Raw - Sessions'!$P$5:$P$292)</f>
        <v>187.59</v>
      </c>
    </row>
    <row r="42" customFormat="false" ht="15" hidden="false" customHeight="false" outlineLevel="0" collapsed="false">
      <c r="A42" s="53" t="n">
        <v>46111</v>
      </c>
      <c r="B42" s="14" t="n">
        <f aca="false">COUNTIF('Raw - Sessions'!$Y$5:$Y$292,A42)</f>
        <v>11</v>
      </c>
      <c r="C42" s="22" t="n">
        <f aca="false">SUMIF('Raw - Sessions'!$Y$5:$Y$292,A42,'Raw - Sessions'!$E$5:$E$292)</f>
        <v>298.474873</v>
      </c>
      <c r="D42" s="42" t="n">
        <f aca="false">SUMIF('Raw - Sessions'!$Y$5:$Y$292,A42,'Raw - Sessions'!$P$5:$P$292)</f>
        <v>229.66</v>
      </c>
    </row>
    <row r="43" customFormat="false" ht="15" hidden="false" customHeight="false" outlineLevel="0" collapsed="false">
      <c r="A43" s="54" t="n">
        <v>46118</v>
      </c>
      <c r="B43" s="17" t="n">
        <f aca="false">COUNTIF('Raw - Sessions'!$Y$5:$Y$292,A43)</f>
        <v>16</v>
      </c>
      <c r="C43" s="20" t="n">
        <f aca="false">SUMIF('Raw - Sessions'!$Y$5:$Y$292,A43,'Raw - Sessions'!$E$5:$E$292)</f>
        <v>467.037496</v>
      </c>
      <c r="D43" s="44" t="n">
        <f aca="false">SUMIF('Raw - Sessions'!$Y$5:$Y$292,A43,'Raw - Sessions'!$P$5:$P$292)</f>
        <v>300.85</v>
      </c>
    </row>
    <row r="44" customFormat="false" ht="15" hidden="false" customHeight="false" outlineLevel="0" collapsed="false">
      <c r="A44" s="53" t="n">
        <v>46125</v>
      </c>
      <c r="B44" s="14" t="n">
        <f aca="false">COUNTIF('Raw - Sessions'!$Y$5:$Y$292,A44)</f>
        <v>6</v>
      </c>
      <c r="C44" s="22" t="n">
        <f aca="false">SUMIF('Raw - Sessions'!$Y$5:$Y$292,A44,'Raw - Sessions'!$E$5:$E$292)</f>
        <v>215.727396</v>
      </c>
      <c r="D44" s="42" t="n">
        <f aca="false">SUMIF('Raw - Sessions'!$Y$5:$Y$292,A44,'Raw - Sessions'!$P$5:$P$292)</f>
        <v>138.38</v>
      </c>
    </row>
    <row r="45" customFormat="false" ht="15" hidden="false" customHeight="false" outlineLevel="0" collapsed="false">
      <c r="A45" s="54" t="n">
        <v>46132</v>
      </c>
      <c r="B45" s="17" t="n">
        <f aca="false">COUNTIF('Raw - Sessions'!$Y$5:$Y$292,A45)</f>
        <v>12</v>
      </c>
      <c r="C45" s="20" t="n">
        <f aca="false">SUMIF('Raw - Sessions'!$Y$5:$Y$292,A45,'Raw - Sessions'!$E$5:$E$292)</f>
        <v>197.710873</v>
      </c>
      <c r="D45" s="44" t="n">
        <f aca="false">SUMIF('Raw - Sessions'!$Y$5:$Y$292,A45,'Raw - Sessions'!$P$5:$P$292)</f>
        <v>154.2</v>
      </c>
    </row>
    <row r="46" customFormat="false" ht="15" hidden="false" customHeight="false" outlineLevel="0" collapsed="false">
      <c r="A46" s="53" t="n">
        <v>46139</v>
      </c>
      <c r="B46" s="14" t="n">
        <f aca="false">COUNTIF('Raw - Sessions'!$Y$5:$Y$292,A46)</f>
        <v>7</v>
      </c>
      <c r="C46" s="22" t="n">
        <f aca="false">SUMIF('Raw - Sessions'!$Y$5:$Y$292,A46,'Raw - Sessions'!$E$5:$E$292)</f>
        <v>157.671369</v>
      </c>
      <c r="D46" s="42" t="n">
        <f aca="false">SUMIF('Raw - Sessions'!$Y$5:$Y$292,A46,'Raw - Sessions'!$P$5:$P$292)</f>
        <v>105.07</v>
      </c>
    </row>
    <row r="47" customFormat="false" ht="15" hidden="false" customHeight="false" outlineLevel="0" collapsed="false">
      <c r="A47" s="54" t="n">
        <v>46146</v>
      </c>
      <c r="B47" s="17" t="n">
        <f aca="false">COUNTIF('Raw - Sessions'!$Y$5:$Y$292,A47)</f>
        <v>11</v>
      </c>
      <c r="C47" s="20" t="n">
        <f aca="false">SUMIF('Raw - Sessions'!$Y$5:$Y$292,A47,'Raw - Sessions'!$E$5:$E$292)</f>
        <v>285.427198</v>
      </c>
      <c r="D47" s="44" t="n">
        <f aca="false">SUMIF('Raw - Sessions'!$Y$5:$Y$292,A47,'Raw - Sessions'!$P$5:$P$292)</f>
        <v>201.26</v>
      </c>
    </row>
    <row r="48" customFormat="false" ht="15" hidden="false" customHeight="false" outlineLevel="0" collapsed="false">
      <c r="A48" s="53" t="n">
        <v>46153</v>
      </c>
      <c r="B48" s="14" t="n">
        <f aca="false">COUNTIF('Raw - Sessions'!$Y$5:$Y$292,A48)</f>
        <v>2</v>
      </c>
      <c r="C48" s="22" t="n">
        <f aca="false">SUMIF('Raw - Sessions'!$Y$5:$Y$292,A48,'Raw - Sessions'!$E$5:$E$292)</f>
        <v>92.4982</v>
      </c>
      <c r="D48" s="42" t="n">
        <f aca="false">SUMIF('Raw - Sessions'!$Y$5:$Y$292,A48,'Raw - Sessions'!$P$5:$P$292)</f>
        <v>63.85</v>
      </c>
    </row>
    <row r="49" customFormat="false" ht="15" hidden="false" customHeight="false" outlineLevel="0" collapsed="false">
      <c r="A49" s="54" t="n">
        <v>46160</v>
      </c>
      <c r="B49" s="17" t="n">
        <f aca="false">COUNTIF('Raw - Sessions'!$Y$5:$Y$292,A49)</f>
        <v>8</v>
      </c>
      <c r="C49" s="20" t="n">
        <f aca="false">SUMIF('Raw - Sessions'!$Y$5:$Y$292,A49,'Raw - Sessions'!$E$5:$E$292)</f>
        <v>166.10047</v>
      </c>
      <c r="D49" s="44" t="n">
        <f aca="false">SUMIF('Raw - Sessions'!$Y$5:$Y$292,A49,'Raw - Sessions'!$P$5:$P$292)</f>
        <v>126.37</v>
      </c>
    </row>
    <row r="50" customFormat="false" ht="15" hidden="false" customHeight="false" outlineLevel="0" collapsed="false">
      <c r="A50" s="53" t="n">
        <v>46167</v>
      </c>
      <c r="B50" s="14" t="n">
        <f aca="false">COUNTIF('Raw - Sessions'!$Y$5:$Y$292,A50)</f>
        <v>15</v>
      </c>
      <c r="C50" s="22" t="n">
        <f aca="false">SUMIF('Raw - Sessions'!$Y$5:$Y$292,A50,'Raw - Sessions'!$E$5:$E$292)</f>
        <v>190.932154</v>
      </c>
      <c r="D50" s="42" t="n">
        <f aca="false">SUMIF('Raw - Sessions'!$Y$5:$Y$292,A50,'Raw - Sessions'!$P$5:$P$292)</f>
        <v>156.46</v>
      </c>
    </row>
    <row r="51" customFormat="false" ht="15" hidden="false" customHeight="false" outlineLevel="0" collapsed="false">
      <c r="A51" s="54" t="n">
        <v>46174</v>
      </c>
      <c r="B51" s="17" t="n">
        <f aca="false">COUNTIF('Raw - Sessions'!$Y$5:$Y$292,A51)</f>
        <v>13</v>
      </c>
      <c r="C51" s="20" t="n">
        <f aca="false">SUMIF('Raw - Sessions'!$Y$5:$Y$292,A51,'Raw - Sessions'!$E$5:$E$292)</f>
        <v>141.5327</v>
      </c>
      <c r="D51" s="44" t="n">
        <f aca="false">SUMIF('Raw - Sessions'!$Y$5:$Y$292,A51,'Raw - Sessions'!$P$5:$P$292)</f>
        <v>101.88</v>
      </c>
    </row>
    <row r="52" customFormat="false" ht="15" hidden="false" customHeight="false" outlineLevel="0" collapsed="false">
      <c r="A52" s="53" t="n">
        <v>46181</v>
      </c>
      <c r="B52" s="14" t="n">
        <f aca="false">COUNTIF('Raw - Sessions'!$Y$5:$Y$292,A52)</f>
        <v>11</v>
      </c>
      <c r="C52" s="22" t="n">
        <f aca="false">SUMIF('Raw - Sessions'!$Y$5:$Y$292,A52,'Raw - Sessions'!$E$5:$E$292)</f>
        <v>192.7252</v>
      </c>
      <c r="D52" s="42" t="n">
        <f aca="false">SUMIF('Raw - Sessions'!$Y$5:$Y$292,A52,'Raw - Sessions'!$P$5:$P$292)</f>
        <v>137.99</v>
      </c>
    </row>
    <row r="53" customFormat="false" ht="15" hidden="false" customHeight="false" outlineLevel="0" collapsed="false">
      <c r="A53" s="54" t="n">
        <v>46188</v>
      </c>
      <c r="B53" s="17" t="n">
        <f aca="false">COUNTIF('Raw - Sessions'!$Y$5:$Y$292,A53)</f>
        <v>3</v>
      </c>
      <c r="C53" s="20" t="n">
        <f aca="false">SUMIF('Raw - Sessions'!$Y$5:$Y$292,A53,'Raw - Sessions'!$E$5:$E$292)</f>
        <v>106.9308</v>
      </c>
      <c r="D53" s="44" t="n">
        <f aca="false">SUMIF('Raw - Sessions'!$Y$5:$Y$292,A53,'Raw - Sessions'!$P$5:$P$292)</f>
        <v>75.17</v>
      </c>
    </row>
    <row r="54" customFormat="false" ht="15" hidden="false" customHeight="false" outlineLevel="0" collapsed="false">
      <c r="A54" s="53" t="n">
        <v>46195</v>
      </c>
      <c r="B54" s="14" t="n">
        <f aca="false">COUNTIF('Raw - Sessions'!$Y$5:$Y$292,A54)</f>
        <v>14</v>
      </c>
      <c r="C54" s="22" t="n">
        <f aca="false">SUMIF('Raw - Sessions'!$Y$5:$Y$292,A54,'Raw - Sessions'!$E$5:$E$292)</f>
        <v>118.532454</v>
      </c>
      <c r="D54" s="42" t="n">
        <f aca="false">SUMIF('Raw - Sessions'!$Y$5:$Y$292,A54,'Raw - Sessions'!$P$5:$P$292)</f>
        <v>84.2</v>
      </c>
    </row>
    <row r="55" customFormat="false" ht="15" hidden="false" customHeight="false" outlineLevel="0" collapsed="false">
      <c r="A55" s="54" t="n">
        <v>46202</v>
      </c>
      <c r="B55" s="17" t="n">
        <f aca="false">COUNTIF('Raw - Sessions'!$Y$5:$Y$292,A55)</f>
        <v>10</v>
      </c>
      <c r="C55" s="20" t="n">
        <f aca="false">SUMIF('Raw - Sessions'!$Y$5:$Y$292,A55,'Raw - Sessions'!$E$5:$E$292)</f>
        <v>86.581474</v>
      </c>
      <c r="D55" s="44" t="n">
        <f aca="false">SUMIF('Raw - Sessions'!$Y$5:$Y$292,A55,'Raw - Sessions'!$P$5:$P$292)</f>
        <v>73.57</v>
      </c>
    </row>
    <row r="56" customFormat="false" ht="15" hidden="false" customHeight="false" outlineLevel="0" collapsed="false">
      <c r="A56" s="53" t="n">
        <v>46209</v>
      </c>
      <c r="B56" s="14" t="n">
        <f aca="false">COUNTIF('Raw - Sessions'!$Y$5:$Y$292,A56)</f>
        <v>2</v>
      </c>
      <c r="C56" s="22" t="n">
        <f aca="false">SUMIF('Raw - Sessions'!$Y$5:$Y$292,A56,'Raw - Sessions'!$E$5:$E$292)</f>
        <v>41.392389</v>
      </c>
      <c r="D56" s="42" t="n">
        <f aca="false">SUMIF('Raw - Sessions'!$Y$5:$Y$292,A56,'Raw - Sessions'!$P$5:$P$292)</f>
        <v>46.17</v>
      </c>
    </row>
    <row r="57" customFormat="false" ht="15" hidden="false" customHeight="false" outlineLevel="0" collapsed="false">
      <c r="A57" s="4" t="s">
        <v>114</v>
      </c>
      <c r="B57" s="62" t="n">
        <f aca="false">AVERAGE(B18:B56)</f>
        <v>7.38461538461539</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4" min="3" style="0" width="14"/>
  </cols>
  <sheetData>
    <row r="1" customFormat="false" ht="16.15" hidden="false" customHeight="false" outlineLevel="0" collapsed="false">
      <c r="A1" s="50" t="s">
        <v>115</v>
      </c>
    </row>
    <row r="2" customFormat="false" ht="15" hidden="false" customHeight="false" outlineLevel="0" collapsed="false">
      <c r="A2" s="30" t="s">
        <v>116</v>
      </c>
    </row>
    <row r="4" customFormat="false" ht="15" hidden="false" customHeight="false" outlineLevel="0" collapsed="false">
      <c r="A4" s="8" t="s">
        <v>60</v>
      </c>
      <c r="B4" s="8"/>
      <c r="C4" s="8" t="s">
        <v>117</v>
      </c>
      <c r="D4" s="8"/>
      <c r="E4" s="8" t="s">
        <v>118</v>
      </c>
      <c r="F4" s="8"/>
      <c r="G4" s="8" t="s">
        <v>119</v>
      </c>
      <c r="H4" s="8"/>
    </row>
    <row r="5" customFormat="false" ht="15" hidden="false" customHeight="false" outlineLevel="0" collapsed="false">
      <c r="A5" s="63" t="n">
        <f aca="false">SUM('Raw - Sessions'!P5:P292)</f>
        <v>4036.12</v>
      </c>
      <c r="B5" s="63"/>
      <c r="C5" s="63" t="n">
        <f aca="false">SUM('Raw - Sessions'!Q5:Q292)</f>
        <v>3415.92</v>
      </c>
      <c r="D5" s="63"/>
      <c r="E5" s="64" t="n">
        <f aca="false">AVERAGE('Raw - Sessions'!P5:P292)</f>
        <v>17.1749787234043</v>
      </c>
      <c r="F5" s="64"/>
      <c r="G5" s="64" t="n">
        <f aca="false">C5/SUM('Raw - Sessions'!E5:E292)</f>
        <v>0.549474313141377</v>
      </c>
      <c r="H5" s="64"/>
    </row>
    <row r="6" customFormat="false" ht="15" hidden="false" customHeight="false" outlineLevel="0" collapsed="false">
      <c r="A6" s="63"/>
      <c r="B6" s="63"/>
      <c r="C6" s="63"/>
      <c r="D6" s="63"/>
      <c r="E6" s="64"/>
      <c r="F6" s="64"/>
      <c r="G6" s="64"/>
      <c r="H6" s="64"/>
    </row>
    <row r="9" customFormat="false" ht="15" hidden="false" customHeight="false" outlineLevel="0" collapsed="false">
      <c r="A9" s="4" t="s">
        <v>70</v>
      </c>
    </row>
    <row r="10" customFormat="false" ht="15" hidden="false" customHeight="false" outlineLevel="0" collapsed="false">
      <c r="A10" s="40" t="s">
        <v>120</v>
      </c>
      <c r="B10" s="40" t="s">
        <v>51</v>
      </c>
      <c r="C10" s="40" t="s">
        <v>54</v>
      </c>
      <c r="D10" s="40" t="s">
        <v>52</v>
      </c>
    </row>
    <row r="11" customFormat="false" ht="15" hidden="false" customHeight="false" outlineLevel="0" collapsed="false">
      <c r="A11" s="41" t="n">
        <v>45931</v>
      </c>
      <c r="B11" s="14" t="n">
        <f aca="false">COUNTIFS('Raw - Sessions'!$B$5:$B$292,"&gt;="&amp;A11,'Raw - Sessions'!$B$5:$B$292,"&lt;"&amp;DATE(YEAR(A11),MONTH(A11)+1,1))</f>
        <v>27</v>
      </c>
      <c r="C11" s="42" t="n">
        <f aca="false">SUMIFS('Raw - Sessions'!$P$5:$P$292,'Raw - Sessions'!$B$5:$B$292,"&gt;="&amp;A11,'Raw - Sessions'!$B$5:$B$292,"&lt;"&amp;DATE(YEAR(A11),MONTH(A11)+1,1))</f>
        <v>188.56</v>
      </c>
      <c r="D11" s="22" t="n">
        <f aca="false">SUMIFS('Raw - Sessions'!$E$5:$E$292,'Raw - Sessions'!$B$5:$B$292,"&gt;="&amp;A11,'Raw - Sessions'!$B$5:$B$292,"&lt;"&amp;DATE(YEAR(A11),MONTH(A11)+1,1))</f>
        <v>407.11997</v>
      </c>
    </row>
    <row r="12" customFormat="false" ht="15" hidden="false" customHeight="false" outlineLevel="0" collapsed="false">
      <c r="A12" s="43" t="n">
        <v>45962</v>
      </c>
      <c r="B12" s="17" t="n">
        <f aca="false">COUNTIFS('Raw - Sessions'!$B$5:$B$292,"&gt;="&amp;A12,'Raw - Sessions'!$B$5:$B$292,"&lt;"&amp;DATE(YEAR(A12),MONTH(A12)+1,1))</f>
        <v>29</v>
      </c>
      <c r="C12" s="44" t="n">
        <f aca="false">SUMIFS('Raw - Sessions'!$P$5:$P$292,'Raw - Sessions'!$B$5:$B$292,"&gt;="&amp;A12,'Raw - Sessions'!$B$5:$B$292,"&lt;"&amp;DATE(YEAR(A12),MONTH(A12)+1,1))</f>
        <v>401.35</v>
      </c>
      <c r="D12" s="20" t="n">
        <f aca="false">SUMIFS('Raw - Sessions'!$E$5:$E$292,'Raw - Sessions'!$B$5:$B$292,"&gt;="&amp;A12,'Raw - Sessions'!$B$5:$B$292,"&lt;"&amp;DATE(YEAR(A12),MONTH(A12)+1,1))</f>
        <v>783.172648</v>
      </c>
    </row>
    <row r="13" customFormat="false" ht="15" hidden="false" customHeight="false" outlineLevel="0" collapsed="false">
      <c r="A13" s="41" t="n">
        <v>45992</v>
      </c>
      <c r="B13" s="14" t="n">
        <f aca="false">COUNTIFS('Raw - Sessions'!$B$5:$B$292,"&gt;="&amp;A13,'Raw - Sessions'!$B$5:$B$292,"&lt;"&amp;DATE(YEAR(A13),MONTH(A13)+1,1))</f>
        <v>33</v>
      </c>
      <c r="C13" s="42" t="n">
        <f aca="false">SUMIFS('Raw - Sessions'!$P$5:$P$292,'Raw - Sessions'!$B$5:$B$292,"&gt;="&amp;A13,'Raw - Sessions'!$B$5:$B$292,"&lt;"&amp;DATE(YEAR(A13),MONTH(A13)+1,1))</f>
        <v>479.65</v>
      </c>
      <c r="D13" s="22" t="n">
        <f aca="false">SUMIFS('Raw - Sessions'!$E$5:$E$292,'Raw - Sessions'!$B$5:$B$292,"&gt;="&amp;A13,'Raw - Sessions'!$B$5:$B$292,"&lt;"&amp;DATE(YEAR(A13),MONTH(A13)+1,1))</f>
        <v>764.135962</v>
      </c>
    </row>
    <row r="14" customFormat="false" ht="15" hidden="false" customHeight="false" outlineLevel="0" collapsed="false">
      <c r="A14" s="43" t="n">
        <v>46023</v>
      </c>
      <c r="B14" s="17" t="n">
        <f aca="false">COUNTIFS('Raw - Sessions'!$B$5:$B$292,"&gt;="&amp;A14,'Raw - Sessions'!$B$5:$B$292,"&lt;"&amp;DATE(YEAR(A14),MONTH(A14)+1,1))</f>
        <v>11</v>
      </c>
      <c r="C14" s="44" t="n">
        <f aca="false">SUMIFS('Raw - Sessions'!$P$5:$P$292,'Raw - Sessions'!$B$5:$B$292,"&gt;="&amp;A14,'Raw - Sessions'!$B$5:$B$292,"&lt;"&amp;DATE(YEAR(A14),MONTH(A14)+1,1))</f>
        <v>50.49</v>
      </c>
      <c r="D14" s="20" t="n">
        <f aca="false">SUMIFS('Raw - Sessions'!$E$5:$E$292,'Raw - Sessions'!$B$5:$B$292,"&gt;="&amp;A14,'Raw - Sessions'!$B$5:$B$292,"&lt;"&amp;DATE(YEAR(A14),MONTH(A14)+1,1))</f>
        <v>98.330102</v>
      </c>
    </row>
    <row r="15" customFormat="false" ht="15" hidden="false" customHeight="false" outlineLevel="0" collapsed="false">
      <c r="A15" s="41" t="n">
        <v>46054</v>
      </c>
      <c r="B15" s="14" t="n">
        <f aca="false">COUNTIFS('Raw - Sessions'!$B$5:$B$292,"&gt;="&amp;A15,'Raw - Sessions'!$B$5:$B$292,"&lt;"&amp;DATE(YEAR(A15),MONTH(A15)+1,1))</f>
        <v>27</v>
      </c>
      <c r="C15" s="42" t="n">
        <f aca="false">SUMIFS('Raw - Sessions'!$P$5:$P$292,'Raw - Sessions'!$B$5:$B$292,"&gt;="&amp;A15,'Raw - Sessions'!$B$5:$B$292,"&lt;"&amp;DATE(YEAR(A15),MONTH(A15)+1,1))</f>
        <v>503.39</v>
      </c>
      <c r="D15" s="22" t="n">
        <f aca="false">SUMIFS('Raw - Sessions'!$E$5:$E$292,'Raw - Sessions'!$B$5:$B$292,"&gt;="&amp;A15,'Raw - Sessions'!$B$5:$B$292,"&lt;"&amp;DATE(YEAR(A15),MONTH(A15)+1,1))</f>
        <v>807.305351</v>
      </c>
    </row>
    <row r="16" customFormat="false" ht="15" hidden="false" customHeight="false" outlineLevel="0" collapsed="false">
      <c r="A16" s="43" t="n">
        <v>46082</v>
      </c>
      <c r="B16" s="17" t="n">
        <f aca="false">COUNTIFS('Raw - Sessions'!$B$5:$B$292,"&gt;="&amp;A16,'Raw - Sessions'!$B$5:$B$292,"&lt;"&amp;DATE(YEAR(A16),MONTH(A16)+1,1))</f>
        <v>21</v>
      </c>
      <c r="C16" s="44" t="n">
        <f aca="false">SUMIFS('Raw - Sessions'!$P$5:$P$292,'Raw - Sessions'!$B$5:$B$292,"&gt;="&amp;A16,'Raw - Sessions'!$B$5:$B$292,"&lt;"&amp;DATE(YEAR(A16),MONTH(A16)+1,1))</f>
        <v>462.35</v>
      </c>
      <c r="D16" s="20" t="n">
        <f aca="false">SUMIFS('Raw - Sessions'!$E$5:$E$292,'Raw - Sessions'!$B$5:$B$292,"&gt;="&amp;A16,'Raw - Sessions'!$B$5:$B$292,"&lt;"&amp;DATE(YEAR(A16),MONTH(A16)+1,1))</f>
        <v>655.183347</v>
      </c>
    </row>
    <row r="17" customFormat="false" ht="15" hidden="false" customHeight="false" outlineLevel="0" collapsed="false">
      <c r="A17" s="41" t="n">
        <v>46113</v>
      </c>
      <c r="B17" s="14" t="n">
        <f aca="false">COUNTIFS('Raw - Sessions'!$B$5:$B$292,"&gt;="&amp;A17,'Raw - Sessions'!$B$5:$B$292,"&lt;"&amp;DATE(YEAR(A17),MONTH(A17)+1,1))</f>
        <v>47</v>
      </c>
      <c r="C17" s="42" t="n">
        <f aca="false">SUMIFS('Raw - Sessions'!$P$5:$P$292,'Raw - Sessions'!$B$5:$B$292,"&gt;="&amp;A17,'Raw - Sessions'!$B$5:$B$292,"&lt;"&amp;DATE(YEAR(A17),MONTH(A17)+1,1))</f>
        <v>825.21</v>
      </c>
      <c r="D17" s="22" t="n">
        <f aca="false">SUMIFS('Raw - Sessions'!$E$5:$E$292,'Raw - Sessions'!$B$5:$B$292,"&gt;="&amp;A17,'Raw - Sessions'!$B$5:$B$292,"&lt;"&amp;DATE(YEAR(A17),MONTH(A17)+1,1))</f>
        <v>1195.58804</v>
      </c>
    </row>
    <row r="18" customFormat="false" ht="15" hidden="false" customHeight="false" outlineLevel="0" collapsed="false">
      <c r="A18" s="43" t="n">
        <v>46143</v>
      </c>
      <c r="B18" s="17" t="n">
        <f aca="false">COUNTIFS('Raw - Sessions'!$B$5:$B$292,"&gt;="&amp;A18,'Raw - Sessions'!$B$5:$B$292,"&lt;"&amp;DATE(YEAR(A18),MONTH(A18)+1,1))</f>
        <v>40</v>
      </c>
      <c r="C18" s="44" t="n">
        <f aca="false">SUMIFS('Raw - Sessions'!$P$5:$P$292,'Raw - Sessions'!$B$5:$B$292,"&gt;="&amp;A18,'Raw - Sessions'!$B$5:$B$292,"&lt;"&amp;DATE(YEAR(A18),MONTH(A18)+1,1))</f>
        <v>606.14</v>
      </c>
      <c r="D18" s="20" t="n">
        <f aca="false">SUMIFS('Raw - Sessions'!$E$5:$E$292,'Raw - Sessions'!$B$5:$B$292,"&gt;="&amp;A18,'Raw - Sessions'!$B$5:$B$292,"&lt;"&amp;DATE(YEAR(A18),MONTH(A18)+1,1))</f>
        <v>818.175091</v>
      </c>
    </row>
    <row r="19" customFormat="false" ht="15" hidden="false" customHeight="false" outlineLevel="0" collapsed="false">
      <c r="A19" s="41" t="n">
        <v>46174</v>
      </c>
      <c r="B19" s="14" t="n">
        <f aca="false">COUNTIFS('Raw - Sessions'!$B$5:$B$292,"&gt;="&amp;A19,'Raw - Sessions'!$B$5:$B$292,"&lt;"&amp;DATE(YEAR(A19),MONTH(A19)+1,1))</f>
        <v>46</v>
      </c>
      <c r="C19" s="42" t="n">
        <f aca="false">SUMIFS('Raw - Sessions'!$P$5:$P$292,'Raw - Sessions'!$B$5:$B$292,"&gt;="&amp;A19,'Raw - Sessions'!$B$5:$B$292,"&lt;"&amp;DATE(YEAR(A19),MONTH(A19)+1,1))</f>
        <v>425.72</v>
      </c>
      <c r="D19" s="22" t="n">
        <f aca="false">SUMIFS('Raw - Sessions'!$E$5:$E$292,'Raw - Sessions'!$B$5:$B$292,"&gt;="&amp;A19,'Raw - Sessions'!$B$5:$B$292,"&lt;"&amp;DATE(YEAR(A19),MONTH(A19)+1,1))</f>
        <v>581.797728</v>
      </c>
    </row>
    <row r="20" customFormat="false" ht="15" hidden="false" customHeight="false" outlineLevel="0" collapsed="false">
      <c r="A20" s="43" t="n">
        <v>46204</v>
      </c>
      <c r="B20" s="17" t="n">
        <f aca="false">COUNTIFS('Raw - Sessions'!$B$5:$B$292,"&gt;="&amp;A20,'Raw - Sessions'!$B$5:$B$292,"&lt;"&amp;DATE(YEAR(A20),MONTH(A20)+1,1))</f>
        <v>7</v>
      </c>
      <c r="C20" s="44" t="n">
        <f aca="false">SUMIFS('Raw - Sessions'!$P$5:$P$292,'Raw - Sessions'!$B$5:$B$292,"&gt;="&amp;A20,'Raw - Sessions'!$B$5:$B$292,"&lt;"&amp;DATE(YEAR(A20),MONTH(A20)+1,1))</f>
        <v>93.26</v>
      </c>
      <c r="D20" s="20" t="n">
        <f aca="false">SUMIFS('Raw - Sessions'!$E$5:$E$292,'Raw - Sessions'!$B$5:$B$292,"&gt;="&amp;A20,'Raw - Sessions'!$B$5:$B$292,"&lt;"&amp;DATE(YEAR(A20),MONTH(A20)+1,1))</f>
        <v>105.897289</v>
      </c>
    </row>
    <row r="23" customFormat="false" ht="15" hidden="false" customHeight="false" outlineLevel="0" collapsed="false">
      <c r="A23" s="4" t="s">
        <v>121</v>
      </c>
    </row>
    <row r="24" customFormat="false" ht="43.5" hidden="false" customHeight="true" outlineLevel="0" collapsed="false">
      <c r="A24" s="3" t="s">
        <v>122</v>
      </c>
      <c r="B24" s="3"/>
      <c r="C24" s="3"/>
      <c r="D24" s="3"/>
      <c r="E24" s="3"/>
      <c r="F24" s="3"/>
    </row>
    <row r="25" customFormat="false" ht="43.5" hidden="false" customHeight="true" outlineLevel="0" collapsed="false">
      <c r="A25" s="3" t="s">
        <v>123</v>
      </c>
      <c r="B25" s="3"/>
      <c r="C25" s="3"/>
      <c r="D25" s="3"/>
      <c r="E25" s="3"/>
      <c r="F25" s="3"/>
    </row>
    <row r="26" customFormat="false" ht="43.5" hidden="false" customHeight="true" outlineLevel="0" collapsed="false">
      <c r="A26" s="3" t="s">
        <v>124</v>
      </c>
      <c r="B26" s="3"/>
      <c r="C26" s="3"/>
      <c r="D26" s="3"/>
      <c r="E26" s="3"/>
      <c r="F26" s="3"/>
    </row>
    <row r="27" customFormat="false" ht="43.5" hidden="false" customHeight="true" outlineLevel="0" collapsed="false">
      <c r="A27" s="3" t="str">
        <f aca="false">"Barbourville-specific signal: of the "&amp;(COUNTIF('Raw - Sessions'!$O$5:$O$292,"KY")+COUNTIFS('Raw - Sessions'!$O$5:$O$292,"&lt;&gt;",'Raw - Sessions'!$O$5:$O$292,"&lt;&gt;KY"))&amp;" sessions with a known driver location, "&amp;COUNTIF('Raw - Sessions'!$O$5:$O$292,"KY")&amp;" originated in Kentucky and "&amp;COUNTIFS('Raw - Sessions'!$O$5:$O$292,"&lt;&gt;",'Raw - Sessions'!$O$5:$O$292,"&lt;&gt;KY")&amp;" came from other states (see Visitor Origin tab) - consistent with the station drawing highway/through traffic near US-25E, not only local drivers."</f>
        <v>Barbourville-specific signal: of the 164 sessions with a known driver location, 96 originated in Kentucky and 68 came from other states (see Visitor Origin tab) - consistent with the station drawing highway/through traffic near US-25E, not only local drivers.</v>
      </c>
      <c r="B27" s="3"/>
      <c r="C27" s="3"/>
      <c r="D27" s="3"/>
      <c r="E27" s="3"/>
      <c r="F27" s="3"/>
    </row>
    <row r="28" customFormat="false" ht="43.5" hidden="false" customHeight="true" outlineLevel="0" collapsed="false">
      <c r="A28" s="3" t="s">
        <v>125</v>
      </c>
      <c r="B28" s="3"/>
      <c r="C28" s="3"/>
      <c r="D28" s="3"/>
      <c r="E28" s="3"/>
      <c r="F28" s="3"/>
    </row>
  </sheetData>
  <mergeCells count="13">
    <mergeCell ref="A4:B4"/>
    <mergeCell ref="C4:D4"/>
    <mergeCell ref="E4:F4"/>
    <mergeCell ref="G4:H4"/>
    <mergeCell ref="A5:B6"/>
    <mergeCell ref="C5:D6"/>
    <mergeCell ref="E5:F6"/>
    <mergeCell ref="G5:H6"/>
    <mergeCell ref="A24:F24"/>
    <mergeCell ref="A25:F25"/>
    <mergeCell ref="A26:F26"/>
    <mergeCell ref="A27:F27"/>
    <mergeCell ref="A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0" topLeftCell="A3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0"/>
    <col collapsed="false" customWidth="true" hidden="false" outlineLevel="0" max="4" min="3" style="0" width="11"/>
    <col collapsed="false" customWidth="true" hidden="false" outlineLevel="0" max="5" min="5" style="0" width="13"/>
    <col collapsed="false" customWidth="true" hidden="false" outlineLevel="0" max="7" min="6" style="0" width="10"/>
    <col collapsed="false" customWidth="true" hidden="false" outlineLevel="0" max="8" min="8" style="0" width="11"/>
    <col collapsed="false" customWidth="true" hidden="false" outlineLevel="0" max="10" min="9" style="0" width="12"/>
    <col collapsed="false" customWidth="true" hidden="false" outlineLevel="0" max="11" min="11" style="0" width="11"/>
    <col collapsed="false" customWidth="true" hidden="false" outlineLevel="0" max="16" min="12" style="0" width="12"/>
  </cols>
  <sheetData>
    <row r="1" customFormat="false" ht="16.15" hidden="false" customHeight="false" outlineLevel="0" collapsed="false">
      <c r="A1" s="50" t="s">
        <v>126</v>
      </c>
    </row>
    <row r="2" customFormat="false" ht="15" hidden="false" customHeight="false" outlineLevel="0" collapsed="false">
      <c r="A2" s="30" t="s">
        <v>127</v>
      </c>
    </row>
    <row r="4" customFormat="false" ht="22.35" hidden="false" customHeight="true" outlineLevel="0" collapsed="false">
      <c r="A4" s="32" t="s">
        <v>128</v>
      </c>
      <c r="B4" s="32"/>
      <c r="C4" s="32" t="s">
        <v>129</v>
      </c>
      <c r="D4" s="32"/>
      <c r="E4" s="32" t="s">
        <v>130</v>
      </c>
      <c r="F4" s="32"/>
      <c r="G4" s="32" t="s">
        <v>131</v>
      </c>
      <c r="H4" s="32"/>
    </row>
    <row r="5" customFormat="false" ht="15" hidden="false" customHeight="false" outlineLevel="0" collapsed="false">
      <c r="A5" s="63" t="n">
        <f aca="false">SUM('Raw - Sessions'!$P$5:$P$292)</f>
        <v>4036.12</v>
      </c>
      <c r="B5" s="63"/>
      <c r="C5" s="63" t="n">
        <f aca="false">SUM('Raw - Sessions'!$W$5:$W$292)</f>
        <v>619.21</v>
      </c>
      <c r="D5" s="63"/>
      <c r="E5" s="63" t="n">
        <f aca="false">SUM('Raw - Sessions'!$Q$5:$Q$292)</f>
        <v>3415.92</v>
      </c>
      <c r="F5" s="63"/>
      <c r="G5" s="65" t="n">
        <f aca="false">C5/A5</f>
        <v>0.153417143196932</v>
      </c>
      <c r="H5" s="65"/>
    </row>
    <row r="6" customFormat="false" ht="15" hidden="false" customHeight="false" outlineLevel="0" collapsed="false">
      <c r="A6" s="63"/>
      <c r="B6" s="63"/>
      <c r="C6" s="63"/>
      <c r="D6" s="63"/>
      <c r="E6" s="63"/>
      <c r="F6" s="63"/>
      <c r="G6" s="65"/>
      <c r="H6" s="65"/>
    </row>
    <row r="9" customFormat="false" ht="15" hidden="false" customHeight="false" outlineLevel="0" collapsed="false">
      <c r="A9" s="4" t="s">
        <v>132</v>
      </c>
    </row>
    <row r="10" customFormat="false" ht="15" hidden="false" customHeight="false" outlineLevel="0" collapsed="false">
      <c r="A10" s="13" t="s">
        <v>133</v>
      </c>
      <c r="B10" s="13" t="s">
        <v>134</v>
      </c>
      <c r="C10" s="13" t="s">
        <v>135</v>
      </c>
    </row>
    <row r="11" customFormat="false" ht="15" hidden="false" customHeight="false" outlineLevel="0" collapsed="false">
      <c r="A11" s="14" t="s">
        <v>136</v>
      </c>
      <c r="B11" s="42" t="n">
        <f aca="false">SUM('Raw - Sessions'!Z5:Z292)</f>
        <v>212.16</v>
      </c>
      <c r="C11" s="66" t="s">
        <v>137</v>
      </c>
    </row>
    <row r="12" customFormat="false" ht="15" hidden="false" customHeight="false" outlineLevel="0" collapsed="false">
      <c r="A12" s="17" t="s">
        <v>138</v>
      </c>
      <c r="B12" s="44" t="n">
        <f aca="false">SUM('Raw - Sessions'!AE5:AE292)</f>
        <v>30.57</v>
      </c>
      <c r="C12" s="67" t="s">
        <v>139</v>
      </c>
    </row>
    <row r="13" customFormat="false" ht="15" hidden="false" customHeight="false" outlineLevel="0" collapsed="false">
      <c r="A13" s="14" t="s">
        <v>140</v>
      </c>
      <c r="B13" s="42" t="n">
        <f aca="false">SUM('Raw - Sessions'!AD5:AD292)</f>
        <v>376.48</v>
      </c>
      <c r="C13" s="66" t="s">
        <v>141</v>
      </c>
    </row>
    <row r="14" customFormat="false" ht="15" hidden="false" customHeight="false" outlineLevel="0" collapsed="false">
      <c r="A14" s="17" t="s">
        <v>142</v>
      </c>
      <c r="B14" s="44" t="n">
        <f aca="false">SUM('Raw - Sessions'!AA5:AA292)</f>
        <v>0</v>
      </c>
      <c r="C14" s="67" t="s">
        <v>143</v>
      </c>
    </row>
    <row r="15" customFormat="false" ht="15" hidden="false" customHeight="false" outlineLevel="0" collapsed="false">
      <c r="A15" s="14" t="s">
        <v>144</v>
      </c>
      <c r="B15" s="42" t="n">
        <f aca="false">SUM('Raw - Sessions'!AB5:AB292)</f>
        <v>0</v>
      </c>
      <c r="C15" s="66" t="s">
        <v>143</v>
      </c>
    </row>
    <row r="16" customFormat="false" ht="15" hidden="false" customHeight="false" outlineLevel="0" collapsed="false">
      <c r="A16" s="17" t="s">
        <v>145</v>
      </c>
      <c r="B16" s="44" t="n">
        <f aca="false">SUM('Raw - Sessions'!AC5:AC292)</f>
        <v>0</v>
      </c>
      <c r="C16" s="67" t="s">
        <v>143</v>
      </c>
    </row>
    <row r="17" customFormat="false" ht="19.5" hidden="false" customHeight="true" outlineLevel="0" collapsed="false">
      <c r="A17" s="7" t="s">
        <v>146</v>
      </c>
      <c r="B17" s="7"/>
      <c r="C17" s="7"/>
      <c r="D17" s="7"/>
      <c r="E17" s="7"/>
    </row>
    <row r="20" customFormat="false" ht="15" hidden="false" customHeight="false" outlineLevel="0" collapsed="false">
      <c r="A20" s="4" t="s">
        <v>147</v>
      </c>
    </row>
    <row r="21" customFormat="false" ht="69.75" hidden="false" customHeight="true" outlineLevel="0" collapsed="false">
      <c r="A21" s="3" t="s">
        <v>148</v>
      </c>
      <c r="B21" s="3"/>
      <c r="C21" s="3"/>
      <c r="D21" s="3"/>
      <c r="E21" s="3"/>
      <c r="F21" s="3"/>
    </row>
    <row r="22" customFormat="false" ht="33.75" hidden="false" customHeight="true" outlineLevel="0" collapsed="false">
      <c r="A22" s="3" t="str">
        <f aca="false">"CHECK 1 — Gross Amount = Net Session Fee + Sales Tax + Service Fee (+ Excise/Other/Service Fee Tax, all $0 here): this reconciles exactly for "&amp;(A27-C27)&amp;" of "&amp;A27&amp;" billed sessions. "&amp;C27&amp;" session(s) fail this check by more than $0.02."</f>
        <v>CHECK 1 — Gross Amount = Net Session Fee + Sales Tax + Service Fee (+ Excise/Other/Service Fee Tax, all $0 here): this reconciles exactly for 235 of 235 billed sessions. 0 session(s) fail this check by more than $0.02.</v>
      </c>
      <c r="B22" s="3"/>
      <c r="C22" s="3"/>
      <c r="D22" s="3"/>
      <c r="E22" s="3"/>
      <c r="F22" s="3"/>
    </row>
    <row r="23" customFormat="false" ht="33.75" hidden="false" customHeight="true" outlineLevel="0" collapsed="false">
      <c r="A23" s="3" t="str">
        <f aca="false">"CHECK 2 — Payout Amount = Gross Amount − Service Fee − Flex Billing Service Fee − Sales Tax: this reconciles for "&amp;(A27-E27)&amp;" of "&amp;A27&amp;" billed sessions. "&amp;E27&amp;" session(s) do NOT reconcile and are flagged in red in the table below."</f>
        <v>CHECK 2 — Payout Amount = Gross Amount − Service Fee − Flex Billing Service Fee − Sales Tax: this reconciles for 234 of 235 billed sessions. 1 session(s) do NOT reconcile and are flagged in red in the table below.</v>
      </c>
      <c r="B23" s="3"/>
      <c r="C23" s="3"/>
      <c r="D23" s="3"/>
      <c r="E23" s="3"/>
      <c r="F23" s="3"/>
    </row>
    <row r="24" customFormat="false" ht="30" hidden="false" customHeight="true" outlineLevel="0" collapsed="false">
      <c r="A24" s="68" t="str">
        <f aca="false">IF(AND(C27=0,E27=0),"✓ All sessions reconcile - no discrepancies found.","⚠ "&amp;(C27+E27)&amp;" check(s) failed - total discrepancy found: $"&amp;TEXT(G27,"0.00")&amp;". Use the filter arrows on the Gross Check / Payout Check columns below to isolate the flagged row(s).")</f>
        <v>⚠ 1 check(s) failed - total discrepancy found: $0.99. Use the filter arrows on the Gross Check / Payout Check columns below to isolate the flagged row(s).</v>
      </c>
      <c r="B24" s="68"/>
      <c r="C24" s="68"/>
      <c r="D24" s="68"/>
      <c r="E24" s="68"/>
      <c r="F24" s="68"/>
    </row>
    <row r="26" customFormat="false" ht="22.35" hidden="false" customHeight="true" outlineLevel="0" collapsed="false">
      <c r="A26" s="32" t="s">
        <v>149</v>
      </c>
      <c r="B26" s="32"/>
      <c r="C26" s="32" t="s">
        <v>150</v>
      </c>
      <c r="D26" s="32"/>
      <c r="E26" s="32" t="s">
        <v>151</v>
      </c>
      <c r="F26" s="32"/>
      <c r="G26" s="32" t="s">
        <v>152</v>
      </c>
      <c r="H26" s="32"/>
    </row>
    <row r="27" customFormat="false" ht="15" hidden="false" customHeight="false" outlineLevel="0" collapsed="false">
      <c r="A27" s="33" t="n">
        <f aca="false">COUNT(E31:E318)</f>
        <v>235</v>
      </c>
      <c r="B27" s="33"/>
      <c r="C27" s="33" t="n">
        <f aca="false">COUNTIF(L31:L318,"MISMATCH")</f>
        <v>0</v>
      </c>
      <c r="D27" s="33"/>
      <c r="E27" s="33" t="n">
        <f aca="false">COUNTIF(P31:P318,"MISMATCH")</f>
        <v>1</v>
      </c>
      <c r="F27" s="33"/>
      <c r="G27" s="69" t="n">
        <f aca="false">SUMPRODUCT((L31:L318="MISMATCH")*ABS(N(K31:K318)))+SUMPRODUCT((P31:P318="MISMATCH")*ABS(N(O31:O318)))</f>
        <v>0.990000000000002</v>
      </c>
      <c r="H27" s="69"/>
    </row>
    <row r="28" customFormat="false" ht="15" hidden="false" customHeight="false" outlineLevel="0" collapsed="false">
      <c r="A28" s="33"/>
      <c r="B28" s="33"/>
      <c r="C28" s="33"/>
      <c r="D28" s="33"/>
      <c r="E28" s="33"/>
      <c r="F28" s="33"/>
      <c r="G28" s="69"/>
      <c r="H28" s="69"/>
    </row>
    <row r="29" customFormat="false" ht="15" hidden="false" customHeight="false" outlineLevel="0" collapsed="false">
      <c r="A29" s="4" t="s">
        <v>153</v>
      </c>
    </row>
    <row r="30" customFormat="false" ht="35.05" hidden="false" customHeight="false" outlineLevel="0" collapsed="false">
      <c r="A30" s="37" t="s">
        <v>154</v>
      </c>
      <c r="B30" s="37" t="s">
        <v>155</v>
      </c>
      <c r="C30" s="37" t="s">
        <v>156</v>
      </c>
      <c r="D30" s="37" t="s">
        <v>52</v>
      </c>
      <c r="E30" s="37" t="s">
        <v>157</v>
      </c>
      <c r="F30" s="37" t="s">
        <v>136</v>
      </c>
      <c r="G30" s="37" t="s">
        <v>158</v>
      </c>
      <c r="H30" s="37" t="s">
        <v>159</v>
      </c>
      <c r="I30" s="37" t="s">
        <v>160</v>
      </c>
      <c r="J30" s="37" t="s">
        <v>161</v>
      </c>
      <c r="K30" s="37" t="s">
        <v>162</v>
      </c>
      <c r="L30" s="37" t="s">
        <v>163</v>
      </c>
      <c r="M30" s="37" t="s">
        <v>164</v>
      </c>
      <c r="N30" s="37" t="s">
        <v>165</v>
      </c>
      <c r="O30" s="37" t="s">
        <v>166</v>
      </c>
      <c r="P30" s="37" t="s">
        <v>167</v>
      </c>
    </row>
    <row r="31" customFormat="false" ht="15" hidden="false" customHeight="false" outlineLevel="0" collapsed="false">
      <c r="A31" s="70" t="n">
        <f aca="false">'Raw - Sessions'!A5</f>
        <v>4511566811</v>
      </c>
      <c r="B31" s="70" t="str">
        <f aca="false">'Raw - Sessions'!K5</f>
        <v>BARBOURVILLE / TOURISM</v>
      </c>
      <c r="C31" s="71" t="n">
        <f aca="false">IF(ISBLANK('Raw - Sessions'!U5),"",'Raw - Sessions'!T5)</f>
        <v>0.25</v>
      </c>
      <c r="D31" s="38" t="n">
        <f aca="false">'Raw - Sessions'!E5</f>
        <v>8.483508</v>
      </c>
      <c r="E31" s="42" t="n">
        <f aca="false">IF(ISBLANK('Raw - Sessions'!U5),"",'Raw - Sessions'!U5)</f>
        <v>2.12</v>
      </c>
      <c r="F31" s="42" t="n">
        <f aca="false">IF(ISBLANK('Raw - Sessions'!U5),"",'Raw - Sessions'!Z5)</f>
        <v>0.13</v>
      </c>
      <c r="G31" s="42" t="n">
        <f aca="false">IF(ISBLANK('Raw - Sessions'!U5),"",'Raw - Sessions'!AE5)</f>
        <v>0</v>
      </c>
      <c r="H31" s="42" t="n">
        <f aca="false">IF(ISBLANK('Raw - Sessions'!U5),"",'Raw - Sessions'!AD5)</f>
        <v>0.21</v>
      </c>
      <c r="I31" s="42" t="n">
        <f aca="false">IF(ISBLANK('Raw - Sessions'!U5),"",'Raw - Sessions'!P5)</f>
        <v>2.25</v>
      </c>
      <c r="J31" s="42" t="n">
        <f aca="false">IF(E31="","",E31+F31+G31+'Raw - Sessions'!AA5+'Raw - Sessions'!AB5+'Raw - Sessions'!AC5)</f>
        <v>2.25</v>
      </c>
      <c r="K31" s="42" t="n">
        <f aca="false">IF(E31="","",I31-J31)</f>
        <v>0</v>
      </c>
      <c r="L31" s="70" t="str">
        <f aca="false">IF(E31="","",IF(ABS(K31)&gt;0.02,"MISMATCH","OK"))</f>
        <v>OK</v>
      </c>
      <c r="M31" s="42" t="n">
        <f aca="false">IF(ISBLANK('Raw - Sessions'!U5),"",'Raw - Sessions'!Q5)</f>
        <v>1.91</v>
      </c>
      <c r="N31" s="42" t="n">
        <f aca="false">IF(E31="","",I31-G31-H31-F31)</f>
        <v>1.91</v>
      </c>
      <c r="O31" s="42" t="n">
        <f aca="false">IF(E31="","",M31-N31)</f>
        <v>0</v>
      </c>
      <c r="P31" s="70" t="str">
        <f aca="false">IF(E31="","",IF(ABS(O31)&gt;0.02,"MISMATCH","OK"))</f>
        <v>OK</v>
      </c>
    </row>
    <row r="32" customFormat="false" ht="15" hidden="false" customHeight="false" outlineLevel="0" collapsed="false">
      <c r="A32" s="72" t="n">
        <f aca="false">'Raw - Sessions'!A6</f>
        <v>4523627951</v>
      </c>
      <c r="B32" s="72" t="str">
        <f aca="false">'Raw - Sessions'!K6</f>
        <v>BARBOURVILLE / CITY HALL</v>
      </c>
      <c r="C32" s="73" t="n">
        <f aca="false">IF(ISBLANK('Raw - Sessions'!U6),"",'Raw - Sessions'!T6)</f>
        <v>0.25</v>
      </c>
      <c r="D32" s="39" t="n">
        <f aca="false">'Raw - Sessions'!E6</f>
        <v>4.8593</v>
      </c>
      <c r="E32" s="44" t="n">
        <f aca="false">IF(ISBLANK('Raw - Sessions'!U6),"",'Raw - Sessions'!U6)</f>
        <v>1.21</v>
      </c>
      <c r="F32" s="44" t="n">
        <f aca="false">IF(ISBLANK('Raw - Sessions'!U6),"",'Raw - Sessions'!Z6)</f>
        <v>0.07</v>
      </c>
      <c r="G32" s="44" t="n">
        <f aca="false">IF(ISBLANK('Raw - Sessions'!U6),"",'Raw - Sessions'!AE6)</f>
        <v>0</v>
      </c>
      <c r="H32" s="44" t="n">
        <f aca="false">IF(ISBLANK('Raw - Sessions'!U6),"",'Raw - Sessions'!AD6)</f>
        <v>0.12</v>
      </c>
      <c r="I32" s="44" t="n">
        <f aca="false">IF(ISBLANK('Raw - Sessions'!U6),"",'Raw - Sessions'!P6)</f>
        <v>1.28</v>
      </c>
      <c r="J32" s="44" t="n">
        <f aca="false">IF(E32="","",E32+F32+G32+'Raw - Sessions'!AA6+'Raw - Sessions'!AB6+'Raw - Sessions'!AC6)</f>
        <v>1.28</v>
      </c>
      <c r="K32" s="44" t="n">
        <f aca="false">IF(E32="","",I32-J32)</f>
        <v>0</v>
      </c>
      <c r="L32" s="72" t="str">
        <f aca="false">IF(E32="","",IF(ABS(K32)&gt;0.02,"MISMATCH","OK"))</f>
        <v>OK</v>
      </c>
      <c r="M32" s="44" t="n">
        <f aca="false">IF(ISBLANK('Raw - Sessions'!U6),"",'Raw - Sessions'!Q6)</f>
        <v>1.09</v>
      </c>
      <c r="N32" s="44" t="n">
        <f aca="false">IF(E32="","",I32-G32-H32-F32)</f>
        <v>1.09</v>
      </c>
      <c r="O32" s="44" t="n">
        <f aca="false">IF(E32="","",M32-N32)</f>
        <v>0</v>
      </c>
      <c r="P32" s="72" t="str">
        <f aca="false">IF(E32="","",IF(ABS(O32)&gt;0.02,"MISMATCH","OK"))</f>
        <v>OK</v>
      </c>
    </row>
    <row r="33" customFormat="false" ht="15" hidden="false" customHeight="false" outlineLevel="0" collapsed="false">
      <c r="A33" s="70" t="n">
        <f aca="false">'Raw - Sessions'!A7</f>
        <v>4524317961</v>
      </c>
      <c r="B33" s="70" t="str">
        <f aca="false">'Raw - Sessions'!K7</f>
        <v>BARBOURVILLE / CITY HALL</v>
      </c>
      <c r="C33" s="71" t="str">
        <f aca="false">IF(ISBLANK('Raw - Sessions'!U7),"",'Raw - Sessions'!T7)</f>
        <v/>
      </c>
      <c r="D33" s="38" t="n">
        <f aca="false">'Raw - Sessions'!E7</f>
        <v>9.2283</v>
      </c>
      <c r="E33" s="42" t="str">
        <f aca="false">IF(ISBLANK('Raw - Sessions'!U7),"",'Raw - Sessions'!U7)</f>
        <v/>
      </c>
      <c r="F33" s="42" t="str">
        <f aca="false">IF(ISBLANK('Raw - Sessions'!U7),"",'Raw - Sessions'!Z7)</f>
        <v/>
      </c>
      <c r="G33" s="42" t="str">
        <f aca="false">IF(ISBLANK('Raw - Sessions'!U7),"",'Raw - Sessions'!AE7)</f>
        <v/>
      </c>
      <c r="H33" s="42" t="str">
        <f aca="false">IF(ISBLANK('Raw - Sessions'!U7),"",'Raw - Sessions'!AD7)</f>
        <v/>
      </c>
      <c r="I33" s="42" t="str">
        <f aca="false">IF(ISBLANK('Raw - Sessions'!U7),"",'Raw - Sessions'!P7)</f>
        <v/>
      </c>
      <c r="J33" s="42" t="str">
        <f aca="false">IF(E33="","",E33+F33+G33+'Raw - Sessions'!AA7+'Raw - Sessions'!AB7+'Raw - Sessions'!AC7)</f>
        <v/>
      </c>
      <c r="K33" s="42" t="str">
        <f aca="false">IF(E33="","",I33-J33)</f>
        <v/>
      </c>
      <c r="L33" s="70" t="str">
        <f aca="false">IF(E33="","",IF(ABS(K33)&gt;0.02,"MISMATCH","OK"))</f>
        <v/>
      </c>
      <c r="M33" s="42" t="str">
        <f aca="false">IF(ISBLANK('Raw - Sessions'!U7),"",'Raw - Sessions'!Q7)</f>
        <v/>
      </c>
      <c r="N33" s="42" t="str">
        <f aca="false">IF(E33="","",I33-G33-H33-F33)</f>
        <v/>
      </c>
      <c r="O33" s="42" t="str">
        <f aca="false">IF(E33="","",M33-N33)</f>
        <v/>
      </c>
      <c r="P33" s="70" t="str">
        <f aca="false">IF(E33="","",IF(ABS(O33)&gt;0.02,"MISMATCH","OK"))</f>
        <v/>
      </c>
    </row>
    <row r="34" customFormat="false" ht="15" hidden="false" customHeight="false" outlineLevel="0" collapsed="false">
      <c r="A34" s="72" t="n">
        <f aca="false">'Raw - Sessions'!A8</f>
        <v>4526984361</v>
      </c>
      <c r="B34" s="72" t="str">
        <f aca="false">'Raw - Sessions'!K8</f>
        <v>BARBOURVILLE / CITY HALL</v>
      </c>
      <c r="C34" s="73" t="str">
        <f aca="false">IF(ISBLANK('Raw - Sessions'!U8),"",'Raw - Sessions'!T8)</f>
        <v/>
      </c>
      <c r="D34" s="39" t="n">
        <f aca="false">'Raw - Sessions'!E8</f>
        <v>0</v>
      </c>
      <c r="E34" s="44" t="str">
        <f aca="false">IF(ISBLANK('Raw - Sessions'!U8),"",'Raw - Sessions'!U8)</f>
        <v/>
      </c>
      <c r="F34" s="44" t="str">
        <f aca="false">IF(ISBLANK('Raw - Sessions'!U8),"",'Raw - Sessions'!Z8)</f>
        <v/>
      </c>
      <c r="G34" s="44" t="str">
        <f aca="false">IF(ISBLANK('Raw - Sessions'!U8),"",'Raw - Sessions'!AE8)</f>
        <v/>
      </c>
      <c r="H34" s="44" t="str">
        <f aca="false">IF(ISBLANK('Raw - Sessions'!U8),"",'Raw - Sessions'!AD8)</f>
        <v/>
      </c>
      <c r="I34" s="44" t="str">
        <f aca="false">IF(ISBLANK('Raw - Sessions'!U8),"",'Raw - Sessions'!P8)</f>
        <v/>
      </c>
      <c r="J34" s="44" t="str">
        <f aca="false">IF(E34="","",E34+F34+G34+'Raw - Sessions'!AA8+'Raw - Sessions'!AB8+'Raw - Sessions'!AC8)</f>
        <v/>
      </c>
      <c r="K34" s="44" t="str">
        <f aca="false">IF(E34="","",I34-J34)</f>
        <v/>
      </c>
      <c r="L34" s="72" t="str">
        <f aca="false">IF(E34="","",IF(ABS(K34)&gt;0.02,"MISMATCH","OK"))</f>
        <v/>
      </c>
      <c r="M34" s="44" t="str">
        <f aca="false">IF(ISBLANK('Raw - Sessions'!U8),"",'Raw - Sessions'!Q8)</f>
        <v/>
      </c>
      <c r="N34" s="44" t="str">
        <f aca="false">IF(E34="","",I34-G34-H34-F34)</f>
        <v/>
      </c>
      <c r="O34" s="44" t="str">
        <f aca="false">IF(E34="","",M34-N34)</f>
        <v/>
      </c>
      <c r="P34" s="72" t="str">
        <f aca="false">IF(E34="","",IF(ABS(O34)&gt;0.02,"MISMATCH","OK"))</f>
        <v/>
      </c>
    </row>
    <row r="35" customFormat="false" ht="15" hidden="false" customHeight="false" outlineLevel="0" collapsed="false">
      <c r="A35" s="70" t="n">
        <f aca="false">'Raw - Sessions'!A9</f>
        <v>4526989521</v>
      </c>
      <c r="B35" s="70" t="str">
        <f aca="false">'Raw - Sessions'!K9</f>
        <v>BARBOURVILLE / CITY HALL</v>
      </c>
      <c r="C35" s="71" t="n">
        <f aca="false">IF(ISBLANK('Raw - Sessions'!U9),"",'Raw - Sessions'!T9)</f>
        <v>0.25</v>
      </c>
      <c r="D35" s="38" t="n">
        <f aca="false">'Raw - Sessions'!E9</f>
        <v>26.1175</v>
      </c>
      <c r="E35" s="42" t="n">
        <f aca="false">IF(ISBLANK('Raw - Sessions'!U9),"",'Raw - Sessions'!U9)</f>
        <v>6.53</v>
      </c>
      <c r="F35" s="42" t="n">
        <f aca="false">IF(ISBLANK('Raw - Sessions'!U9),"",'Raw - Sessions'!Z9)</f>
        <v>0.39</v>
      </c>
      <c r="G35" s="42" t="n">
        <f aca="false">IF(ISBLANK('Raw - Sessions'!U9),"",'Raw - Sessions'!AE9)</f>
        <v>0</v>
      </c>
      <c r="H35" s="42" t="n">
        <f aca="false">IF(ISBLANK('Raw - Sessions'!U9),"",'Raw - Sessions'!AD9)</f>
        <v>0.65</v>
      </c>
      <c r="I35" s="42" t="n">
        <f aca="false">IF(ISBLANK('Raw - Sessions'!U9),"",'Raw - Sessions'!P9)</f>
        <v>6.92</v>
      </c>
      <c r="J35" s="42" t="n">
        <f aca="false">IF(E35="","",E35+F35+G35+'Raw - Sessions'!AA9+'Raw - Sessions'!AB9+'Raw - Sessions'!AC9)</f>
        <v>6.92</v>
      </c>
      <c r="K35" s="42" t="n">
        <f aca="false">IF(E35="","",I35-J35)</f>
        <v>0</v>
      </c>
      <c r="L35" s="70" t="str">
        <f aca="false">IF(E35="","",IF(ABS(K35)&gt;0.02,"MISMATCH","OK"))</f>
        <v>OK</v>
      </c>
      <c r="M35" s="42" t="n">
        <f aca="false">IF(ISBLANK('Raw - Sessions'!U9),"",'Raw - Sessions'!Q9)</f>
        <v>5.88</v>
      </c>
      <c r="N35" s="42" t="n">
        <f aca="false">IF(E35="","",I35-G35-H35-F35)</f>
        <v>5.88</v>
      </c>
      <c r="O35" s="42" t="n">
        <f aca="false">IF(E35="","",M35-N35)</f>
        <v>0</v>
      </c>
      <c r="P35" s="70" t="str">
        <f aca="false">IF(E35="","",IF(ABS(O35)&gt;0.02,"MISMATCH","OK"))</f>
        <v>OK</v>
      </c>
    </row>
    <row r="36" customFormat="false" ht="15" hidden="false" customHeight="false" outlineLevel="0" collapsed="false">
      <c r="A36" s="72" t="n">
        <f aca="false">'Raw - Sessions'!A10</f>
        <v>4530183221</v>
      </c>
      <c r="B36" s="72" t="str">
        <f aca="false">'Raw - Sessions'!K10</f>
        <v>BARBOURVILLE / CITY HALL</v>
      </c>
      <c r="C36" s="73" t="n">
        <f aca="false">IF(ISBLANK('Raw - Sessions'!U10),"",'Raw - Sessions'!T10)</f>
        <v>0.25</v>
      </c>
      <c r="D36" s="39" t="n">
        <f aca="false">'Raw - Sessions'!E10</f>
        <v>42.2076</v>
      </c>
      <c r="E36" s="44" t="n">
        <f aca="false">IF(ISBLANK('Raw - Sessions'!U10),"",'Raw - Sessions'!U10)</f>
        <v>10.55</v>
      </c>
      <c r="F36" s="44" t="n">
        <f aca="false">IF(ISBLANK('Raw - Sessions'!U10),"",'Raw - Sessions'!Z10)</f>
        <v>0.63</v>
      </c>
      <c r="G36" s="44" t="n">
        <f aca="false">IF(ISBLANK('Raw - Sessions'!U10),"",'Raw - Sessions'!AE10)</f>
        <v>0</v>
      </c>
      <c r="H36" s="44" t="n">
        <f aca="false">IF(ISBLANK('Raw - Sessions'!U10),"",'Raw - Sessions'!AD10)</f>
        <v>1.05</v>
      </c>
      <c r="I36" s="44" t="n">
        <f aca="false">IF(ISBLANK('Raw - Sessions'!U10),"",'Raw - Sessions'!P10)</f>
        <v>11.18</v>
      </c>
      <c r="J36" s="44" t="n">
        <f aca="false">IF(E36="","",E36+F36+G36+'Raw - Sessions'!AA10+'Raw - Sessions'!AB10+'Raw - Sessions'!AC10)</f>
        <v>11.18</v>
      </c>
      <c r="K36" s="44" t="n">
        <f aca="false">IF(E36="","",I36-J36)</f>
        <v>0</v>
      </c>
      <c r="L36" s="72" t="str">
        <f aca="false">IF(E36="","",IF(ABS(K36)&gt;0.02,"MISMATCH","OK"))</f>
        <v>OK</v>
      </c>
      <c r="M36" s="44" t="n">
        <f aca="false">IF(ISBLANK('Raw - Sessions'!U10),"",'Raw - Sessions'!Q10)</f>
        <v>9.5</v>
      </c>
      <c r="N36" s="44" t="n">
        <f aca="false">IF(E36="","",I36-G36-H36-F36)</f>
        <v>9.5</v>
      </c>
      <c r="O36" s="44" t="n">
        <f aca="false">IF(E36="","",M36-N36)</f>
        <v>0</v>
      </c>
      <c r="P36" s="72" t="str">
        <f aca="false">IF(E36="","",IF(ABS(O36)&gt;0.02,"MISMATCH","OK"))</f>
        <v>OK</v>
      </c>
    </row>
    <row r="37" customFormat="false" ht="15" hidden="false" customHeight="false" outlineLevel="0" collapsed="false">
      <c r="A37" s="70" t="n">
        <f aca="false">'Raw - Sessions'!A11</f>
        <v>4530304121</v>
      </c>
      <c r="B37" s="70" t="str">
        <f aca="false">'Raw - Sessions'!K11</f>
        <v>BARBOURVILLE / TOURISM</v>
      </c>
      <c r="C37" s="71" t="n">
        <f aca="false">IF(ISBLANK('Raw - Sessions'!U11),"",'Raw - Sessions'!T11)</f>
        <v>0.25</v>
      </c>
      <c r="D37" s="38" t="n">
        <f aca="false">'Raw - Sessions'!E11</f>
        <v>0.583891</v>
      </c>
      <c r="E37" s="42" t="n">
        <f aca="false">IF(ISBLANK('Raw - Sessions'!U11),"",'Raw - Sessions'!U11)</f>
        <v>0.15</v>
      </c>
      <c r="F37" s="42" t="n">
        <f aca="false">IF(ISBLANK('Raw - Sessions'!U11),"",'Raw - Sessions'!Z11)</f>
        <v>0.01</v>
      </c>
      <c r="G37" s="42" t="n">
        <f aca="false">IF(ISBLANK('Raw - Sessions'!U11),"",'Raw - Sessions'!AE11)</f>
        <v>0</v>
      </c>
      <c r="H37" s="42" t="n">
        <f aca="false">IF(ISBLANK('Raw - Sessions'!U11),"",'Raw - Sessions'!AD11)</f>
        <v>0.01</v>
      </c>
      <c r="I37" s="42" t="n">
        <f aca="false">IF(ISBLANK('Raw - Sessions'!U11),"",'Raw - Sessions'!P11)</f>
        <v>0.16</v>
      </c>
      <c r="J37" s="42" t="n">
        <f aca="false">IF(E37="","",E37+F37+G37+'Raw - Sessions'!AA11+'Raw - Sessions'!AB11+'Raw - Sessions'!AC11)</f>
        <v>0.16</v>
      </c>
      <c r="K37" s="42" t="n">
        <f aca="false">IF(E37="","",I37-J37)</f>
        <v>0</v>
      </c>
      <c r="L37" s="70" t="str">
        <f aca="false">IF(E37="","",IF(ABS(K37)&gt;0.02,"MISMATCH","OK"))</f>
        <v>OK</v>
      </c>
      <c r="M37" s="42" t="n">
        <f aca="false">IF(ISBLANK('Raw - Sessions'!U11),"",'Raw - Sessions'!Q11)</f>
        <v>0.14</v>
      </c>
      <c r="N37" s="42" t="n">
        <f aca="false">IF(E37="","",I37-G37-H37-F37)</f>
        <v>0.14</v>
      </c>
      <c r="O37" s="42" t="n">
        <f aca="false">IF(E37="","",M37-N37)</f>
        <v>0</v>
      </c>
      <c r="P37" s="70" t="str">
        <f aca="false">IF(E37="","",IF(ABS(O37)&gt;0.02,"MISMATCH","OK"))</f>
        <v>OK</v>
      </c>
    </row>
    <row r="38" customFormat="false" ht="15" hidden="false" customHeight="false" outlineLevel="0" collapsed="false">
      <c r="A38" s="72" t="n">
        <f aca="false">'Raw - Sessions'!A12</f>
        <v>4530323111</v>
      </c>
      <c r="B38" s="72" t="str">
        <f aca="false">'Raw - Sessions'!K12</f>
        <v>BARBOURVILLE / TOURISM</v>
      </c>
      <c r="C38" s="73" t="str">
        <f aca="false">IF(ISBLANK('Raw - Sessions'!U12),"",'Raw - Sessions'!T12)</f>
        <v/>
      </c>
      <c r="D38" s="39" t="n">
        <f aca="false">'Raw - Sessions'!E12</f>
        <v>0</v>
      </c>
      <c r="E38" s="44" t="str">
        <f aca="false">IF(ISBLANK('Raw - Sessions'!U12),"",'Raw - Sessions'!U12)</f>
        <v/>
      </c>
      <c r="F38" s="44" t="str">
        <f aca="false">IF(ISBLANK('Raw - Sessions'!U12),"",'Raw - Sessions'!Z12)</f>
        <v/>
      </c>
      <c r="G38" s="44" t="str">
        <f aca="false">IF(ISBLANK('Raw - Sessions'!U12),"",'Raw - Sessions'!AE12)</f>
        <v/>
      </c>
      <c r="H38" s="44" t="str">
        <f aca="false">IF(ISBLANK('Raw - Sessions'!U12),"",'Raw - Sessions'!AD12)</f>
        <v/>
      </c>
      <c r="I38" s="44" t="str">
        <f aca="false">IF(ISBLANK('Raw - Sessions'!U12),"",'Raw - Sessions'!P12)</f>
        <v/>
      </c>
      <c r="J38" s="44" t="str">
        <f aca="false">IF(E38="","",E38+F38+G38+'Raw - Sessions'!AA12+'Raw - Sessions'!AB12+'Raw - Sessions'!AC12)</f>
        <v/>
      </c>
      <c r="K38" s="44" t="str">
        <f aca="false">IF(E38="","",I38-J38)</f>
        <v/>
      </c>
      <c r="L38" s="72" t="str">
        <f aca="false">IF(E38="","",IF(ABS(K38)&gt;0.02,"MISMATCH","OK"))</f>
        <v/>
      </c>
      <c r="M38" s="44" t="str">
        <f aca="false">IF(ISBLANK('Raw - Sessions'!U12),"",'Raw - Sessions'!Q12)</f>
        <v/>
      </c>
      <c r="N38" s="44" t="str">
        <f aca="false">IF(E38="","",I38-G38-H38-F38)</f>
        <v/>
      </c>
      <c r="O38" s="44" t="str">
        <f aca="false">IF(E38="","",M38-N38)</f>
        <v/>
      </c>
      <c r="P38" s="72" t="str">
        <f aca="false">IF(E38="","",IF(ABS(O38)&gt;0.02,"MISMATCH","OK"))</f>
        <v/>
      </c>
    </row>
    <row r="39" customFormat="false" ht="15" hidden="false" customHeight="false" outlineLevel="0" collapsed="false">
      <c r="A39" s="70" t="n">
        <f aca="false">'Raw - Sessions'!A13</f>
        <v>4530350941</v>
      </c>
      <c r="B39" s="70" t="str">
        <f aca="false">'Raw - Sessions'!K13</f>
        <v>BARBOURVILLE / TOURISM</v>
      </c>
      <c r="C39" s="71" t="str">
        <f aca="false">IF(ISBLANK('Raw - Sessions'!U13),"",'Raw - Sessions'!T13)</f>
        <v/>
      </c>
      <c r="D39" s="38" t="n">
        <f aca="false">'Raw - Sessions'!E13</f>
        <v>0</v>
      </c>
      <c r="E39" s="42" t="str">
        <f aca="false">IF(ISBLANK('Raw - Sessions'!U13),"",'Raw - Sessions'!U13)</f>
        <v/>
      </c>
      <c r="F39" s="42" t="str">
        <f aca="false">IF(ISBLANK('Raw - Sessions'!U13),"",'Raw - Sessions'!Z13)</f>
        <v/>
      </c>
      <c r="G39" s="42" t="str">
        <f aca="false">IF(ISBLANK('Raw - Sessions'!U13),"",'Raw - Sessions'!AE13)</f>
        <v/>
      </c>
      <c r="H39" s="42" t="str">
        <f aca="false">IF(ISBLANK('Raw - Sessions'!U13),"",'Raw - Sessions'!AD13)</f>
        <v/>
      </c>
      <c r="I39" s="42" t="str">
        <f aca="false">IF(ISBLANK('Raw - Sessions'!U13),"",'Raw - Sessions'!P13)</f>
        <v/>
      </c>
      <c r="J39" s="42" t="str">
        <f aca="false">IF(E39="","",E39+F39+G39+'Raw - Sessions'!AA13+'Raw - Sessions'!AB13+'Raw - Sessions'!AC13)</f>
        <v/>
      </c>
      <c r="K39" s="42" t="str">
        <f aca="false">IF(E39="","",I39-J39)</f>
        <v/>
      </c>
      <c r="L39" s="70" t="str">
        <f aca="false">IF(E39="","",IF(ABS(K39)&gt;0.02,"MISMATCH","OK"))</f>
        <v/>
      </c>
      <c r="M39" s="42" t="str">
        <f aca="false">IF(ISBLANK('Raw - Sessions'!U13),"",'Raw - Sessions'!Q13)</f>
        <v/>
      </c>
      <c r="N39" s="42" t="str">
        <f aca="false">IF(E39="","",I39-G39-H39-F39)</f>
        <v/>
      </c>
      <c r="O39" s="42" t="str">
        <f aca="false">IF(E39="","",M39-N39)</f>
        <v/>
      </c>
      <c r="P39" s="70" t="str">
        <f aca="false">IF(E39="","",IF(ABS(O39)&gt;0.02,"MISMATCH","OK"))</f>
        <v/>
      </c>
    </row>
    <row r="40" customFormat="false" ht="15" hidden="false" customHeight="false" outlineLevel="0" collapsed="false">
      <c r="A40" s="72" t="n">
        <f aca="false">'Raw - Sessions'!A14</f>
        <v>4530386071</v>
      </c>
      <c r="B40" s="72" t="str">
        <f aca="false">'Raw - Sessions'!K14</f>
        <v>BARBOURVILLE / TOURISM</v>
      </c>
      <c r="C40" s="73" t="n">
        <f aca="false">IF(ISBLANK('Raw - Sessions'!U14),"",'Raw - Sessions'!T14)</f>
        <v>0.25</v>
      </c>
      <c r="D40" s="39" t="n">
        <f aca="false">'Raw - Sessions'!E14</f>
        <v>12.813871</v>
      </c>
      <c r="E40" s="44" t="n">
        <f aca="false">IF(ISBLANK('Raw - Sessions'!U14),"",'Raw - Sessions'!U14)</f>
        <v>3.2</v>
      </c>
      <c r="F40" s="44" t="n">
        <f aca="false">IF(ISBLANK('Raw - Sessions'!U14),"",'Raw - Sessions'!Z14)</f>
        <v>0.19</v>
      </c>
      <c r="G40" s="44" t="n">
        <f aca="false">IF(ISBLANK('Raw - Sessions'!U14),"",'Raw - Sessions'!AE14)</f>
        <v>0</v>
      </c>
      <c r="H40" s="44" t="n">
        <f aca="false">IF(ISBLANK('Raw - Sessions'!U14),"",'Raw - Sessions'!AD14)</f>
        <v>0.32</v>
      </c>
      <c r="I40" s="44" t="n">
        <f aca="false">IF(ISBLANK('Raw - Sessions'!U14),"",'Raw - Sessions'!P14)</f>
        <v>3.39</v>
      </c>
      <c r="J40" s="44" t="n">
        <f aca="false">IF(E40="","",E40+F40+G40+'Raw - Sessions'!AA14+'Raw - Sessions'!AB14+'Raw - Sessions'!AC14)</f>
        <v>3.39</v>
      </c>
      <c r="K40" s="44" t="n">
        <f aca="false">IF(E40="","",I40-J40)</f>
        <v>0</v>
      </c>
      <c r="L40" s="72" t="str">
        <f aca="false">IF(E40="","",IF(ABS(K40)&gt;0.02,"MISMATCH","OK"))</f>
        <v>OK</v>
      </c>
      <c r="M40" s="44" t="n">
        <f aca="false">IF(ISBLANK('Raw - Sessions'!U14),"",'Raw - Sessions'!Q14)</f>
        <v>2.88</v>
      </c>
      <c r="N40" s="44" t="n">
        <f aca="false">IF(E40="","",I40-G40-H40-F40)</f>
        <v>2.88</v>
      </c>
      <c r="O40" s="44" t="n">
        <f aca="false">IF(E40="","",M40-N40)</f>
        <v>0</v>
      </c>
      <c r="P40" s="72" t="str">
        <f aca="false">IF(E40="","",IF(ABS(O40)&gt;0.02,"MISMATCH","OK"))</f>
        <v>OK</v>
      </c>
    </row>
    <row r="41" customFormat="false" ht="15" hidden="false" customHeight="false" outlineLevel="0" collapsed="false">
      <c r="A41" s="70" t="n">
        <f aca="false">'Raw - Sessions'!A15</f>
        <v>4533809491</v>
      </c>
      <c r="B41" s="70" t="str">
        <f aca="false">'Raw - Sessions'!K15</f>
        <v>BARBOURVILLE / CITY HALL</v>
      </c>
      <c r="C41" s="71" t="n">
        <f aca="false">IF(ISBLANK('Raw - Sessions'!U15),"",'Raw - Sessions'!T15)</f>
        <v>0.4</v>
      </c>
      <c r="D41" s="38" t="n">
        <f aca="false">'Raw - Sessions'!E15</f>
        <v>42.079498</v>
      </c>
      <c r="E41" s="42" t="n">
        <f aca="false">IF(ISBLANK('Raw - Sessions'!U15),"",'Raw - Sessions'!U15)</f>
        <v>22.08</v>
      </c>
      <c r="F41" s="42" t="n">
        <f aca="false">IF(ISBLANK('Raw - Sessions'!U15),"",'Raw - Sessions'!Z15)</f>
        <v>1.01</v>
      </c>
      <c r="G41" s="42" t="n">
        <f aca="false">IF(ISBLANK('Raw - Sessions'!U15),"",'Raw - Sessions'!AE15)</f>
        <v>0</v>
      </c>
      <c r="H41" s="42" t="n">
        <f aca="false">IF(ISBLANK('Raw - Sessions'!U15),"",'Raw - Sessions'!AD15)</f>
        <v>2.21</v>
      </c>
      <c r="I41" s="42" t="n">
        <f aca="false">IF(ISBLANK('Raw - Sessions'!U15),"",'Raw - Sessions'!P15)</f>
        <v>23.09</v>
      </c>
      <c r="J41" s="42" t="n">
        <f aca="false">IF(E41="","",E41+F41+G41+'Raw - Sessions'!AA15+'Raw - Sessions'!AB15+'Raw - Sessions'!AC15)</f>
        <v>23.09</v>
      </c>
      <c r="K41" s="42" t="n">
        <f aca="false">IF(E41="","",I41-J41)</f>
        <v>0</v>
      </c>
      <c r="L41" s="70" t="str">
        <f aca="false">IF(E41="","",IF(ABS(K41)&gt;0.02,"MISMATCH","OK"))</f>
        <v>OK</v>
      </c>
      <c r="M41" s="42" t="n">
        <f aca="false">IF(ISBLANK('Raw - Sessions'!U15),"",'Raw - Sessions'!Q15)</f>
        <v>19.87</v>
      </c>
      <c r="N41" s="42" t="n">
        <f aca="false">IF(E41="","",I41-G41-H41-F41)</f>
        <v>19.87</v>
      </c>
      <c r="O41" s="42" t="n">
        <f aca="false">IF(E41="","",M41-N41)</f>
        <v>0</v>
      </c>
      <c r="P41" s="70" t="str">
        <f aca="false">IF(E41="","",IF(ABS(O41)&gt;0.02,"MISMATCH","OK"))</f>
        <v>OK</v>
      </c>
    </row>
    <row r="42" customFormat="false" ht="15" hidden="false" customHeight="false" outlineLevel="0" collapsed="false">
      <c r="A42" s="72" t="n">
        <f aca="false">'Raw - Sessions'!A16</f>
        <v>4540153751</v>
      </c>
      <c r="B42" s="72" t="str">
        <f aca="false">'Raw - Sessions'!K16</f>
        <v>BARBOURVILLE / CITY HALL</v>
      </c>
      <c r="C42" s="73" t="n">
        <f aca="false">IF(ISBLANK('Raw - Sessions'!U16),"",'Raw - Sessions'!T16)</f>
        <v>0.4</v>
      </c>
      <c r="D42" s="39" t="n">
        <f aca="false">'Raw - Sessions'!E16</f>
        <v>8.8275</v>
      </c>
      <c r="E42" s="44" t="n">
        <f aca="false">IF(ISBLANK('Raw - Sessions'!U16),"",'Raw - Sessions'!U16)</f>
        <v>5.01</v>
      </c>
      <c r="F42" s="44" t="n">
        <f aca="false">IF(ISBLANK('Raw - Sessions'!U16),"",'Raw - Sessions'!Z16)</f>
        <v>0.21</v>
      </c>
      <c r="G42" s="44" t="n">
        <f aca="false">IF(ISBLANK('Raw - Sessions'!U16),"",'Raw - Sessions'!AE16)</f>
        <v>0</v>
      </c>
      <c r="H42" s="44" t="n">
        <f aca="false">IF(ISBLANK('Raw - Sessions'!U16),"",'Raw - Sessions'!AD16)</f>
        <v>0.5</v>
      </c>
      <c r="I42" s="44" t="n">
        <f aca="false">IF(ISBLANK('Raw - Sessions'!U16),"",'Raw - Sessions'!P16)</f>
        <v>5.22</v>
      </c>
      <c r="J42" s="44" t="n">
        <f aca="false">IF(E42="","",E42+F42+G42+'Raw - Sessions'!AA16+'Raw - Sessions'!AB16+'Raw - Sessions'!AC16)</f>
        <v>5.22</v>
      </c>
      <c r="K42" s="44" t="n">
        <f aca="false">IF(E42="","",I42-J42)</f>
        <v>0</v>
      </c>
      <c r="L42" s="72" t="str">
        <f aca="false">IF(E42="","",IF(ABS(K42)&gt;0.02,"MISMATCH","OK"))</f>
        <v>OK</v>
      </c>
      <c r="M42" s="44" t="n">
        <f aca="false">IF(ISBLANK('Raw - Sessions'!U16),"",'Raw - Sessions'!Q16)</f>
        <v>4.51</v>
      </c>
      <c r="N42" s="44" t="n">
        <f aca="false">IF(E42="","",I42-G42-H42-F42)</f>
        <v>4.51</v>
      </c>
      <c r="O42" s="44" t="n">
        <f aca="false">IF(E42="","",M42-N42)</f>
        <v>0</v>
      </c>
      <c r="P42" s="72" t="str">
        <f aca="false">IF(E42="","",IF(ABS(O42)&gt;0.02,"MISMATCH","OK"))</f>
        <v>OK</v>
      </c>
    </row>
    <row r="43" customFormat="false" ht="15" hidden="false" customHeight="false" outlineLevel="0" collapsed="false">
      <c r="A43" s="70" t="n">
        <f aca="false">'Raw - Sessions'!A17</f>
        <v>4540492661</v>
      </c>
      <c r="B43" s="70" t="str">
        <f aca="false">'Raw - Sessions'!K17</f>
        <v>BARBOURVILLE / CITY HALL</v>
      </c>
      <c r="C43" s="71" t="n">
        <f aca="false">IF(ISBLANK('Raw - Sessions'!U17),"",'Raw - Sessions'!T17)</f>
        <v>0.4</v>
      </c>
      <c r="D43" s="38" t="n">
        <f aca="false">'Raw - Sessions'!E17</f>
        <v>0</v>
      </c>
      <c r="E43" s="42" t="n">
        <f aca="false">IF(ISBLANK('Raw - Sessions'!U17),"",'Raw - Sessions'!U17)</f>
        <v>0.36</v>
      </c>
      <c r="F43" s="42" t="n">
        <f aca="false">IF(ISBLANK('Raw - Sessions'!U17),"",'Raw - Sessions'!Z17)</f>
        <v>0</v>
      </c>
      <c r="G43" s="42" t="n">
        <f aca="false">IF(ISBLANK('Raw - Sessions'!U17),"",'Raw - Sessions'!AE17)</f>
        <v>0</v>
      </c>
      <c r="H43" s="42" t="n">
        <f aca="false">IF(ISBLANK('Raw - Sessions'!U17),"",'Raw - Sessions'!AD17)</f>
        <v>0.04</v>
      </c>
      <c r="I43" s="42" t="n">
        <f aca="false">IF(ISBLANK('Raw - Sessions'!U17),"",'Raw - Sessions'!P17)</f>
        <v>0.36</v>
      </c>
      <c r="J43" s="42" t="n">
        <f aca="false">IF(E43="","",E43+F43+G43+'Raw - Sessions'!AA17+'Raw - Sessions'!AB17+'Raw - Sessions'!AC17)</f>
        <v>0.36</v>
      </c>
      <c r="K43" s="42" t="n">
        <f aca="false">IF(E43="","",I43-J43)</f>
        <v>0</v>
      </c>
      <c r="L43" s="70" t="str">
        <f aca="false">IF(E43="","",IF(ABS(K43)&gt;0.02,"MISMATCH","OK"))</f>
        <v>OK</v>
      </c>
      <c r="M43" s="42" t="n">
        <f aca="false">IF(ISBLANK('Raw - Sessions'!U17),"",'Raw - Sessions'!Q17)</f>
        <v>0.32</v>
      </c>
      <c r="N43" s="42" t="n">
        <f aca="false">IF(E43="","",I43-G43-H43-F43)</f>
        <v>0.32</v>
      </c>
      <c r="O43" s="42" t="n">
        <f aca="false">IF(E43="","",M43-N43)</f>
        <v>0</v>
      </c>
      <c r="P43" s="70" t="str">
        <f aca="false">IF(E43="","",IF(ABS(O43)&gt;0.02,"MISMATCH","OK"))</f>
        <v>OK</v>
      </c>
    </row>
    <row r="44" customFormat="false" ht="15" hidden="false" customHeight="false" outlineLevel="0" collapsed="false">
      <c r="A44" s="72" t="n">
        <f aca="false">'Raw - Sessions'!A18</f>
        <v>4540515451</v>
      </c>
      <c r="B44" s="72" t="str">
        <f aca="false">'Raw - Sessions'!K18</f>
        <v>BARBOURVILLE / CITY HALL</v>
      </c>
      <c r="C44" s="73" t="str">
        <f aca="false">IF(ISBLANK('Raw - Sessions'!U18),"",'Raw - Sessions'!T18)</f>
        <v/>
      </c>
      <c r="D44" s="39" t="n">
        <f aca="false">'Raw - Sessions'!E18</f>
        <v>0</v>
      </c>
      <c r="E44" s="44" t="str">
        <f aca="false">IF(ISBLANK('Raw - Sessions'!U18),"",'Raw - Sessions'!U18)</f>
        <v/>
      </c>
      <c r="F44" s="44" t="str">
        <f aca="false">IF(ISBLANK('Raw - Sessions'!U18),"",'Raw - Sessions'!Z18)</f>
        <v/>
      </c>
      <c r="G44" s="44" t="str">
        <f aca="false">IF(ISBLANK('Raw - Sessions'!U18),"",'Raw - Sessions'!AE18)</f>
        <v/>
      </c>
      <c r="H44" s="44" t="str">
        <f aca="false">IF(ISBLANK('Raw - Sessions'!U18),"",'Raw - Sessions'!AD18)</f>
        <v/>
      </c>
      <c r="I44" s="44" t="str">
        <f aca="false">IF(ISBLANK('Raw - Sessions'!U18),"",'Raw - Sessions'!P18)</f>
        <v/>
      </c>
      <c r="J44" s="44" t="str">
        <f aca="false">IF(E44="","",E44+F44+G44+'Raw - Sessions'!AA18+'Raw - Sessions'!AB18+'Raw - Sessions'!AC18)</f>
        <v/>
      </c>
      <c r="K44" s="44" t="str">
        <f aca="false">IF(E44="","",I44-J44)</f>
        <v/>
      </c>
      <c r="L44" s="72" t="str">
        <f aca="false">IF(E44="","",IF(ABS(K44)&gt;0.02,"MISMATCH","OK"))</f>
        <v/>
      </c>
      <c r="M44" s="44" t="str">
        <f aca="false">IF(ISBLANK('Raw - Sessions'!U18),"",'Raw - Sessions'!Q18)</f>
        <v/>
      </c>
      <c r="N44" s="44" t="str">
        <f aca="false">IF(E44="","",I44-G44-H44-F44)</f>
        <v/>
      </c>
      <c r="O44" s="44" t="str">
        <f aca="false">IF(E44="","",M44-N44)</f>
        <v/>
      </c>
      <c r="P44" s="72" t="str">
        <f aca="false">IF(E44="","",IF(ABS(O44)&gt;0.02,"MISMATCH","OK"))</f>
        <v/>
      </c>
    </row>
    <row r="45" customFormat="false" ht="15" hidden="false" customHeight="false" outlineLevel="0" collapsed="false">
      <c r="A45" s="70" t="n">
        <f aca="false">'Raw - Sessions'!A19</f>
        <v>4540546531</v>
      </c>
      <c r="B45" s="70" t="str">
        <f aca="false">'Raw - Sessions'!K19</f>
        <v>BARBOURVILLE / CITY HALL</v>
      </c>
      <c r="C45" s="71" t="n">
        <f aca="false">IF(ISBLANK('Raw - Sessions'!U19),"",'Raw - Sessions'!T19)</f>
        <v>0.4</v>
      </c>
      <c r="D45" s="38" t="n">
        <f aca="false">'Raw - Sessions'!E19</f>
        <v>46.164501</v>
      </c>
      <c r="E45" s="42" t="n">
        <f aca="false">IF(ISBLANK('Raw - Sessions'!U19),"",'Raw - Sessions'!U19)</f>
        <v>21.71</v>
      </c>
      <c r="F45" s="42" t="n">
        <f aca="false">IF(ISBLANK('Raw - Sessions'!U19),"",'Raw - Sessions'!Z19)</f>
        <v>1.11</v>
      </c>
      <c r="G45" s="42" t="n">
        <f aca="false">IF(ISBLANK('Raw - Sessions'!U19),"",'Raw - Sessions'!AE19)</f>
        <v>0</v>
      </c>
      <c r="H45" s="42" t="n">
        <f aca="false">IF(ISBLANK('Raw - Sessions'!U19),"",'Raw - Sessions'!AD19)</f>
        <v>2.17</v>
      </c>
      <c r="I45" s="42" t="n">
        <f aca="false">IF(ISBLANK('Raw - Sessions'!U19),"",'Raw - Sessions'!P19)</f>
        <v>22.82</v>
      </c>
      <c r="J45" s="42" t="n">
        <f aca="false">IF(E45="","",E45+F45+G45+'Raw - Sessions'!AA19+'Raw - Sessions'!AB19+'Raw - Sessions'!AC19)</f>
        <v>22.82</v>
      </c>
      <c r="K45" s="42" t="n">
        <f aca="false">IF(E45="","",I45-J45)</f>
        <v>0</v>
      </c>
      <c r="L45" s="70" t="str">
        <f aca="false">IF(E45="","",IF(ABS(K45)&gt;0.02,"MISMATCH","OK"))</f>
        <v>OK</v>
      </c>
      <c r="M45" s="42" t="n">
        <f aca="false">IF(ISBLANK('Raw - Sessions'!U19),"",'Raw - Sessions'!Q19)</f>
        <v>19.54</v>
      </c>
      <c r="N45" s="42" t="n">
        <f aca="false">IF(E45="","",I45-G45-H45-F45)</f>
        <v>19.54</v>
      </c>
      <c r="O45" s="42" t="n">
        <f aca="false">IF(E45="","",M45-N45)</f>
        <v>0</v>
      </c>
      <c r="P45" s="70" t="str">
        <f aca="false">IF(E45="","",IF(ABS(O45)&gt;0.02,"MISMATCH","OK"))</f>
        <v>OK</v>
      </c>
    </row>
    <row r="46" customFormat="false" ht="15" hidden="false" customHeight="false" outlineLevel="0" collapsed="false">
      <c r="A46" s="72" t="n">
        <f aca="false">'Raw - Sessions'!A20</f>
        <v>4540698941</v>
      </c>
      <c r="B46" s="72" t="str">
        <f aca="false">'Raw - Sessions'!K20</f>
        <v>BARBOURVILLE / CITY HALL</v>
      </c>
      <c r="C46" s="73" t="n">
        <f aca="false">IF(ISBLANK('Raw - Sessions'!U20),"",'Raw - Sessions'!T20)</f>
        <v>0.4</v>
      </c>
      <c r="D46" s="39" t="n">
        <f aca="false">'Raw - Sessions'!E20</f>
        <v>21.1</v>
      </c>
      <c r="E46" s="44" t="n">
        <f aca="false">IF(ISBLANK('Raw - Sessions'!U20),"",'Raw - Sessions'!U20)</f>
        <v>9.93</v>
      </c>
      <c r="F46" s="44" t="n">
        <f aca="false">IF(ISBLANK('Raw - Sessions'!U20),"",'Raw - Sessions'!Z20)</f>
        <v>0.51</v>
      </c>
      <c r="G46" s="44" t="n">
        <f aca="false">IF(ISBLANK('Raw - Sessions'!U20),"",'Raw - Sessions'!AE20)</f>
        <v>0</v>
      </c>
      <c r="H46" s="44" t="n">
        <f aca="false">IF(ISBLANK('Raw - Sessions'!U20),"",'Raw - Sessions'!AD20)</f>
        <v>0.99</v>
      </c>
      <c r="I46" s="44" t="n">
        <f aca="false">IF(ISBLANK('Raw - Sessions'!U20),"",'Raw - Sessions'!P20)</f>
        <v>10.44</v>
      </c>
      <c r="J46" s="44" t="n">
        <f aca="false">IF(E46="","",E46+F46+G46+'Raw - Sessions'!AA20+'Raw - Sessions'!AB20+'Raw - Sessions'!AC20)</f>
        <v>10.44</v>
      </c>
      <c r="K46" s="44" t="n">
        <f aca="false">IF(E46="","",I46-J46)</f>
        <v>0</v>
      </c>
      <c r="L46" s="72" t="str">
        <f aca="false">IF(E46="","",IF(ABS(K46)&gt;0.02,"MISMATCH","OK"))</f>
        <v>OK</v>
      </c>
      <c r="M46" s="44" t="n">
        <f aca="false">IF(ISBLANK('Raw - Sessions'!U20),"",'Raw - Sessions'!Q20)</f>
        <v>8.94</v>
      </c>
      <c r="N46" s="44" t="n">
        <f aca="false">IF(E46="","",I46-G46-H46-F46)</f>
        <v>8.94</v>
      </c>
      <c r="O46" s="44" t="n">
        <f aca="false">IF(E46="","",M46-N46)</f>
        <v>0</v>
      </c>
      <c r="P46" s="72" t="str">
        <f aca="false">IF(E46="","",IF(ABS(O46)&gt;0.02,"MISMATCH","OK"))</f>
        <v>OK</v>
      </c>
    </row>
    <row r="47" customFormat="false" ht="15" hidden="false" customHeight="false" outlineLevel="0" collapsed="false">
      <c r="A47" s="70" t="n">
        <f aca="false">'Raw - Sessions'!A21</f>
        <v>4540773061</v>
      </c>
      <c r="B47" s="70" t="str">
        <f aca="false">'Raw - Sessions'!K21</f>
        <v>BARBOURVILLE / CITY HALL</v>
      </c>
      <c r="C47" s="71" t="n">
        <f aca="false">IF(ISBLANK('Raw - Sessions'!U21),"",'Raw - Sessions'!T21)</f>
        <v>0.4</v>
      </c>
      <c r="D47" s="38" t="n">
        <f aca="false">'Raw - Sessions'!E21</f>
        <v>14.3674</v>
      </c>
      <c r="E47" s="42" t="n">
        <f aca="false">IF(ISBLANK('Raw - Sessions'!U21),"",'Raw - Sessions'!U21)</f>
        <v>8.41</v>
      </c>
      <c r="F47" s="42" t="n">
        <f aca="false">IF(ISBLANK('Raw - Sessions'!U21),"",'Raw - Sessions'!Z21)</f>
        <v>0.35</v>
      </c>
      <c r="G47" s="42" t="n">
        <f aca="false">IF(ISBLANK('Raw - Sessions'!U21),"",'Raw - Sessions'!AE21)</f>
        <v>0</v>
      </c>
      <c r="H47" s="42" t="n">
        <f aca="false">IF(ISBLANK('Raw - Sessions'!U21),"",'Raw - Sessions'!AD21)</f>
        <v>0.84</v>
      </c>
      <c r="I47" s="42" t="n">
        <f aca="false">IF(ISBLANK('Raw - Sessions'!U21),"",'Raw - Sessions'!P21)</f>
        <v>8.76</v>
      </c>
      <c r="J47" s="42" t="n">
        <f aca="false">IF(E47="","",E47+F47+G47+'Raw - Sessions'!AA21+'Raw - Sessions'!AB21+'Raw - Sessions'!AC21)</f>
        <v>8.76</v>
      </c>
      <c r="K47" s="42" t="n">
        <f aca="false">IF(E47="","",I47-J47)</f>
        <v>0</v>
      </c>
      <c r="L47" s="70" t="str">
        <f aca="false">IF(E47="","",IF(ABS(K47)&gt;0.02,"MISMATCH","OK"))</f>
        <v>OK</v>
      </c>
      <c r="M47" s="42" t="n">
        <f aca="false">IF(ISBLANK('Raw - Sessions'!U21),"",'Raw - Sessions'!Q21)</f>
        <v>7.57</v>
      </c>
      <c r="N47" s="42" t="n">
        <f aca="false">IF(E47="","",I47-G47-H47-F47)</f>
        <v>7.57</v>
      </c>
      <c r="O47" s="42" t="n">
        <f aca="false">IF(E47="","",M47-N47)</f>
        <v>0</v>
      </c>
      <c r="P47" s="70" t="str">
        <f aca="false">IF(E47="","",IF(ABS(O47)&gt;0.02,"MISMATCH","OK"))</f>
        <v>OK</v>
      </c>
    </row>
    <row r="48" customFormat="false" ht="15" hidden="false" customHeight="false" outlineLevel="0" collapsed="false">
      <c r="A48" s="72" t="n">
        <f aca="false">'Raw - Sessions'!A22</f>
        <v>4543524101</v>
      </c>
      <c r="B48" s="72" t="str">
        <f aca="false">'Raw - Sessions'!K22</f>
        <v>BARBOURVILLE / CITY HALL</v>
      </c>
      <c r="C48" s="73" t="n">
        <f aca="false">IF(ISBLANK('Raw - Sessions'!U22),"",'Raw - Sessions'!T22)</f>
        <v>0.4</v>
      </c>
      <c r="D48" s="39" t="n">
        <f aca="false">'Raw - Sessions'!E22</f>
        <v>5.3031</v>
      </c>
      <c r="E48" s="44" t="n">
        <f aca="false">IF(ISBLANK('Raw - Sessions'!U22),"",'Raw - Sessions'!U22)</f>
        <v>2.93</v>
      </c>
      <c r="F48" s="44" t="n">
        <f aca="false">IF(ISBLANK('Raw - Sessions'!U22),"",'Raw - Sessions'!Z22)</f>
        <v>0.13</v>
      </c>
      <c r="G48" s="44" t="n">
        <f aca="false">IF(ISBLANK('Raw - Sessions'!U22),"",'Raw - Sessions'!AE22)</f>
        <v>0</v>
      </c>
      <c r="H48" s="44" t="n">
        <f aca="false">IF(ISBLANK('Raw - Sessions'!U22),"",'Raw - Sessions'!AD22)</f>
        <v>0.29</v>
      </c>
      <c r="I48" s="44" t="n">
        <f aca="false">IF(ISBLANK('Raw - Sessions'!U22),"",'Raw - Sessions'!P22)</f>
        <v>3.06</v>
      </c>
      <c r="J48" s="44" t="n">
        <f aca="false">IF(E48="","",E48+F48+G48+'Raw - Sessions'!AA22+'Raw - Sessions'!AB22+'Raw - Sessions'!AC22)</f>
        <v>3.06</v>
      </c>
      <c r="K48" s="44" t="n">
        <f aca="false">IF(E48="","",I48-J48)</f>
        <v>0</v>
      </c>
      <c r="L48" s="72" t="str">
        <f aca="false">IF(E48="","",IF(ABS(K48)&gt;0.02,"MISMATCH","OK"))</f>
        <v>OK</v>
      </c>
      <c r="M48" s="44" t="n">
        <f aca="false">IF(ISBLANK('Raw - Sessions'!U22),"",'Raw - Sessions'!Q22)</f>
        <v>2.64</v>
      </c>
      <c r="N48" s="44" t="n">
        <f aca="false">IF(E48="","",I48-G48-H48-F48)</f>
        <v>2.64</v>
      </c>
      <c r="O48" s="44" t="n">
        <f aca="false">IF(E48="","",M48-N48)</f>
        <v>0</v>
      </c>
      <c r="P48" s="72" t="str">
        <f aca="false">IF(E48="","",IF(ABS(O48)&gt;0.02,"MISMATCH","OK"))</f>
        <v>OK</v>
      </c>
    </row>
    <row r="49" customFormat="false" ht="15" hidden="false" customHeight="false" outlineLevel="0" collapsed="false">
      <c r="A49" s="70" t="n">
        <f aca="false">'Raw - Sessions'!A23</f>
        <v>4545939491</v>
      </c>
      <c r="B49" s="70" t="str">
        <f aca="false">'Raw - Sessions'!K23</f>
        <v>BARBOURVILLE / CITY HALL</v>
      </c>
      <c r="C49" s="71" t="str">
        <f aca="false">IF(ISBLANK('Raw - Sessions'!U23),"",'Raw - Sessions'!T23)</f>
        <v/>
      </c>
      <c r="D49" s="38" t="n">
        <f aca="false">'Raw - Sessions'!E23</f>
        <v>0</v>
      </c>
      <c r="E49" s="42" t="str">
        <f aca="false">IF(ISBLANK('Raw - Sessions'!U23),"",'Raw - Sessions'!U23)</f>
        <v/>
      </c>
      <c r="F49" s="42" t="str">
        <f aca="false">IF(ISBLANK('Raw - Sessions'!U23),"",'Raw - Sessions'!Z23)</f>
        <v/>
      </c>
      <c r="G49" s="42" t="str">
        <f aca="false">IF(ISBLANK('Raw - Sessions'!U23),"",'Raw - Sessions'!AE23)</f>
        <v/>
      </c>
      <c r="H49" s="42" t="str">
        <f aca="false">IF(ISBLANK('Raw - Sessions'!U23),"",'Raw - Sessions'!AD23)</f>
        <v/>
      </c>
      <c r="I49" s="42" t="str">
        <f aca="false">IF(ISBLANK('Raw - Sessions'!U23),"",'Raw - Sessions'!P23)</f>
        <v/>
      </c>
      <c r="J49" s="42" t="str">
        <f aca="false">IF(E49="","",E49+F49+G49+'Raw - Sessions'!AA23+'Raw - Sessions'!AB23+'Raw - Sessions'!AC23)</f>
        <v/>
      </c>
      <c r="K49" s="42" t="str">
        <f aca="false">IF(E49="","",I49-J49)</f>
        <v/>
      </c>
      <c r="L49" s="70" t="str">
        <f aca="false">IF(E49="","",IF(ABS(K49)&gt;0.02,"MISMATCH","OK"))</f>
        <v/>
      </c>
      <c r="M49" s="42" t="str">
        <f aca="false">IF(ISBLANK('Raw - Sessions'!U23),"",'Raw - Sessions'!Q23)</f>
        <v/>
      </c>
      <c r="N49" s="42" t="str">
        <f aca="false">IF(E49="","",I49-G49-H49-F49)</f>
        <v/>
      </c>
      <c r="O49" s="42" t="str">
        <f aca="false">IF(E49="","",M49-N49)</f>
        <v/>
      </c>
      <c r="P49" s="70" t="str">
        <f aca="false">IF(E49="","",IF(ABS(O49)&gt;0.02,"MISMATCH","OK"))</f>
        <v/>
      </c>
    </row>
    <row r="50" customFormat="false" ht="15" hidden="false" customHeight="false" outlineLevel="0" collapsed="false">
      <c r="A50" s="72" t="n">
        <f aca="false">'Raw - Sessions'!A24</f>
        <v>4545941821</v>
      </c>
      <c r="B50" s="72" t="str">
        <f aca="false">'Raw - Sessions'!K24</f>
        <v>BARBOURVILLE / CITY HALL</v>
      </c>
      <c r="C50" s="73" t="n">
        <f aca="false">IF(ISBLANK('Raw - Sessions'!U24),"",'Raw - Sessions'!T24)</f>
        <v>0.4</v>
      </c>
      <c r="D50" s="39" t="n">
        <f aca="false">'Raw - Sessions'!E24</f>
        <v>5.4966</v>
      </c>
      <c r="E50" s="44" t="n">
        <f aca="false">IF(ISBLANK('Raw - Sessions'!U24),"",'Raw - Sessions'!U24)</f>
        <v>2.63</v>
      </c>
      <c r="F50" s="44" t="n">
        <f aca="false">IF(ISBLANK('Raw - Sessions'!U24),"",'Raw - Sessions'!Z24)</f>
        <v>0.13</v>
      </c>
      <c r="G50" s="44" t="n">
        <f aca="false">IF(ISBLANK('Raw - Sessions'!U24),"",'Raw - Sessions'!AE24)</f>
        <v>0</v>
      </c>
      <c r="H50" s="44" t="n">
        <f aca="false">IF(ISBLANK('Raw - Sessions'!U24),"",'Raw - Sessions'!AD24)</f>
        <v>0.26</v>
      </c>
      <c r="I50" s="44" t="n">
        <f aca="false">IF(ISBLANK('Raw - Sessions'!U24),"",'Raw - Sessions'!P24)</f>
        <v>2.76</v>
      </c>
      <c r="J50" s="44" t="n">
        <f aca="false">IF(E50="","",E50+F50+G50+'Raw - Sessions'!AA24+'Raw - Sessions'!AB24+'Raw - Sessions'!AC24)</f>
        <v>2.76</v>
      </c>
      <c r="K50" s="44" t="n">
        <f aca="false">IF(E50="","",I50-J50)</f>
        <v>0</v>
      </c>
      <c r="L50" s="72" t="str">
        <f aca="false">IF(E50="","",IF(ABS(K50)&gt;0.02,"MISMATCH","OK"))</f>
        <v>OK</v>
      </c>
      <c r="M50" s="44" t="n">
        <f aca="false">IF(ISBLANK('Raw - Sessions'!U24),"",'Raw - Sessions'!Q24)</f>
        <v>2.37</v>
      </c>
      <c r="N50" s="44" t="n">
        <f aca="false">IF(E50="","",I50-G50-H50-F50)</f>
        <v>2.37</v>
      </c>
      <c r="O50" s="44" t="n">
        <f aca="false">IF(E50="","",M50-N50)</f>
        <v>0</v>
      </c>
      <c r="P50" s="72" t="str">
        <f aca="false">IF(E50="","",IF(ABS(O50)&gt;0.02,"MISMATCH","OK"))</f>
        <v>OK</v>
      </c>
    </row>
    <row r="51" customFormat="false" ht="15" hidden="false" customHeight="false" outlineLevel="0" collapsed="false">
      <c r="A51" s="70" t="n">
        <f aca="false">'Raw - Sessions'!A25</f>
        <v>4547937941</v>
      </c>
      <c r="B51" s="70" t="str">
        <f aca="false">'Raw - Sessions'!K25</f>
        <v>BARBOURVILLE / CITY HALL</v>
      </c>
      <c r="C51" s="71" t="n">
        <f aca="false">IF(ISBLANK('Raw - Sessions'!U25),"",'Raw - Sessions'!T25)</f>
        <v>0.4</v>
      </c>
      <c r="D51" s="38" t="n">
        <f aca="false">'Raw - Sessions'!E25</f>
        <v>22.2493</v>
      </c>
      <c r="E51" s="42" t="n">
        <f aca="false">IF(ISBLANK('Raw - Sessions'!U25),"",'Raw - Sessions'!U25)</f>
        <v>10.38</v>
      </c>
      <c r="F51" s="42" t="n">
        <f aca="false">IF(ISBLANK('Raw - Sessions'!U25),"",'Raw - Sessions'!Z25)</f>
        <v>0.53</v>
      </c>
      <c r="G51" s="42" t="n">
        <f aca="false">IF(ISBLANK('Raw - Sessions'!U25),"",'Raw - Sessions'!AE25)</f>
        <v>0</v>
      </c>
      <c r="H51" s="42" t="n">
        <f aca="false">IF(ISBLANK('Raw - Sessions'!U25),"",'Raw - Sessions'!AD25)</f>
        <v>1.04</v>
      </c>
      <c r="I51" s="42" t="n">
        <f aca="false">IF(ISBLANK('Raw - Sessions'!U25),"",'Raw - Sessions'!P25)</f>
        <v>10.91</v>
      </c>
      <c r="J51" s="42" t="n">
        <f aca="false">IF(E51="","",E51+F51+G51+'Raw - Sessions'!AA25+'Raw - Sessions'!AB25+'Raw - Sessions'!AC25)</f>
        <v>10.91</v>
      </c>
      <c r="K51" s="42" t="n">
        <f aca="false">IF(E51="","",I51-J51)</f>
        <v>0</v>
      </c>
      <c r="L51" s="70" t="str">
        <f aca="false">IF(E51="","",IF(ABS(K51)&gt;0.02,"MISMATCH","OK"))</f>
        <v>OK</v>
      </c>
      <c r="M51" s="42" t="n">
        <f aca="false">IF(ISBLANK('Raw - Sessions'!U25),"",'Raw - Sessions'!Q25)</f>
        <v>9.34</v>
      </c>
      <c r="N51" s="42" t="n">
        <f aca="false">IF(E51="","",I51-G51-H51-F51)</f>
        <v>9.34</v>
      </c>
      <c r="O51" s="42" t="n">
        <f aca="false">IF(E51="","",M51-N51)</f>
        <v>0</v>
      </c>
      <c r="P51" s="70" t="str">
        <f aca="false">IF(E51="","",IF(ABS(O51)&gt;0.02,"MISMATCH","OK"))</f>
        <v>OK</v>
      </c>
    </row>
    <row r="52" customFormat="false" ht="15" hidden="false" customHeight="false" outlineLevel="0" collapsed="false">
      <c r="A52" s="72" t="n">
        <f aca="false">'Raw - Sessions'!A26</f>
        <v>4549967281</v>
      </c>
      <c r="B52" s="72" t="str">
        <f aca="false">'Raw - Sessions'!K26</f>
        <v>BARBOURVILLE / CITY HALL</v>
      </c>
      <c r="C52" s="73" t="str">
        <f aca="false">IF(ISBLANK('Raw - Sessions'!U26),"",'Raw - Sessions'!T26)</f>
        <v/>
      </c>
      <c r="D52" s="39" t="n">
        <f aca="false">'Raw - Sessions'!E26</f>
        <v>0</v>
      </c>
      <c r="E52" s="44" t="str">
        <f aca="false">IF(ISBLANK('Raw - Sessions'!U26),"",'Raw - Sessions'!U26)</f>
        <v/>
      </c>
      <c r="F52" s="44" t="str">
        <f aca="false">IF(ISBLANK('Raw - Sessions'!U26),"",'Raw - Sessions'!Z26)</f>
        <v/>
      </c>
      <c r="G52" s="44" t="str">
        <f aca="false">IF(ISBLANK('Raw - Sessions'!U26),"",'Raw - Sessions'!AE26)</f>
        <v/>
      </c>
      <c r="H52" s="44" t="str">
        <f aca="false">IF(ISBLANK('Raw - Sessions'!U26),"",'Raw - Sessions'!AD26)</f>
        <v/>
      </c>
      <c r="I52" s="44" t="str">
        <f aca="false">IF(ISBLANK('Raw - Sessions'!U26),"",'Raw - Sessions'!P26)</f>
        <v/>
      </c>
      <c r="J52" s="44" t="str">
        <f aca="false">IF(E52="","",E52+F52+G52+'Raw - Sessions'!AA26+'Raw - Sessions'!AB26+'Raw - Sessions'!AC26)</f>
        <v/>
      </c>
      <c r="K52" s="44" t="str">
        <f aca="false">IF(E52="","",I52-J52)</f>
        <v/>
      </c>
      <c r="L52" s="72" t="str">
        <f aca="false">IF(E52="","",IF(ABS(K52)&gt;0.02,"MISMATCH","OK"))</f>
        <v/>
      </c>
      <c r="M52" s="44" t="str">
        <f aca="false">IF(ISBLANK('Raw - Sessions'!U26),"",'Raw - Sessions'!Q26)</f>
        <v/>
      </c>
      <c r="N52" s="44" t="str">
        <f aca="false">IF(E52="","",I52-G52-H52-F52)</f>
        <v/>
      </c>
      <c r="O52" s="44" t="str">
        <f aca="false">IF(E52="","",M52-N52)</f>
        <v/>
      </c>
      <c r="P52" s="72" t="str">
        <f aca="false">IF(E52="","",IF(ABS(O52)&gt;0.02,"MISMATCH","OK"))</f>
        <v/>
      </c>
    </row>
    <row r="53" customFormat="false" ht="15" hidden="false" customHeight="false" outlineLevel="0" collapsed="false">
      <c r="A53" s="70" t="n">
        <f aca="false">'Raw - Sessions'!A27</f>
        <v>4549969211</v>
      </c>
      <c r="B53" s="70" t="str">
        <f aca="false">'Raw - Sessions'!K27</f>
        <v>BARBOURVILLE / CITY HALL</v>
      </c>
      <c r="C53" s="71" t="n">
        <f aca="false">IF(ISBLANK('Raw - Sessions'!U27),"",'Raw - Sessions'!T27)</f>
        <v>0.4</v>
      </c>
      <c r="D53" s="38" t="n">
        <f aca="false">'Raw - Sessions'!E27</f>
        <v>28.066799</v>
      </c>
      <c r="E53" s="42" t="n">
        <f aca="false">IF(ISBLANK('Raw - Sessions'!U27),"",'Raw - Sessions'!U27)</f>
        <v>14.23</v>
      </c>
      <c r="F53" s="42" t="n">
        <f aca="false">IF(ISBLANK('Raw - Sessions'!U27),"",'Raw - Sessions'!Z27)</f>
        <v>0.67</v>
      </c>
      <c r="G53" s="42" t="n">
        <f aca="false">IF(ISBLANK('Raw - Sessions'!U27),"",'Raw - Sessions'!AE27)</f>
        <v>0</v>
      </c>
      <c r="H53" s="42" t="n">
        <f aca="false">IF(ISBLANK('Raw - Sessions'!U27),"",'Raw - Sessions'!AD27)</f>
        <v>1.42</v>
      </c>
      <c r="I53" s="42" t="n">
        <f aca="false">IF(ISBLANK('Raw - Sessions'!U27),"",'Raw - Sessions'!P27)</f>
        <v>14.9</v>
      </c>
      <c r="J53" s="42" t="n">
        <f aca="false">IF(E53="","",E53+F53+G53+'Raw - Sessions'!AA27+'Raw - Sessions'!AB27+'Raw - Sessions'!AC27)</f>
        <v>14.9</v>
      </c>
      <c r="K53" s="42" t="n">
        <f aca="false">IF(E53="","",I53-J53)</f>
        <v>0</v>
      </c>
      <c r="L53" s="70" t="str">
        <f aca="false">IF(E53="","",IF(ABS(K53)&gt;0.02,"MISMATCH","OK"))</f>
        <v>OK</v>
      </c>
      <c r="M53" s="42" t="n">
        <f aca="false">IF(ISBLANK('Raw - Sessions'!U27),"",'Raw - Sessions'!Q27)</f>
        <v>12.81</v>
      </c>
      <c r="N53" s="42" t="n">
        <f aca="false">IF(E53="","",I53-G53-H53-F53)</f>
        <v>12.81</v>
      </c>
      <c r="O53" s="42" t="n">
        <f aca="false">IF(E53="","",M53-N53)</f>
        <v>0</v>
      </c>
      <c r="P53" s="70" t="str">
        <f aca="false">IF(E53="","",IF(ABS(O53)&gt;0.02,"MISMATCH","OK"))</f>
        <v>OK</v>
      </c>
    </row>
    <row r="54" customFormat="false" ht="15" hidden="false" customHeight="false" outlineLevel="0" collapsed="false">
      <c r="A54" s="72" t="n">
        <f aca="false">'Raw - Sessions'!A28</f>
        <v>4552702471</v>
      </c>
      <c r="B54" s="72" t="str">
        <f aca="false">'Raw - Sessions'!K28</f>
        <v>BARBOURVILLE / CITY HALL</v>
      </c>
      <c r="C54" s="73" t="n">
        <f aca="false">IF(ISBLANK('Raw - Sessions'!U28),"",'Raw - Sessions'!T28)</f>
        <v>0.4</v>
      </c>
      <c r="D54" s="39" t="n">
        <f aca="false">'Raw - Sessions'!E28</f>
        <v>66.149902</v>
      </c>
      <c r="E54" s="44" t="n">
        <f aca="false">IF(ISBLANK('Raw - Sessions'!U28),"",'Raw - Sessions'!U28)</f>
        <v>34.08</v>
      </c>
      <c r="F54" s="44" t="n">
        <f aca="false">IF(ISBLANK('Raw - Sessions'!U28),"",'Raw - Sessions'!Z28)</f>
        <v>1.59</v>
      </c>
      <c r="G54" s="44" t="n">
        <f aca="false">IF(ISBLANK('Raw - Sessions'!U28),"",'Raw - Sessions'!AE28)</f>
        <v>0</v>
      </c>
      <c r="H54" s="44" t="n">
        <f aca="false">IF(ISBLANK('Raw - Sessions'!U28),"",'Raw - Sessions'!AD28)</f>
        <v>3.41</v>
      </c>
      <c r="I54" s="44" t="n">
        <f aca="false">IF(ISBLANK('Raw - Sessions'!U28),"",'Raw - Sessions'!P28)</f>
        <v>35.67</v>
      </c>
      <c r="J54" s="44" t="n">
        <f aca="false">IF(E54="","",E54+F54+G54+'Raw - Sessions'!AA28+'Raw - Sessions'!AB28+'Raw - Sessions'!AC28)</f>
        <v>35.67</v>
      </c>
      <c r="K54" s="44" t="n">
        <f aca="false">IF(E54="","",I54-J54)</f>
        <v>0</v>
      </c>
      <c r="L54" s="72" t="str">
        <f aca="false">IF(E54="","",IF(ABS(K54)&gt;0.02,"MISMATCH","OK"))</f>
        <v>OK</v>
      </c>
      <c r="M54" s="44" t="n">
        <f aca="false">IF(ISBLANK('Raw - Sessions'!U28),"",'Raw - Sessions'!Q28)</f>
        <v>30.67</v>
      </c>
      <c r="N54" s="44" t="n">
        <f aca="false">IF(E54="","",I54-G54-H54-F54)</f>
        <v>30.67</v>
      </c>
      <c r="O54" s="44" t="n">
        <f aca="false">IF(E54="","",M54-N54)</f>
        <v>0</v>
      </c>
      <c r="P54" s="72" t="str">
        <f aca="false">IF(E54="","",IF(ABS(O54)&gt;0.02,"MISMATCH","OK"))</f>
        <v>OK</v>
      </c>
    </row>
    <row r="55" customFormat="false" ht="15" hidden="false" customHeight="false" outlineLevel="0" collapsed="false">
      <c r="A55" s="70" t="n">
        <f aca="false">'Raw - Sessions'!A29</f>
        <v>4558258911</v>
      </c>
      <c r="B55" s="70" t="str">
        <f aca="false">'Raw - Sessions'!K29</f>
        <v>BARBOURVILLE / CITY HALL</v>
      </c>
      <c r="C55" s="71" t="n">
        <f aca="false">IF(ISBLANK('Raw - Sessions'!U29),"",'Raw - Sessions'!T29)</f>
        <v>0.4</v>
      </c>
      <c r="D55" s="38" t="n">
        <f aca="false">'Raw - Sessions'!E29</f>
        <v>20.0424</v>
      </c>
      <c r="E55" s="42" t="n">
        <f aca="false">IF(ISBLANK('Raw - Sessions'!U29),"",'Raw - Sessions'!U29)</f>
        <v>13.4</v>
      </c>
      <c r="F55" s="42" t="n">
        <f aca="false">IF(ISBLANK('Raw - Sessions'!U29),"",'Raw - Sessions'!Z29)</f>
        <v>0.48</v>
      </c>
      <c r="G55" s="42" t="n">
        <f aca="false">IF(ISBLANK('Raw - Sessions'!U29),"",'Raw - Sessions'!AE29)</f>
        <v>0</v>
      </c>
      <c r="H55" s="42" t="n">
        <f aca="false">IF(ISBLANK('Raw - Sessions'!U29),"",'Raw - Sessions'!AD29)</f>
        <v>1.34</v>
      </c>
      <c r="I55" s="42" t="n">
        <f aca="false">IF(ISBLANK('Raw - Sessions'!U29),"",'Raw - Sessions'!P29)</f>
        <v>13.88</v>
      </c>
      <c r="J55" s="42" t="n">
        <f aca="false">IF(E55="","",E55+F55+G55+'Raw - Sessions'!AA29+'Raw - Sessions'!AB29+'Raw - Sessions'!AC29)</f>
        <v>13.88</v>
      </c>
      <c r="K55" s="42" t="n">
        <f aca="false">IF(E55="","",I55-J55)</f>
        <v>0</v>
      </c>
      <c r="L55" s="70" t="str">
        <f aca="false">IF(E55="","",IF(ABS(K55)&gt;0.02,"MISMATCH","OK"))</f>
        <v>OK</v>
      </c>
      <c r="M55" s="42" t="n">
        <f aca="false">IF(ISBLANK('Raw - Sessions'!U29),"",'Raw - Sessions'!Q29)</f>
        <v>12.06</v>
      </c>
      <c r="N55" s="42" t="n">
        <f aca="false">IF(E55="","",I55-G55-H55-F55)</f>
        <v>12.06</v>
      </c>
      <c r="O55" s="42" t="n">
        <f aca="false">IF(E55="","",M55-N55)</f>
        <v>0</v>
      </c>
      <c r="P55" s="70" t="str">
        <f aca="false">IF(E55="","",IF(ABS(O55)&gt;0.02,"MISMATCH","OK"))</f>
        <v>OK</v>
      </c>
    </row>
    <row r="56" customFormat="false" ht="15" hidden="false" customHeight="false" outlineLevel="0" collapsed="false">
      <c r="A56" s="72" t="n">
        <f aca="false">'Raw - Sessions'!A30</f>
        <v>4562784681</v>
      </c>
      <c r="B56" s="72" t="str">
        <f aca="false">'Raw - Sessions'!K30</f>
        <v>BARBOURVILLE / CITY HALL</v>
      </c>
      <c r="C56" s="73" t="n">
        <f aca="false">IF(ISBLANK('Raw - Sessions'!U30),"",'Raw - Sessions'!T30)</f>
        <v>0.4</v>
      </c>
      <c r="D56" s="39" t="n">
        <f aca="false">'Raw - Sessions'!E30</f>
        <v>22.979</v>
      </c>
      <c r="E56" s="44" t="n">
        <f aca="false">IF(ISBLANK('Raw - Sessions'!U30),"",'Raw - Sessions'!U30)</f>
        <v>10.74</v>
      </c>
      <c r="F56" s="44" t="n">
        <f aca="false">IF(ISBLANK('Raw - Sessions'!U30),"",'Raw - Sessions'!Z30)</f>
        <v>0.55</v>
      </c>
      <c r="G56" s="44" t="n">
        <f aca="false">IF(ISBLANK('Raw - Sessions'!U30),"",'Raw - Sessions'!AE30)</f>
        <v>0</v>
      </c>
      <c r="H56" s="44" t="n">
        <f aca="false">IF(ISBLANK('Raw - Sessions'!U30),"",'Raw - Sessions'!AD30)</f>
        <v>1.07</v>
      </c>
      <c r="I56" s="44" t="n">
        <f aca="false">IF(ISBLANK('Raw - Sessions'!U30),"",'Raw - Sessions'!P30)</f>
        <v>11.29</v>
      </c>
      <c r="J56" s="44" t="n">
        <f aca="false">IF(E56="","",E56+F56+G56+'Raw - Sessions'!AA30+'Raw - Sessions'!AB30+'Raw - Sessions'!AC30)</f>
        <v>11.29</v>
      </c>
      <c r="K56" s="44" t="n">
        <f aca="false">IF(E56="","",I56-J56)</f>
        <v>0</v>
      </c>
      <c r="L56" s="72" t="str">
        <f aca="false">IF(E56="","",IF(ABS(K56)&gt;0.02,"MISMATCH","OK"))</f>
        <v>OK</v>
      </c>
      <c r="M56" s="44" t="n">
        <f aca="false">IF(ISBLANK('Raw - Sessions'!U30),"",'Raw - Sessions'!Q30)</f>
        <v>9.67</v>
      </c>
      <c r="N56" s="44" t="n">
        <f aca="false">IF(E56="","",I56-G56-H56-F56)</f>
        <v>9.67</v>
      </c>
      <c r="O56" s="44" t="n">
        <f aca="false">IF(E56="","",M56-N56)</f>
        <v>0</v>
      </c>
      <c r="P56" s="72" t="str">
        <f aca="false">IF(E56="","",IF(ABS(O56)&gt;0.02,"MISMATCH","OK"))</f>
        <v>OK</v>
      </c>
    </row>
    <row r="57" customFormat="false" ht="15" hidden="false" customHeight="false" outlineLevel="0" collapsed="false">
      <c r="A57" s="70" t="n">
        <f aca="false">'Raw - Sessions'!A31</f>
        <v>4562924501</v>
      </c>
      <c r="B57" s="70" t="str">
        <f aca="false">'Raw - Sessions'!K31</f>
        <v>BARBOURVILLE / CITY HALL</v>
      </c>
      <c r="C57" s="71" t="n">
        <f aca="false">IF(ISBLANK('Raw - Sessions'!U31),"",'Raw - Sessions'!T31)</f>
        <v>0.4</v>
      </c>
      <c r="D57" s="38" t="n">
        <f aca="false">'Raw - Sessions'!E31</f>
        <v>0</v>
      </c>
      <c r="E57" s="42" t="n">
        <f aca="false">IF(ISBLANK('Raw - Sessions'!U31),"",'Raw - Sessions'!U31)</f>
        <v>0.22</v>
      </c>
      <c r="F57" s="42" t="n">
        <f aca="false">IF(ISBLANK('Raw - Sessions'!U31),"",'Raw - Sessions'!Z31)</f>
        <v>0</v>
      </c>
      <c r="G57" s="42" t="n">
        <f aca="false">IF(ISBLANK('Raw - Sessions'!U31),"",'Raw - Sessions'!AE31)</f>
        <v>0</v>
      </c>
      <c r="H57" s="42" t="n">
        <f aca="false">IF(ISBLANK('Raw - Sessions'!U31),"",'Raw - Sessions'!AD31)</f>
        <v>0.02</v>
      </c>
      <c r="I57" s="42" t="n">
        <f aca="false">IF(ISBLANK('Raw - Sessions'!U31),"",'Raw - Sessions'!P31)</f>
        <v>0.22</v>
      </c>
      <c r="J57" s="42" t="n">
        <f aca="false">IF(E57="","",E57+F57+G57+'Raw - Sessions'!AA31+'Raw - Sessions'!AB31+'Raw - Sessions'!AC31)</f>
        <v>0.22</v>
      </c>
      <c r="K57" s="42" t="n">
        <f aca="false">IF(E57="","",I57-J57)</f>
        <v>0</v>
      </c>
      <c r="L57" s="70" t="str">
        <f aca="false">IF(E57="","",IF(ABS(K57)&gt;0.02,"MISMATCH","OK"))</f>
        <v>OK</v>
      </c>
      <c r="M57" s="42" t="n">
        <f aca="false">IF(ISBLANK('Raw - Sessions'!U31),"",'Raw - Sessions'!Q31)</f>
        <v>0.2</v>
      </c>
      <c r="N57" s="42" t="n">
        <f aca="false">IF(E57="","",I57-G57-H57-F57)</f>
        <v>0.2</v>
      </c>
      <c r="O57" s="42" t="n">
        <f aca="false">IF(E57="","",M57-N57)</f>
        <v>0</v>
      </c>
      <c r="P57" s="70" t="str">
        <f aca="false">IF(E57="","",IF(ABS(O57)&gt;0.02,"MISMATCH","OK"))</f>
        <v>OK</v>
      </c>
    </row>
    <row r="58" customFormat="false" ht="15" hidden="false" customHeight="false" outlineLevel="0" collapsed="false">
      <c r="A58" s="72" t="n">
        <f aca="false">'Raw - Sessions'!A32</f>
        <v>4562936151</v>
      </c>
      <c r="B58" s="72" t="str">
        <f aca="false">'Raw - Sessions'!K32</f>
        <v>BARBOURVILLE / CITY HALL</v>
      </c>
      <c r="C58" s="73" t="n">
        <f aca="false">IF(ISBLANK('Raw - Sessions'!U32),"",'Raw - Sessions'!T32)</f>
        <v>0.4</v>
      </c>
      <c r="D58" s="39" t="n">
        <f aca="false">'Raw - Sessions'!E32</f>
        <v>30.7314</v>
      </c>
      <c r="E58" s="44" t="n">
        <f aca="false">IF(ISBLANK('Raw - Sessions'!U32),"",'Raw - Sessions'!U32)</f>
        <v>15.31</v>
      </c>
      <c r="F58" s="44" t="n">
        <f aca="false">IF(ISBLANK('Raw - Sessions'!U32),"",'Raw - Sessions'!Z32)</f>
        <v>0.74</v>
      </c>
      <c r="G58" s="44" t="n">
        <f aca="false">IF(ISBLANK('Raw - Sessions'!U32),"",'Raw - Sessions'!AE32)</f>
        <v>0</v>
      </c>
      <c r="H58" s="44" t="n">
        <f aca="false">IF(ISBLANK('Raw - Sessions'!U32),"",'Raw - Sessions'!AD32)</f>
        <v>1.53</v>
      </c>
      <c r="I58" s="44" t="n">
        <f aca="false">IF(ISBLANK('Raw - Sessions'!U32),"",'Raw - Sessions'!P32)</f>
        <v>16.05</v>
      </c>
      <c r="J58" s="44" t="n">
        <f aca="false">IF(E58="","",E58+F58+G58+'Raw - Sessions'!AA32+'Raw - Sessions'!AB32+'Raw - Sessions'!AC32)</f>
        <v>16.05</v>
      </c>
      <c r="K58" s="44" t="n">
        <f aca="false">IF(E58="","",I58-J58)</f>
        <v>0</v>
      </c>
      <c r="L58" s="72" t="str">
        <f aca="false">IF(E58="","",IF(ABS(K58)&gt;0.02,"MISMATCH","OK"))</f>
        <v>OK</v>
      </c>
      <c r="M58" s="44" t="n">
        <f aca="false">IF(ISBLANK('Raw - Sessions'!U32),"",'Raw - Sessions'!Q32)</f>
        <v>13.78</v>
      </c>
      <c r="N58" s="44" t="n">
        <f aca="false">IF(E58="","",I58-G58-H58-F58)</f>
        <v>13.78</v>
      </c>
      <c r="O58" s="44" t="n">
        <f aca="false">IF(E58="","",M58-N58)</f>
        <v>0</v>
      </c>
      <c r="P58" s="72" t="str">
        <f aca="false">IF(E58="","",IF(ABS(O58)&gt;0.02,"MISMATCH","OK"))</f>
        <v>OK</v>
      </c>
    </row>
    <row r="59" customFormat="false" ht="15" hidden="false" customHeight="false" outlineLevel="0" collapsed="false">
      <c r="A59" s="70" t="n">
        <f aca="false">'Raw - Sessions'!A33</f>
        <v>4563049001</v>
      </c>
      <c r="B59" s="70" t="str">
        <f aca="false">'Raw - Sessions'!K33</f>
        <v>BARBOURVILLE / TOURISM</v>
      </c>
      <c r="C59" s="71" t="str">
        <f aca="false">IF(ISBLANK('Raw - Sessions'!U33),"",'Raw - Sessions'!T33)</f>
        <v/>
      </c>
      <c r="D59" s="38" t="n">
        <f aca="false">'Raw - Sessions'!E33</f>
        <v>0</v>
      </c>
      <c r="E59" s="42" t="str">
        <f aca="false">IF(ISBLANK('Raw - Sessions'!U33),"",'Raw - Sessions'!U33)</f>
        <v/>
      </c>
      <c r="F59" s="42" t="str">
        <f aca="false">IF(ISBLANK('Raw - Sessions'!U33),"",'Raw - Sessions'!Z33)</f>
        <v/>
      </c>
      <c r="G59" s="42" t="str">
        <f aca="false">IF(ISBLANK('Raw - Sessions'!U33),"",'Raw - Sessions'!AE33)</f>
        <v/>
      </c>
      <c r="H59" s="42" t="str">
        <f aca="false">IF(ISBLANK('Raw - Sessions'!U33),"",'Raw - Sessions'!AD33)</f>
        <v/>
      </c>
      <c r="I59" s="42" t="str">
        <f aca="false">IF(ISBLANK('Raw - Sessions'!U33),"",'Raw - Sessions'!P33)</f>
        <v/>
      </c>
      <c r="J59" s="42" t="str">
        <f aca="false">IF(E59="","",E59+F59+G59+'Raw - Sessions'!AA33+'Raw - Sessions'!AB33+'Raw - Sessions'!AC33)</f>
        <v/>
      </c>
      <c r="K59" s="42" t="str">
        <f aca="false">IF(E59="","",I59-J59)</f>
        <v/>
      </c>
      <c r="L59" s="70" t="str">
        <f aca="false">IF(E59="","",IF(ABS(K59)&gt;0.02,"MISMATCH","OK"))</f>
        <v/>
      </c>
      <c r="M59" s="42" t="str">
        <f aca="false">IF(ISBLANK('Raw - Sessions'!U33),"",'Raw - Sessions'!Q33)</f>
        <v/>
      </c>
      <c r="N59" s="42" t="str">
        <f aca="false">IF(E59="","",I59-G59-H59-F59)</f>
        <v/>
      </c>
      <c r="O59" s="42" t="str">
        <f aca="false">IF(E59="","",M59-N59)</f>
        <v/>
      </c>
      <c r="P59" s="70" t="str">
        <f aca="false">IF(E59="","",IF(ABS(O59)&gt;0.02,"MISMATCH","OK"))</f>
        <v/>
      </c>
    </row>
    <row r="60" customFormat="false" ht="15" hidden="false" customHeight="false" outlineLevel="0" collapsed="false">
      <c r="A60" s="72" t="n">
        <f aca="false">'Raw - Sessions'!A34</f>
        <v>4563050701</v>
      </c>
      <c r="B60" s="72" t="str">
        <f aca="false">'Raw - Sessions'!K34</f>
        <v>BARBOURVILLE / CITY HALL</v>
      </c>
      <c r="C60" s="73" t="n">
        <f aca="false">IF(ISBLANK('Raw - Sessions'!U34),"",'Raw - Sessions'!T34)</f>
        <v>0.4</v>
      </c>
      <c r="D60" s="39" t="n">
        <f aca="false">'Raw - Sessions'!E34</f>
        <v>33.872002</v>
      </c>
      <c r="E60" s="44" t="n">
        <f aca="false">IF(ISBLANK('Raw - Sessions'!U34),"",'Raw - Sessions'!U34)</f>
        <v>16.79</v>
      </c>
      <c r="F60" s="44" t="n">
        <f aca="false">IF(ISBLANK('Raw - Sessions'!U34),"",'Raw - Sessions'!Z34)</f>
        <v>0.81</v>
      </c>
      <c r="G60" s="44" t="n">
        <f aca="false">IF(ISBLANK('Raw - Sessions'!U34),"",'Raw - Sessions'!AE34)</f>
        <v>0</v>
      </c>
      <c r="H60" s="44" t="n">
        <f aca="false">IF(ISBLANK('Raw - Sessions'!U34),"",'Raw - Sessions'!AD34)</f>
        <v>1.68</v>
      </c>
      <c r="I60" s="44" t="n">
        <f aca="false">IF(ISBLANK('Raw - Sessions'!U34),"",'Raw - Sessions'!P34)</f>
        <v>17.6</v>
      </c>
      <c r="J60" s="44" t="n">
        <f aca="false">IF(E60="","",E60+F60+G60+'Raw - Sessions'!AA34+'Raw - Sessions'!AB34+'Raw - Sessions'!AC34)</f>
        <v>17.6</v>
      </c>
      <c r="K60" s="44" t="n">
        <f aca="false">IF(E60="","",I60-J60)</f>
        <v>0</v>
      </c>
      <c r="L60" s="72" t="str">
        <f aca="false">IF(E60="","",IF(ABS(K60)&gt;0.02,"MISMATCH","OK"))</f>
        <v>OK</v>
      </c>
      <c r="M60" s="44" t="n">
        <f aca="false">IF(ISBLANK('Raw - Sessions'!U34),"",'Raw - Sessions'!Q34)</f>
        <v>15.11</v>
      </c>
      <c r="N60" s="44" t="n">
        <f aca="false">IF(E60="","",I60-G60-H60-F60)</f>
        <v>15.11</v>
      </c>
      <c r="O60" s="44" t="n">
        <f aca="false">IF(E60="","",M60-N60)</f>
        <v>0</v>
      </c>
      <c r="P60" s="72" t="str">
        <f aca="false">IF(E60="","",IF(ABS(O60)&gt;0.02,"MISMATCH","OK"))</f>
        <v>OK</v>
      </c>
    </row>
    <row r="61" customFormat="false" ht="15" hidden="false" customHeight="false" outlineLevel="0" collapsed="false">
      <c r="A61" s="70" t="n">
        <f aca="false">'Raw - Sessions'!A35</f>
        <v>4564233461</v>
      </c>
      <c r="B61" s="70" t="str">
        <f aca="false">'Raw - Sessions'!K35</f>
        <v>BARBOURVILLE / CITY HALL</v>
      </c>
      <c r="C61" s="71" t="n">
        <f aca="false">IF(ISBLANK('Raw - Sessions'!U35),"",'Raw - Sessions'!T35)</f>
        <v>0.4</v>
      </c>
      <c r="D61" s="38" t="n">
        <f aca="false">'Raw - Sessions'!E35</f>
        <v>11.2005</v>
      </c>
      <c r="E61" s="42" t="n">
        <f aca="false">IF(ISBLANK('Raw - Sessions'!U35),"",'Raw - Sessions'!U35)</f>
        <v>5.35</v>
      </c>
      <c r="F61" s="42" t="n">
        <f aca="false">IF(ISBLANK('Raw - Sessions'!U35),"",'Raw - Sessions'!Z35)</f>
        <v>0.27</v>
      </c>
      <c r="G61" s="42" t="n">
        <f aca="false">IF(ISBLANK('Raw - Sessions'!U35),"",'Raw - Sessions'!AE35)</f>
        <v>0</v>
      </c>
      <c r="H61" s="42" t="n">
        <f aca="false">IF(ISBLANK('Raw - Sessions'!U35),"",'Raw - Sessions'!AD35)</f>
        <v>0.53</v>
      </c>
      <c r="I61" s="42" t="n">
        <f aca="false">IF(ISBLANK('Raw - Sessions'!U35),"",'Raw - Sessions'!P35)</f>
        <v>5.62</v>
      </c>
      <c r="J61" s="42" t="n">
        <f aca="false">IF(E61="","",E61+F61+G61+'Raw - Sessions'!AA35+'Raw - Sessions'!AB35+'Raw - Sessions'!AC35)</f>
        <v>5.62</v>
      </c>
      <c r="K61" s="42" t="n">
        <f aca="false">IF(E61="","",I61-J61)</f>
        <v>0</v>
      </c>
      <c r="L61" s="70" t="str">
        <f aca="false">IF(E61="","",IF(ABS(K61)&gt;0.02,"MISMATCH","OK"))</f>
        <v>OK</v>
      </c>
      <c r="M61" s="42" t="n">
        <f aca="false">IF(ISBLANK('Raw - Sessions'!U35),"",'Raw - Sessions'!Q35)</f>
        <v>4.82</v>
      </c>
      <c r="N61" s="42" t="n">
        <f aca="false">IF(E61="","",I61-G61-H61-F61)</f>
        <v>4.82</v>
      </c>
      <c r="O61" s="42" t="n">
        <f aca="false">IF(E61="","",M61-N61)</f>
        <v>0</v>
      </c>
      <c r="P61" s="70" t="str">
        <f aca="false">IF(E61="","",IF(ABS(O61)&gt;0.02,"MISMATCH","OK"))</f>
        <v>OK</v>
      </c>
    </row>
    <row r="62" customFormat="false" ht="15" hidden="false" customHeight="false" outlineLevel="0" collapsed="false">
      <c r="A62" s="72" t="n">
        <f aca="false">'Raw - Sessions'!A36</f>
        <v>4572893011</v>
      </c>
      <c r="B62" s="72" t="str">
        <f aca="false">'Raw - Sessions'!K36</f>
        <v>BARBOURVILLE / CITY HALL</v>
      </c>
      <c r="C62" s="73" t="n">
        <f aca="false">IF(ISBLANK('Raw - Sessions'!U36),"",'Raw - Sessions'!T36)</f>
        <v>0.4</v>
      </c>
      <c r="D62" s="39" t="n">
        <f aca="false">'Raw - Sessions'!E36</f>
        <v>41.457901</v>
      </c>
      <c r="E62" s="44" t="n">
        <f aca="false">IF(ISBLANK('Raw - Sessions'!U36),"",'Raw - Sessions'!U36)</f>
        <v>19.56</v>
      </c>
      <c r="F62" s="44" t="n">
        <f aca="false">IF(ISBLANK('Raw - Sessions'!U36),"",'Raw - Sessions'!Z36)</f>
        <v>0.99</v>
      </c>
      <c r="G62" s="44" t="n">
        <f aca="false">IF(ISBLANK('Raw - Sessions'!U36),"",'Raw - Sessions'!AE36)</f>
        <v>0</v>
      </c>
      <c r="H62" s="44" t="n">
        <f aca="false">IF(ISBLANK('Raw - Sessions'!U36),"",'Raw - Sessions'!AD36)</f>
        <v>1.96</v>
      </c>
      <c r="I62" s="44" t="n">
        <f aca="false">IF(ISBLANK('Raw - Sessions'!U36),"",'Raw - Sessions'!P36)</f>
        <v>20.55</v>
      </c>
      <c r="J62" s="44" t="n">
        <f aca="false">IF(E62="","",E62+F62+G62+'Raw - Sessions'!AA36+'Raw - Sessions'!AB36+'Raw - Sessions'!AC36)</f>
        <v>20.55</v>
      </c>
      <c r="K62" s="44" t="n">
        <f aca="false">IF(E62="","",I62-J62)</f>
        <v>0</v>
      </c>
      <c r="L62" s="72" t="str">
        <f aca="false">IF(E62="","",IF(ABS(K62)&gt;0.02,"MISMATCH","OK"))</f>
        <v>OK</v>
      </c>
      <c r="M62" s="44" t="n">
        <f aca="false">IF(ISBLANK('Raw - Sessions'!U36),"",'Raw - Sessions'!Q36)</f>
        <v>17.6</v>
      </c>
      <c r="N62" s="44" t="n">
        <f aca="false">IF(E62="","",I62-G62-H62-F62)</f>
        <v>17.6</v>
      </c>
      <c r="O62" s="44" t="n">
        <f aca="false">IF(E62="","",M62-N62)</f>
        <v>0</v>
      </c>
      <c r="P62" s="72" t="str">
        <f aca="false">IF(E62="","",IF(ABS(O62)&gt;0.02,"MISMATCH","OK"))</f>
        <v>OK</v>
      </c>
    </row>
    <row r="63" customFormat="false" ht="15" hidden="false" customHeight="false" outlineLevel="0" collapsed="false">
      <c r="A63" s="70" t="n">
        <f aca="false">'Raw - Sessions'!A37</f>
        <v>4581774341</v>
      </c>
      <c r="B63" s="70" t="str">
        <f aca="false">'Raw - Sessions'!K37</f>
        <v>BARBOURVILLE / CITY HALL</v>
      </c>
      <c r="C63" s="71" t="n">
        <f aca="false">IF(ISBLANK('Raw - Sessions'!U37),"",'Raw - Sessions'!T37)</f>
        <v>0.4</v>
      </c>
      <c r="D63" s="38" t="n">
        <f aca="false">'Raw - Sessions'!E37</f>
        <v>41.336102</v>
      </c>
      <c r="E63" s="42" t="n">
        <f aca="false">IF(ISBLANK('Raw - Sessions'!U37),"",'Raw - Sessions'!U37)</f>
        <v>19.55</v>
      </c>
      <c r="F63" s="42" t="n">
        <f aca="false">IF(ISBLANK('Raw - Sessions'!U37),"",'Raw - Sessions'!Z37)</f>
        <v>0.99</v>
      </c>
      <c r="G63" s="42" t="n">
        <f aca="false">IF(ISBLANK('Raw - Sessions'!U37),"",'Raw - Sessions'!AE37)</f>
        <v>0</v>
      </c>
      <c r="H63" s="42" t="n">
        <f aca="false">IF(ISBLANK('Raw - Sessions'!U37),"",'Raw - Sessions'!AD37)</f>
        <v>1.95</v>
      </c>
      <c r="I63" s="42" t="n">
        <f aca="false">IF(ISBLANK('Raw - Sessions'!U37),"",'Raw - Sessions'!P37)</f>
        <v>20.54</v>
      </c>
      <c r="J63" s="42" t="n">
        <f aca="false">IF(E63="","",E63+F63+G63+'Raw - Sessions'!AA37+'Raw - Sessions'!AB37+'Raw - Sessions'!AC37)</f>
        <v>20.54</v>
      </c>
      <c r="K63" s="42" t="n">
        <f aca="false">IF(E63="","",I63-J63)</f>
        <v>0</v>
      </c>
      <c r="L63" s="70" t="str">
        <f aca="false">IF(E63="","",IF(ABS(K63)&gt;0.02,"MISMATCH","OK"))</f>
        <v>OK</v>
      </c>
      <c r="M63" s="42" t="n">
        <f aca="false">IF(ISBLANK('Raw - Sessions'!U37),"",'Raw - Sessions'!Q37)</f>
        <v>17.6</v>
      </c>
      <c r="N63" s="42" t="n">
        <f aca="false">IF(E63="","",I63-G63-H63-F63)</f>
        <v>17.6</v>
      </c>
      <c r="O63" s="42" t="n">
        <f aca="false">IF(E63="","",M63-N63)</f>
        <v>0</v>
      </c>
      <c r="P63" s="70" t="str">
        <f aca="false">IF(E63="","",IF(ABS(O63)&gt;0.02,"MISMATCH","OK"))</f>
        <v>OK</v>
      </c>
    </row>
    <row r="64" customFormat="false" ht="15" hidden="false" customHeight="false" outlineLevel="0" collapsed="false">
      <c r="A64" s="72" t="n">
        <f aca="false">'Raw - Sessions'!A38</f>
        <v>4582429001</v>
      </c>
      <c r="B64" s="72" t="str">
        <f aca="false">'Raw - Sessions'!K38</f>
        <v>BARBOURVILLE / CITY HALL</v>
      </c>
      <c r="C64" s="73" t="n">
        <f aca="false">IF(ISBLANK('Raw - Sessions'!U38),"",'Raw - Sessions'!T38)</f>
        <v>0.4</v>
      </c>
      <c r="D64" s="39" t="n">
        <f aca="false">'Raw - Sessions'!E38</f>
        <v>23.511499</v>
      </c>
      <c r="E64" s="44" t="n">
        <f aca="false">IF(ISBLANK('Raw - Sessions'!U38),"",'Raw - Sessions'!U38)</f>
        <v>11.24</v>
      </c>
      <c r="F64" s="44" t="n">
        <f aca="false">IF(ISBLANK('Raw - Sessions'!U38),"",'Raw - Sessions'!Z38)</f>
        <v>0.56</v>
      </c>
      <c r="G64" s="44" t="n">
        <f aca="false">IF(ISBLANK('Raw - Sessions'!U38),"",'Raw - Sessions'!AE38)</f>
        <v>0</v>
      </c>
      <c r="H64" s="44" t="n">
        <f aca="false">IF(ISBLANK('Raw - Sessions'!U38),"",'Raw - Sessions'!AD38)</f>
        <v>1.12</v>
      </c>
      <c r="I64" s="44" t="n">
        <f aca="false">IF(ISBLANK('Raw - Sessions'!U38),"",'Raw - Sessions'!P38)</f>
        <v>11.8</v>
      </c>
      <c r="J64" s="44" t="n">
        <f aca="false">IF(E64="","",E64+F64+G64+'Raw - Sessions'!AA38+'Raw - Sessions'!AB38+'Raw - Sessions'!AC38)</f>
        <v>11.8</v>
      </c>
      <c r="K64" s="44" t="n">
        <f aca="false">IF(E64="","",I64-J64)</f>
        <v>0</v>
      </c>
      <c r="L64" s="72" t="str">
        <f aca="false">IF(E64="","",IF(ABS(K64)&gt;0.02,"MISMATCH","OK"))</f>
        <v>OK</v>
      </c>
      <c r="M64" s="44" t="n">
        <f aca="false">IF(ISBLANK('Raw - Sessions'!U38),"",'Raw - Sessions'!Q38)</f>
        <v>10.12</v>
      </c>
      <c r="N64" s="44" t="n">
        <f aca="false">IF(E64="","",I64-G64-H64-F64)</f>
        <v>10.12</v>
      </c>
      <c r="O64" s="44" t="n">
        <f aca="false">IF(E64="","",M64-N64)</f>
        <v>0</v>
      </c>
      <c r="P64" s="72" t="str">
        <f aca="false">IF(E64="","",IF(ABS(O64)&gt;0.02,"MISMATCH","OK"))</f>
        <v>OK</v>
      </c>
    </row>
    <row r="65" customFormat="false" ht="15" hidden="false" customHeight="false" outlineLevel="0" collapsed="false">
      <c r="A65" s="70" t="n">
        <f aca="false">'Raw - Sessions'!A39</f>
        <v>4584727751</v>
      </c>
      <c r="B65" s="70" t="str">
        <f aca="false">'Raw - Sessions'!K39</f>
        <v>BARBOURVILLE / CITY HALL</v>
      </c>
      <c r="C65" s="71" t="n">
        <f aca="false">IF(ISBLANK('Raw - Sessions'!U39),"",'Raw - Sessions'!T39)</f>
        <v>0.4</v>
      </c>
      <c r="D65" s="38" t="n">
        <f aca="false">'Raw - Sessions'!E39</f>
        <v>1.6401</v>
      </c>
      <c r="E65" s="42" t="n">
        <f aca="false">IF(ISBLANK('Raw - Sessions'!U39),"",'Raw - Sessions'!U39)</f>
        <v>0.95</v>
      </c>
      <c r="F65" s="42" t="n">
        <f aca="false">IF(ISBLANK('Raw - Sessions'!U39),"",'Raw - Sessions'!Z39)</f>
        <v>0.04</v>
      </c>
      <c r="G65" s="42" t="n">
        <f aca="false">IF(ISBLANK('Raw - Sessions'!U39),"",'Raw - Sessions'!AE39)</f>
        <v>0</v>
      </c>
      <c r="H65" s="42" t="n">
        <f aca="false">IF(ISBLANK('Raw - Sessions'!U39),"",'Raw - Sessions'!AD39)</f>
        <v>0.09</v>
      </c>
      <c r="I65" s="42" t="n">
        <f aca="false">IF(ISBLANK('Raw - Sessions'!U39),"",'Raw - Sessions'!P39)</f>
        <v>0.99</v>
      </c>
      <c r="J65" s="42" t="n">
        <f aca="false">IF(E65="","",E65+F65+G65+'Raw - Sessions'!AA39+'Raw - Sessions'!AB39+'Raw - Sessions'!AC39)</f>
        <v>0.99</v>
      </c>
      <c r="K65" s="42" t="n">
        <f aca="false">IF(E65="","",I65-J65)</f>
        <v>0</v>
      </c>
      <c r="L65" s="70" t="str">
        <f aca="false">IF(E65="","",IF(ABS(K65)&gt;0.02,"MISMATCH","OK"))</f>
        <v>OK</v>
      </c>
      <c r="M65" s="42" t="n">
        <f aca="false">IF(ISBLANK('Raw - Sessions'!U39),"",'Raw - Sessions'!Q39)</f>
        <v>0.86</v>
      </c>
      <c r="N65" s="42" t="n">
        <f aca="false">IF(E65="","",I65-G65-H65-F65)</f>
        <v>0.86</v>
      </c>
      <c r="O65" s="42" t="n">
        <f aca="false">IF(E65="","",M65-N65)</f>
        <v>0</v>
      </c>
      <c r="P65" s="70" t="str">
        <f aca="false">IF(E65="","",IF(ABS(O65)&gt;0.02,"MISMATCH","OK"))</f>
        <v>OK</v>
      </c>
    </row>
    <row r="66" customFormat="false" ht="15" hidden="false" customHeight="false" outlineLevel="0" collapsed="false">
      <c r="A66" s="72" t="n">
        <f aca="false">'Raw - Sessions'!A40</f>
        <v>4584735501</v>
      </c>
      <c r="B66" s="72" t="str">
        <f aca="false">'Raw - Sessions'!K40</f>
        <v>BARBOURVILLE / CITY HALL</v>
      </c>
      <c r="C66" s="73" t="n">
        <f aca="false">IF(ISBLANK('Raw - Sessions'!U40),"",'Raw - Sessions'!T40)</f>
        <v>0.4</v>
      </c>
      <c r="D66" s="39" t="n">
        <f aca="false">'Raw - Sessions'!E40</f>
        <v>14.9243</v>
      </c>
      <c r="E66" s="44" t="n">
        <f aca="false">IF(ISBLANK('Raw - Sessions'!U40),"",'Raw - Sessions'!U40)</f>
        <v>7.2</v>
      </c>
      <c r="F66" s="44" t="n">
        <f aca="false">IF(ISBLANK('Raw - Sessions'!U40),"",'Raw - Sessions'!Z40)</f>
        <v>0.36</v>
      </c>
      <c r="G66" s="44" t="n">
        <f aca="false">IF(ISBLANK('Raw - Sessions'!U40),"",'Raw - Sessions'!AE40)</f>
        <v>0</v>
      </c>
      <c r="H66" s="44" t="n">
        <f aca="false">IF(ISBLANK('Raw - Sessions'!U40),"",'Raw - Sessions'!AD40)</f>
        <v>0.72</v>
      </c>
      <c r="I66" s="44" t="n">
        <f aca="false">IF(ISBLANK('Raw - Sessions'!U40),"",'Raw - Sessions'!P40)</f>
        <v>7.56</v>
      </c>
      <c r="J66" s="44" t="n">
        <f aca="false">IF(E66="","",E66+F66+G66+'Raw - Sessions'!AA40+'Raw - Sessions'!AB40+'Raw - Sessions'!AC40)</f>
        <v>7.56</v>
      </c>
      <c r="K66" s="44" t="n">
        <f aca="false">IF(E66="","",I66-J66)</f>
        <v>0</v>
      </c>
      <c r="L66" s="72" t="str">
        <f aca="false">IF(E66="","",IF(ABS(K66)&gt;0.02,"MISMATCH","OK"))</f>
        <v>OK</v>
      </c>
      <c r="M66" s="44" t="n">
        <f aca="false">IF(ISBLANK('Raw - Sessions'!U40),"",'Raw - Sessions'!Q40)</f>
        <v>6.48</v>
      </c>
      <c r="N66" s="44" t="n">
        <f aca="false">IF(E66="","",I66-G66-H66-F66)</f>
        <v>6.48</v>
      </c>
      <c r="O66" s="44" t="n">
        <f aca="false">IF(E66="","",M66-N66)</f>
        <v>0</v>
      </c>
      <c r="P66" s="72" t="str">
        <f aca="false">IF(E66="","",IF(ABS(O66)&gt;0.02,"MISMATCH","OK"))</f>
        <v>OK</v>
      </c>
    </row>
    <row r="67" customFormat="false" ht="15" hidden="false" customHeight="false" outlineLevel="0" collapsed="false">
      <c r="A67" s="70" t="n">
        <f aca="false">'Raw - Sessions'!A41</f>
        <v>4587521521</v>
      </c>
      <c r="B67" s="70" t="str">
        <f aca="false">'Raw - Sessions'!K41</f>
        <v>BARBOURVILLE / CITY HALL</v>
      </c>
      <c r="C67" s="71" t="n">
        <f aca="false">IF(ISBLANK('Raw - Sessions'!U41),"",'Raw - Sessions'!T41)</f>
        <v>0.4</v>
      </c>
      <c r="D67" s="38" t="n">
        <f aca="false">'Raw - Sessions'!E41</f>
        <v>63.373699</v>
      </c>
      <c r="E67" s="42" t="n">
        <f aca="false">IF(ISBLANK('Raw - Sessions'!U41),"",'Raw - Sessions'!U41)</f>
        <v>31.09</v>
      </c>
      <c r="F67" s="42" t="n">
        <f aca="false">IF(ISBLANK('Raw - Sessions'!U41),"",'Raw - Sessions'!Z41)</f>
        <v>1.52</v>
      </c>
      <c r="G67" s="42" t="n">
        <f aca="false">IF(ISBLANK('Raw - Sessions'!U41),"",'Raw - Sessions'!AE41)</f>
        <v>0</v>
      </c>
      <c r="H67" s="42" t="n">
        <f aca="false">IF(ISBLANK('Raw - Sessions'!U41),"",'Raw - Sessions'!AD41)</f>
        <v>3.11</v>
      </c>
      <c r="I67" s="42" t="n">
        <f aca="false">IF(ISBLANK('Raw - Sessions'!U41),"",'Raw - Sessions'!P41)</f>
        <v>32.61</v>
      </c>
      <c r="J67" s="42" t="n">
        <f aca="false">IF(E67="","",E67+F67+G67+'Raw - Sessions'!AA41+'Raw - Sessions'!AB41+'Raw - Sessions'!AC41)</f>
        <v>32.61</v>
      </c>
      <c r="K67" s="42" t="n">
        <f aca="false">IF(E67="","",I67-J67)</f>
        <v>0</v>
      </c>
      <c r="L67" s="70" t="str">
        <f aca="false">IF(E67="","",IF(ABS(K67)&gt;0.02,"MISMATCH","OK"))</f>
        <v>OK</v>
      </c>
      <c r="M67" s="42" t="n">
        <f aca="false">IF(ISBLANK('Raw - Sessions'!U41),"",'Raw - Sessions'!Q41)</f>
        <v>27.98</v>
      </c>
      <c r="N67" s="42" t="n">
        <f aca="false">IF(E67="","",I67-G67-H67-F67)</f>
        <v>27.98</v>
      </c>
      <c r="O67" s="42" t="n">
        <f aca="false">IF(E67="","",M67-N67)</f>
        <v>0</v>
      </c>
      <c r="P67" s="70" t="str">
        <f aca="false">IF(E67="","",IF(ABS(O67)&gt;0.02,"MISMATCH","OK"))</f>
        <v>OK</v>
      </c>
    </row>
    <row r="68" customFormat="false" ht="15" hidden="false" customHeight="false" outlineLevel="0" collapsed="false">
      <c r="A68" s="72" t="n">
        <f aca="false">'Raw - Sessions'!A42</f>
        <v>4589744431</v>
      </c>
      <c r="B68" s="72" t="str">
        <f aca="false">'Raw - Sessions'!K42</f>
        <v>BARBOURVILLE / CITY HALL</v>
      </c>
      <c r="C68" s="73" t="n">
        <f aca="false">IF(ISBLANK('Raw - Sessions'!U42),"",'Raw - Sessions'!T42)</f>
        <v>0.4</v>
      </c>
      <c r="D68" s="39" t="n">
        <f aca="false">'Raw - Sessions'!E42</f>
        <v>36.359001</v>
      </c>
      <c r="E68" s="44" t="n">
        <f aca="false">IF(ISBLANK('Raw - Sessions'!U42),"",'Raw - Sessions'!U42)</f>
        <v>17.05</v>
      </c>
      <c r="F68" s="44" t="n">
        <f aca="false">IF(ISBLANK('Raw - Sessions'!U42),"",'Raw - Sessions'!Z42)</f>
        <v>0.87</v>
      </c>
      <c r="G68" s="44" t="n">
        <f aca="false">IF(ISBLANK('Raw - Sessions'!U42),"",'Raw - Sessions'!AE42)</f>
        <v>0</v>
      </c>
      <c r="H68" s="44" t="n">
        <f aca="false">IF(ISBLANK('Raw - Sessions'!U42),"",'Raw - Sessions'!AD42)</f>
        <v>1.7</v>
      </c>
      <c r="I68" s="44" t="n">
        <f aca="false">IF(ISBLANK('Raw - Sessions'!U42),"",'Raw - Sessions'!P42)</f>
        <v>17.92</v>
      </c>
      <c r="J68" s="44" t="n">
        <f aca="false">IF(E68="","",E68+F68+G68+'Raw - Sessions'!AA42+'Raw - Sessions'!AB42+'Raw - Sessions'!AC42)</f>
        <v>17.92</v>
      </c>
      <c r="K68" s="44" t="n">
        <f aca="false">IF(E68="","",I68-J68)</f>
        <v>0</v>
      </c>
      <c r="L68" s="72" t="str">
        <f aca="false">IF(E68="","",IF(ABS(K68)&gt;0.02,"MISMATCH","OK"))</f>
        <v>OK</v>
      </c>
      <c r="M68" s="44" t="n">
        <f aca="false">IF(ISBLANK('Raw - Sessions'!U42),"",'Raw - Sessions'!Q42)</f>
        <v>15.35</v>
      </c>
      <c r="N68" s="44" t="n">
        <f aca="false">IF(E68="","",I68-G68-H68-F68)</f>
        <v>15.35</v>
      </c>
      <c r="O68" s="44" t="n">
        <f aca="false">IF(E68="","",M68-N68)</f>
        <v>0</v>
      </c>
      <c r="P68" s="72" t="str">
        <f aca="false">IF(E68="","",IF(ABS(O68)&gt;0.02,"MISMATCH","OK"))</f>
        <v>OK</v>
      </c>
    </row>
    <row r="69" customFormat="false" ht="15" hidden="false" customHeight="false" outlineLevel="0" collapsed="false">
      <c r="A69" s="70" t="n">
        <f aca="false">'Raw - Sessions'!A43</f>
        <v>4603051091</v>
      </c>
      <c r="B69" s="70" t="str">
        <f aca="false">'Raw - Sessions'!K43</f>
        <v>BARBOURVILLE / CITY HALL</v>
      </c>
      <c r="C69" s="71" t="n">
        <f aca="false">IF(ISBLANK('Raw - Sessions'!U43),"",'Raw - Sessions'!T43)</f>
        <v>0.4</v>
      </c>
      <c r="D69" s="38" t="n">
        <f aca="false">'Raw - Sessions'!E43</f>
        <v>62.974098</v>
      </c>
      <c r="E69" s="42" t="n">
        <f aca="false">IF(ISBLANK('Raw - Sessions'!U43),"",'Raw - Sessions'!U43)</f>
        <v>29.43</v>
      </c>
      <c r="F69" s="42" t="n">
        <f aca="false">IF(ISBLANK('Raw - Sessions'!U43),"",'Raw - Sessions'!Z43)</f>
        <v>1.51</v>
      </c>
      <c r="G69" s="42" t="n">
        <f aca="false">IF(ISBLANK('Raw - Sessions'!U43),"",'Raw - Sessions'!AE43)</f>
        <v>0</v>
      </c>
      <c r="H69" s="42" t="n">
        <f aca="false">IF(ISBLANK('Raw - Sessions'!U43),"",'Raw - Sessions'!AD43)</f>
        <v>2.94</v>
      </c>
      <c r="I69" s="42" t="n">
        <f aca="false">IF(ISBLANK('Raw - Sessions'!U43),"",'Raw - Sessions'!P43)</f>
        <v>30.94</v>
      </c>
      <c r="J69" s="42" t="n">
        <f aca="false">IF(E69="","",E69+F69+G69+'Raw - Sessions'!AA43+'Raw - Sessions'!AB43+'Raw - Sessions'!AC43)</f>
        <v>30.94</v>
      </c>
      <c r="K69" s="42" t="n">
        <f aca="false">IF(E69="","",I69-J69)</f>
        <v>0</v>
      </c>
      <c r="L69" s="70" t="str">
        <f aca="false">IF(E69="","",IF(ABS(K69)&gt;0.02,"MISMATCH","OK"))</f>
        <v>OK</v>
      </c>
      <c r="M69" s="42" t="n">
        <f aca="false">IF(ISBLANK('Raw - Sessions'!U43),"",'Raw - Sessions'!Q43)</f>
        <v>26.49</v>
      </c>
      <c r="N69" s="42" t="n">
        <f aca="false">IF(E69="","",I69-G69-H69-F69)</f>
        <v>26.49</v>
      </c>
      <c r="O69" s="42" t="n">
        <f aca="false">IF(E69="","",M69-N69)</f>
        <v>0</v>
      </c>
      <c r="P69" s="70" t="str">
        <f aca="false">IF(E69="","",IF(ABS(O69)&gt;0.02,"MISMATCH","OK"))</f>
        <v>OK</v>
      </c>
    </row>
    <row r="70" customFormat="false" ht="15" hidden="false" customHeight="false" outlineLevel="0" collapsed="false">
      <c r="A70" s="72" t="n">
        <f aca="false">'Raw - Sessions'!A44</f>
        <v>4605493791</v>
      </c>
      <c r="B70" s="72" t="str">
        <f aca="false">'Raw - Sessions'!K44</f>
        <v>BARBOURVILLE / CITY HALL</v>
      </c>
      <c r="C70" s="73" t="n">
        <f aca="false">IF(ISBLANK('Raw - Sessions'!U44),"",'Raw - Sessions'!T44)</f>
        <v>0.4</v>
      </c>
      <c r="D70" s="39" t="n">
        <f aca="false">'Raw - Sessions'!E44</f>
        <v>48.506901</v>
      </c>
      <c r="E70" s="44" t="n">
        <f aca="false">IF(ISBLANK('Raw - Sessions'!U44),"",'Raw - Sessions'!U44)</f>
        <v>23.07</v>
      </c>
      <c r="F70" s="44" t="n">
        <f aca="false">IF(ISBLANK('Raw - Sessions'!U44),"",'Raw - Sessions'!Z44)</f>
        <v>1.16</v>
      </c>
      <c r="G70" s="44" t="n">
        <f aca="false">IF(ISBLANK('Raw - Sessions'!U44),"",'Raw - Sessions'!AE44)</f>
        <v>0</v>
      </c>
      <c r="H70" s="44" t="n">
        <f aca="false">IF(ISBLANK('Raw - Sessions'!U44),"",'Raw - Sessions'!AD44)</f>
        <v>2.31</v>
      </c>
      <c r="I70" s="44" t="n">
        <f aca="false">IF(ISBLANK('Raw - Sessions'!U44),"",'Raw - Sessions'!P44)</f>
        <v>24.23</v>
      </c>
      <c r="J70" s="44" t="n">
        <f aca="false">IF(E70="","",E70+F70+G70+'Raw - Sessions'!AA44+'Raw - Sessions'!AB44+'Raw - Sessions'!AC44)</f>
        <v>24.23</v>
      </c>
      <c r="K70" s="44" t="n">
        <f aca="false">IF(E70="","",I70-J70)</f>
        <v>0</v>
      </c>
      <c r="L70" s="72" t="str">
        <f aca="false">IF(E70="","",IF(ABS(K70)&gt;0.02,"MISMATCH","OK"))</f>
        <v>OK</v>
      </c>
      <c r="M70" s="44" t="n">
        <f aca="false">IF(ISBLANK('Raw - Sessions'!U44),"",'Raw - Sessions'!Q44)</f>
        <v>20.76</v>
      </c>
      <c r="N70" s="44" t="n">
        <f aca="false">IF(E70="","",I70-G70-H70-F70)</f>
        <v>20.76</v>
      </c>
      <c r="O70" s="44" t="n">
        <f aca="false">IF(E70="","",M70-N70)</f>
        <v>0</v>
      </c>
      <c r="P70" s="72" t="str">
        <f aca="false">IF(E70="","",IF(ABS(O70)&gt;0.02,"MISMATCH","OK"))</f>
        <v>OK</v>
      </c>
    </row>
    <row r="71" customFormat="false" ht="15" hidden="false" customHeight="false" outlineLevel="0" collapsed="false">
      <c r="A71" s="70" t="n">
        <f aca="false">'Raw - Sessions'!A45</f>
        <v>4607466511</v>
      </c>
      <c r="B71" s="70" t="str">
        <f aca="false">'Raw - Sessions'!K45</f>
        <v>BARBOURVILLE / CITY HALL</v>
      </c>
      <c r="C71" s="71" t="str">
        <f aca="false">IF(ISBLANK('Raw - Sessions'!U45),"",'Raw - Sessions'!T45)</f>
        <v/>
      </c>
      <c r="D71" s="38" t="n">
        <f aca="false">'Raw - Sessions'!E45</f>
        <v>0</v>
      </c>
      <c r="E71" s="42" t="str">
        <f aca="false">IF(ISBLANK('Raw - Sessions'!U45),"",'Raw - Sessions'!U45)</f>
        <v/>
      </c>
      <c r="F71" s="42" t="str">
        <f aca="false">IF(ISBLANK('Raw - Sessions'!U45),"",'Raw - Sessions'!Z45)</f>
        <v/>
      </c>
      <c r="G71" s="42" t="str">
        <f aca="false">IF(ISBLANK('Raw - Sessions'!U45),"",'Raw - Sessions'!AE45)</f>
        <v/>
      </c>
      <c r="H71" s="42" t="str">
        <f aca="false">IF(ISBLANK('Raw - Sessions'!U45),"",'Raw - Sessions'!AD45)</f>
        <v/>
      </c>
      <c r="I71" s="42" t="str">
        <f aca="false">IF(ISBLANK('Raw - Sessions'!U45),"",'Raw - Sessions'!P45)</f>
        <v/>
      </c>
      <c r="J71" s="42" t="str">
        <f aca="false">IF(E71="","",E71+F71+G71+'Raw - Sessions'!AA45+'Raw - Sessions'!AB45+'Raw - Sessions'!AC45)</f>
        <v/>
      </c>
      <c r="K71" s="42" t="str">
        <f aca="false">IF(E71="","",I71-J71)</f>
        <v/>
      </c>
      <c r="L71" s="70" t="str">
        <f aca="false">IF(E71="","",IF(ABS(K71)&gt;0.02,"MISMATCH","OK"))</f>
        <v/>
      </c>
      <c r="M71" s="42" t="str">
        <f aca="false">IF(ISBLANK('Raw - Sessions'!U45),"",'Raw - Sessions'!Q45)</f>
        <v/>
      </c>
      <c r="N71" s="42" t="str">
        <f aca="false">IF(E71="","",I71-G71-H71-F71)</f>
        <v/>
      </c>
      <c r="O71" s="42" t="str">
        <f aca="false">IF(E71="","",M71-N71)</f>
        <v/>
      </c>
      <c r="P71" s="70" t="str">
        <f aca="false">IF(E71="","",IF(ABS(O71)&gt;0.02,"MISMATCH","OK"))</f>
        <v/>
      </c>
    </row>
    <row r="72" customFormat="false" ht="15" hidden="false" customHeight="false" outlineLevel="0" collapsed="false">
      <c r="A72" s="72" t="n">
        <f aca="false">'Raw - Sessions'!A46</f>
        <v>4608121961</v>
      </c>
      <c r="B72" s="72" t="str">
        <f aca="false">'Raw - Sessions'!K46</f>
        <v>BARBOURVILLE / TOURISM</v>
      </c>
      <c r="C72" s="73" t="n">
        <f aca="false">IF(ISBLANK('Raw - Sessions'!U46),"",'Raw - Sessions'!T46)</f>
        <v>0.4</v>
      </c>
      <c r="D72" s="39" t="n">
        <f aca="false">'Raw - Sessions'!E46</f>
        <v>1.656913</v>
      </c>
      <c r="E72" s="44" t="n">
        <f aca="false">IF(ISBLANK('Raw - Sessions'!U46),"",'Raw - Sessions'!U46)</f>
        <v>1.67</v>
      </c>
      <c r="F72" s="44" t="n">
        <f aca="false">IF(ISBLANK('Raw - Sessions'!U46),"",'Raw - Sessions'!Z46)</f>
        <v>0.04</v>
      </c>
      <c r="G72" s="44" t="n">
        <f aca="false">IF(ISBLANK('Raw - Sessions'!U46),"",'Raw - Sessions'!AE46)</f>
        <v>0</v>
      </c>
      <c r="H72" s="44" t="n">
        <f aca="false">IF(ISBLANK('Raw - Sessions'!U46),"",'Raw - Sessions'!AD46)</f>
        <v>0.17</v>
      </c>
      <c r="I72" s="44" t="n">
        <f aca="false">IF(ISBLANK('Raw - Sessions'!U46),"",'Raw - Sessions'!P46)</f>
        <v>1.71</v>
      </c>
      <c r="J72" s="44" t="n">
        <f aca="false">IF(E72="","",E72+F72+G72+'Raw - Sessions'!AA46+'Raw - Sessions'!AB46+'Raw - Sessions'!AC46)</f>
        <v>1.71</v>
      </c>
      <c r="K72" s="44" t="n">
        <f aca="false">IF(E72="","",I72-J72)</f>
        <v>0</v>
      </c>
      <c r="L72" s="72" t="str">
        <f aca="false">IF(E72="","",IF(ABS(K72)&gt;0.02,"MISMATCH","OK"))</f>
        <v>OK</v>
      </c>
      <c r="M72" s="44" t="n">
        <f aca="false">IF(ISBLANK('Raw - Sessions'!U46),"",'Raw - Sessions'!Q46)</f>
        <v>1.5</v>
      </c>
      <c r="N72" s="44" t="n">
        <f aca="false">IF(E72="","",I72-G72-H72-F72)</f>
        <v>1.5</v>
      </c>
      <c r="O72" s="44" t="n">
        <f aca="false">IF(E72="","",M72-N72)</f>
        <v>0</v>
      </c>
      <c r="P72" s="72" t="str">
        <f aca="false">IF(E72="","",IF(ABS(O72)&gt;0.02,"MISMATCH","OK"))</f>
        <v>OK</v>
      </c>
    </row>
    <row r="73" customFormat="false" ht="15" hidden="false" customHeight="false" outlineLevel="0" collapsed="false">
      <c r="A73" s="70" t="n">
        <f aca="false">'Raw - Sessions'!A47</f>
        <v>4608160281</v>
      </c>
      <c r="B73" s="70" t="str">
        <f aca="false">'Raw - Sessions'!K47</f>
        <v>BARBOURVILLE / TOURISM</v>
      </c>
      <c r="C73" s="71" t="n">
        <f aca="false">IF(ISBLANK('Raw - Sessions'!U47),"",'Raw - Sessions'!T47)</f>
        <v>0.4</v>
      </c>
      <c r="D73" s="38" t="n">
        <f aca="false">'Raw - Sessions'!E47</f>
        <v>3.20775</v>
      </c>
      <c r="E73" s="42" t="n">
        <f aca="false">IF(ISBLANK('Raw - Sessions'!U47),"",'Raw - Sessions'!U47)</f>
        <v>3.2</v>
      </c>
      <c r="F73" s="42" t="n">
        <f aca="false">IF(ISBLANK('Raw - Sessions'!U47),"",'Raw - Sessions'!Z47)</f>
        <v>0.08</v>
      </c>
      <c r="G73" s="42" t="n">
        <f aca="false">IF(ISBLANK('Raw - Sessions'!U47),"",'Raw - Sessions'!AE47)</f>
        <v>0</v>
      </c>
      <c r="H73" s="42" t="n">
        <f aca="false">IF(ISBLANK('Raw - Sessions'!U47),"",'Raw - Sessions'!AD47)</f>
        <v>0.32</v>
      </c>
      <c r="I73" s="42" t="n">
        <f aca="false">IF(ISBLANK('Raw - Sessions'!U47),"",'Raw - Sessions'!P47)</f>
        <v>3.28</v>
      </c>
      <c r="J73" s="42" t="n">
        <f aca="false">IF(E73="","",E73+F73+G73+'Raw - Sessions'!AA47+'Raw - Sessions'!AB47+'Raw - Sessions'!AC47)</f>
        <v>3.28</v>
      </c>
      <c r="K73" s="42" t="n">
        <f aca="false">IF(E73="","",I73-J73)</f>
        <v>0</v>
      </c>
      <c r="L73" s="70" t="str">
        <f aca="false">IF(E73="","",IF(ABS(K73)&gt;0.02,"MISMATCH","OK"))</f>
        <v>OK</v>
      </c>
      <c r="M73" s="42" t="n">
        <f aca="false">IF(ISBLANK('Raw - Sessions'!U47),"",'Raw - Sessions'!Q47)</f>
        <v>2.88</v>
      </c>
      <c r="N73" s="42" t="n">
        <f aca="false">IF(E73="","",I73-G73-H73-F73)</f>
        <v>2.88</v>
      </c>
      <c r="O73" s="42" t="n">
        <f aca="false">IF(E73="","",M73-N73)</f>
        <v>0</v>
      </c>
      <c r="P73" s="70" t="str">
        <f aca="false">IF(E73="","",IF(ABS(O73)&gt;0.02,"MISMATCH","OK"))</f>
        <v>OK</v>
      </c>
    </row>
    <row r="74" customFormat="false" ht="15" hidden="false" customHeight="false" outlineLevel="0" collapsed="false">
      <c r="A74" s="72" t="n">
        <f aca="false">'Raw - Sessions'!A48</f>
        <v>4608260881</v>
      </c>
      <c r="B74" s="72" t="str">
        <f aca="false">'Raw - Sessions'!K48</f>
        <v>BARBOURVILLE / CITY HALL</v>
      </c>
      <c r="C74" s="73" t="n">
        <f aca="false">IF(ISBLANK('Raw - Sessions'!U48),"",'Raw - Sessions'!T48)</f>
        <v>0.4</v>
      </c>
      <c r="D74" s="39" t="n">
        <f aca="false">'Raw - Sessions'!E48</f>
        <v>29.381399</v>
      </c>
      <c r="E74" s="44" t="n">
        <f aca="false">IF(ISBLANK('Raw - Sessions'!U48),"",'Raw - Sessions'!U48)</f>
        <v>13.85</v>
      </c>
      <c r="F74" s="44" t="n">
        <f aca="false">IF(ISBLANK('Raw - Sessions'!U48),"",'Raw - Sessions'!Z48)</f>
        <v>0.71</v>
      </c>
      <c r="G74" s="44" t="n">
        <f aca="false">IF(ISBLANK('Raw - Sessions'!U48),"",'Raw - Sessions'!AE48)</f>
        <v>0</v>
      </c>
      <c r="H74" s="44" t="n">
        <f aca="false">IF(ISBLANK('Raw - Sessions'!U48),"",'Raw - Sessions'!AD48)</f>
        <v>1.38</v>
      </c>
      <c r="I74" s="44" t="n">
        <f aca="false">IF(ISBLANK('Raw - Sessions'!U48),"",'Raw - Sessions'!P48)</f>
        <v>14.56</v>
      </c>
      <c r="J74" s="44" t="n">
        <f aca="false">IF(E74="","",E74+F74+G74+'Raw - Sessions'!AA48+'Raw - Sessions'!AB48+'Raw - Sessions'!AC48)</f>
        <v>14.56</v>
      </c>
      <c r="K74" s="44" t="n">
        <f aca="false">IF(E74="","",I74-J74)</f>
        <v>0</v>
      </c>
      <c r="L74" s="72" t="str">
        <f aca="false">IF(E74="","",IF(ABS(K74)&gt;0.02,"MISMATCH","OK"))</f>
        <v>OK</v>
      </c>
      <c r="M74" s="44" t="n">
        <f aca="false">IF(ISBLANK('Raw - Sessions'!U48),"",'Raw - Sessions'!Q48)</f>
        <v>12.47</v>
      </c>
      <c r="N74" s="44" t="n">
        <f aca="false">IF(E74="","",I74-G74-H74-F74)</f>
        <v>12.47</v>
      </c>
      <c r="O74" s="44" t="n">
        <f aca="false">IF(E74="","",M74-N74)</f>
        <v>0</v>
      </c>
      <c r="P74" s="72" t="str">
        <f aca="false">IF(E74="","",IF(ABS(O74)&gt;0.02,"MISMATCH","OK"))</f>
        <v>OK</v>
      </c>
    </row>
    <row r="75" customFormat="false" ht="15" hidden="false" customHeight="false" outlineLevel="0" collapsed="false">
      <c r="A75" s="70" t="n">
        <f aca="false">'Raw - Sessions'!A49</f>
        <v>4614135981</v>
      </c>
      <c r="B75" s="70" t="str">
        <f aca="false">'Raw - Sessions'!K49</f>
        <v>BARBOURVILLE / CITY HALL</v>
      </c>
      <c r="C75" s="71" t="n">
        <f aca="false">IF(ISBLANK('Raw - Sessions'!U49),"",'Raw - Sessions'!T49)</f>
        <v>0.4</v>
      </c>
      <c r="D75" s="38" t="n">
        <f aca="false">'Raw - Sessions'!E49</f>
        <v>72.0289</v>
      </c>
      <c r="E75" s="42" t="n">
        <f aca="false">IF(ISBLANK('Raw - Sessions'!U49),"",'Raw - Sessions'!U49)</f>
        <v>34.43</v>
      </c>
      <c r="F75" s="42" t="n">
        <f aca="false">IF(ISBLANK('Raw - Sessions'!U49),"",'Raw - Sessions'!Z49)</f>
        <v>1.73</v>
      </c>
      <c r="G75" s="42" t="n">
        <f aca="false">IF(ISBLANK('Raw - Sessions'!U49),"",'Raw - Sessions'!AE49)</f>
        <v>0</v>
      </c>
      <c r="H75" s="42" t="n">
        <f aca="false">IF(ISBLANK('Raw - Sessions'!U49),"",'Raw - Sessions'!AD49)</f>
        <v>3.44</v>
      </c>
      <c r="I75" s="42" t="n">
        <f aca="false">IF(ISBLANK('Raw - Sessions'!U49),"",'Raw - Sessions'!P49)</f>
        <v>36.16</v>
      </c>
      <c r="J75" s="42" t="n">
        <f aca="false">IF(E75="","",E75+F75+G75+'Raw - Sessions'!AA49+'Raw - Sessions'!AB49+'Raw - Sessions'!AC49)</f>
        <v>36.16</v>
      </c>
      <c r="K75" s="42" t="n">
        <f aca="false">IF(E75="","",I75-J75)</f>
        <v>0</v>
      </c>
      <c r="L75" s="70" t="str">
        <f aca="false">IF(E75="","",IF(ABS(K75)&gt;0.02,"MISMATCH","OK"))</f>
        <v>OK</v>
      </c>
      <c r="M75" s="42" t="n">
        <f aca="false">IF(ISBLANK('Raw - Sessions'!U49),"",'Raw - Sessions'!Q49)</f>
        <v>30.99</v>
      </c>
      <c r="N75" s="42" t="n">
        <f aca="false">IF(E75="","",I75-G75-H75-F75)</f>
        <v>30.99</v>
      </c>
      <c r="O75" s="42" t="n">
        <f aca="false">IF(E75="","",M75-N75)</f>
        <v>0</v>
      </c>
      <c r="P75" s="70" t="str">
        <f aca="false">IF(E75="","",IF(ABS(O75)&gt;0.02,"MISMATCH","OK"))</f>
        <v>OK</v>
      </c>
    </row>
    <row r="76" customFormat="false" ht="15" hidden="false" customHeight="false" outlineLevel="0" collapsed="false">
      <c r="A76" s="72" t="n">
        <f aca="false">'Raw - Sessions'!A50</f>
        <v>4617286741</v>
      </c>
      <c r="B76" s="72" t="str">
        <f aca="false">'Raw - Sessions'!K50</f>
        <v>BARBOURVILLE / CITY HALL</v>
      </c>
      <c r="C76" s="73" t="n">
        <f aca="false">IF(ISBLANK('Raw - Sessions'!U50),"",'Raw - Sessions'!T50)</f>
        <v>0.4</v>
      </c>
      <c r="D76" s="39" t="n">
        <f aca="false">'Raw - Sessions'!E50</f>
        <v>21.8878</v>
      </c>
      <c r="E76" s="44" t="n">
        <f aca="false">IF(ISBLANK('Raw - Sessions'!U50),"",'Raw - Sessions'!U50)</f>
        <v>13.8</v>
      </c>
      <c r="F76" s="44" t="n">
        <f aca="false">IF(ISBLANK('Raw - Sessions'!U50),"",'Raw - Sessions'!Z50)</f>
        <v>0.53</v>
      </c>
      <c r="G76" s="44" t="n">
        <f aca="false">IF(ISBLANK('Raw - Sessions'!U50),"",'Raw - Sessions'!AE50)</f>
        <v>0</v>
      </c>
      <c r="H76" s="44" t="n">
        <f aca="false">IF(ISBLANK('Raw - Sessions'!U50),"",'Raw - Sessions'!AD50)</f>
        <v>1.38</v>
      </c>
      <c r="I76" s="44" t="n">
        <f aca="false">IF(ISBLANK('Raw - Sessions'!U50),"",'Raw - Sessions'!P50)</f>
        <v>14.33</v>
      </c>
      <c r="J76" s="44" t="n">
        <f aca="false">IF(E76="","",E76+F76+G76+'Raw - Sessions'!AA50+'Raw - Sessions'!AB50+'Raw - Sessions'!AC50)</f>
        <v>14.33</v>
      </c>
      <c r="K76" s="44" t="n">
        <f aca="false">IF(E76="","",I76-J76)</f>
        <v>0</v>
      </c>
      <c r="L76" s="72" t="str">
        <f aca="false">IF(E76="","",IF(ABS(K76)&gt;0.02,"MISMATCH","OK"))</f>
        <v>OK</v>
      </c>
      <c r="M76" s="44" t="n">
        <f aca="false">IF(ISBLANK('Raw - Sessions'!U50),"",'Raw - Sessions'!Q50)</f>
        <v>12.42</v>
      </c>
      <c r="N76" s="44" t="n">
        <f aca="false">IF(E76="","",I76-G76-H76-F76)</f>
        <v>12.42</v>
      </c>
      <c r="O76" s="44" t="n">
        <f aca="false">IF(E76="","",M76-N76)</f>
        <v>0</v>
      </c>
      <c r="P76" s="72" t="str">
        <f aca="false">IF(E76="","",IF(ABS(O76)&gt;0.02,"MISMATCH","OK"))</f>
        <v>OK</v>
      </c>
    </row>
    <row r="77" customFormat="false" ht="15" hidden="false" customHeight="false" outlineLevel="0" collapsed="false">
      <c r="A77" s="70" t="n">
        <f aca="false">'Raw - Sessions'!A51</f>
        <v>4617870451</v>
      </c>
      <c r="B77" s="70" t="str">
        <f aca="false">'Raw - Sessions'!K51</f>
        <v>BARBOURVILLE / CITY HALL</v>
      </c>
      <c r="C77" s="71" t="n">
        <f aca="false">IF(ISBLANK('Raw - Sessions'!U51),"",'Raw - Sessions'!T51)</f>
        <v>0.4</v>
      </c>
      <c r="D77" s="38" t="n">
        <f aca="false">'Raw - Sessions'!E51</f>
        <v>40.239601</v>
      </c>
      <c r="E77" s="42" t="n">
        <f aca="false">IF(ISBLANK('Raw - Sessions'!U51),"",'Raw - Sessions'!U51)</f>
        <v>19.04</v>
      </c>
      <c r="F77" s="42" t="n">
        <f aca="false">IF(ISBLANK('Raw - Sessions'!U51),"",'Raw - Sessions'!Z51)</f>
        <v>0.97</v>
      </c>
      <c r="G77" s="42" t="n">
        <f aca="false">IF(ISBLANK('Raw - Sessions'!U51),"",'Raw - Sessions'!AE51)</f>
        <v>0</v>
      </c>
      <c r="H77" s="42" t="n">
        <f aca="false">IF(ISBLANK('Raw - Sessions'!U51),"",'Raw - Sessions'!AD51)</f>
        <v>1.9</v>
      </c>
      <c r="I77" s="42" t="n">
        <f aca="false">IF(ISBLANK('Raw - Sessions'!U51),"",'Raw - Sessions'!P51)</f>
        <v>20.01</v>
      </c>
      <c r="J77" s="42" t="n">
        <f aca="false">IF(E77="","",E77+F77+G77+'Raw - Sessions'!AA51+'Raw - Sessions'!AB51+'Raw - Sessions'!AC51)</f>
        <v>20.01</v>
      </c>
      <c r="K77" s="42" t="n">
        <f aca="false">IF(E77="","",I77-J77)</f>
        <v>0</v>
      </c>
      <c r="L77" s="70" t="str">
        <f aca="false">IF(E77="","",IF(ABS(K77)&gt;0.02,"MISMATCH","OK"))</f>
        <v>OK</v>
      </c>
      <c r="M77" s="42" t="n">
        <f aca="false">IF(ISBLANK('Raw - Sessions'!U51),"",'Raw - Sessions'!Q51)</f>
        <v>17.14</v>
      </c>
      <c r="N77" s="42" t="n">
        <f aca="false">IF(E77="","",I77-G77-H77-F77)</f>
        <v>17.14</v>
      </c>
      <c r="O77" s="42" t="n">
        <f aca="false">IF(E77="","",M77-N77)</f>
        <v>0</v>
      </c>
      <c r="P77" s="70" t="str">
        <f aca="false">IF(E77="","",IF(ABS(O77)&gt;0.02,"MISMATCH","OK"))</f>
        <v>OK</v>
      </c>
    </row>
    <row r="78" customFormat="false" ht="15" hidden="false" customHeight="false" outlineLevel="0" collapsed="false">
      <c r="A78" s="72" t="n">
        <f aca="false">'Raw - Sessions'!A52</f>
        <v>4637998171</v>
      </c>
      <c r="B78" s="72" t="str">
        <f aca="false">'Raw - Sessions'!K52</f>
        <v>BARBOURVILLE / TOURISM</v>
      </c>
      <c r="C78" s="73" t="str">
        <f aca="false">IF(ISBLANK('Raw - Sessions'!U52),"",'Raw - Sessions'!T52)</f>
        <v/>
      </c>
      <c r="D78" s="39" t="n">
        <f aca="false">'Raw - Sessions'!E52</f>
        <v>0</v>
      </c>
      <c r="E78" s="44" t="str">
        <f aca="false">IF(ISBLANK('Raw - Sessions'!U52),"",'Raw - Sessions'!U52)</f>
        <v/>
      </c>
      <c r="F78" s="44" t="str">
        <f aca="false">IF(ISBLANK('Raw - Sessions'!U52),"",'Raw - Sessions'!Z52)</f>
        <v/>
      </c>
      <c r="G78" s="44" t="str">
        <f aca="false">IF(ISBLANK('Raw - Sessions'!U52),"",'Raw - Sessions'!AE52)</f>
        <v/>
      </c>
      <c r="H78" s="44" t="str">
        <f aca="false">IF(ISBLANK('Raw - Sessions'!U52),"",'Raw - Sessions'!AD52)</f>
        <v/>
      </c>
      <c r="I78" s="44" t="str">
        <f aca="false">IF(ISBLANK('Raw - Sessions'!U52),"",'Raw - Sessions'!P52)</f>
        <v/>
      </c>
      <c r="J78" s="44" t="str">
        <f aca="false">IF(E78="","",E78+F78+G78+'Raw - Sessions'!AA52+'Raw - Sessions'!AB52+'Raw - Sessions'!AC52)</f>
        <v/>
      </c>
      <c r="K78" s="44" t="str">
        <f aca="false">IF(E78="","",I78-J78)</f>
        <v/>
      </c>
      <c r="L78" s="72" t="str">
        <f aca="false">IF(E78="","",IF(ABS(K78)&gt;0.02,"MISMATCH","OK"))</f>
        <v/>
      </c>
      <c r="M78" s="44" t="str">
        <f aca="false">IF(ISBLANK('Raw - Sessions'!U52),"",'Raw - Sessions'!Q52)</f>
        <v/>
      </c>
      <c r="N78" s="44" t="str">
        <f aca="false">IF(E78="","",I78-G78-H78-F78)</f>
        <v/>
      </c>
      <c r="O78" s="44" t="str">
        <f aca="false">IF(E78="","",M78-N78)</f>
        <v/>
      </c>
      <c r="P78" s="72" t="str">
        <f aca="false">IF(E78="","",IF(ABS(O78)&gt;0.02,"MISMATCH","OK"))</f>
        <v/>
      </c>
    </row>
    <row r="79" customFormat="false" ht="15" hidden="false" customHeight="false" outlineLevel="0" collapsed="false">
      <c r="A79" s="70" t="n">
        <f aca="false">'Raw - Sessions'!A53</f>
        <v>4641229131</v>
      </c>
      <c r="B79" s="70" t="str">
        <f aca="false">'Raw - Sessions'!K53</f>
        <v>BARBOURVILLE / CITY HALL</v>
      </c>
      <c r="C79" s="71" t="n">
        <f aca="false">IF(ISBLANK('Raw - Sessions'!U53),"",'Raw - Sessions'!T53)</f>
        <v>0.4</v>
      </c>
      <c r="D79" s="38" t="n">
        <f aca="false">'Raw - Sessions'!E53</f>
        <v>6.229</v>
      </c>
      <c r="E79" s="42" t="n">
        <f aca="false">IF(ISBLANK('Raw - Sessions'!U53),"",'Raw - Sessions'!U53)</f>
        <v>2.96</v>
      </c>
      <c r="F79" s="42" t="n">
        <f aca="false">IF(ISBLANK('Raw - Sessions'!U53),"",'Raw - Sessions'!Z53)</f>
        <v>0.15</v>
      </c>
      <c r="G79" s="42" t="n">
        <f aca="false">IF(ISBLANK('Raw - Sessions'!U53),"",'Raw - Sessions'!AE53)</f>
        <v>0</v>
      </c>
      <c r="H79" s="42" t="n">
        <f aca="false">IF(ISBLANK('Raw - Sessions'!U53),"",'Raw - Sessions'!AD53)</f>
        <v>0.3</v>
      </c>
      <c r="I79" s="42" t="n">
        <f aca="false">IF(ISBLANK('Raw - Sessions'!U53),"",'Raw - Sessions'!P53)</f>
        <v>3.11</v>
      </c>
      <c r="J79" s="42" t="n">
        <f aca="false">IF(E79="","",E79+F79+G79+'Raw - Sessions'!AA53+'Raw - Sessions'!AB53+'Raw - Sessions'!AC53)</f>
        <v>3.11</v>
      </c>
      <c r="K79" s="42" t="n">
        <f aca="false">IF(E79="","",I79-J79)</f>
        <v>0</v>
      </c>
      <c r="L79" s="70" t="str">
        <f aca="false">IF(E79="","",IF(ABS(K79)&gt;0.02,"MISMATCH","OK"))</f>
        <v>OK</v>
      </c>
      <c r="M79" s="42" t="n">
        <f aca="false">IF(ISBLANK('Raw - Sessions'!U53),"",'Raw - Sessions'!Q53)</f>
        <v>2.66</v>
      </c>
      <c r="N79" s="42" t="n">
        <f aca="false">IF(E79="","",I79-G79-H79-F79)</f>
        <v>2.66</v>
      </c>
      <c r="O79" s="42" t="n">
        <f aca="false">IF(E79="","",M79-N79)</f>
        <v>0</v>
      </c>
      <c r="P79" s="70" t="str">
        <f aca="false">IF(E79="","",IF(ABS(O79)&gt;0.02,"MISMATCH","OK"))</f>
        <v>OK</v>
      </c>
    </row>
    <row r="80" customFormat="false" ht="15" hidden="false" customHeight="false" outlineLevel="0" collapsed="false">
      <c r="A80" s="72" t="n">
        <f aca="false">'Raw - Sessions'!A54</f>
        <v>4641596451</v>
      </c>
      <c r="B80" s="72" t="str">
        <f aca="false">'Raw - Sessions'!K54</f>
        <v>BARBOURVILLE / CITY HALL</v>
      </c>
      <c r="C80" s="73" t="n">
        <f aca="false">IF(ISBLANK('Raw - Sessions'!U54),"",'Raw - Sessions'!T54)</f>
        <v>0.4</v>
      </c>
      <c r="D80" s="39" t="n">
        <f aca="false">'Raw - Sessions'!E54</f>
        <v>51.939098</v>
      </c>
      <c r="E80" s="44" t="n">
        <f aca="false">IF(ISBLANK('Raw - Sessions'!U54),"",'Raw - Sessions'!U54)</f>
        <v>24.22</v>
      </c>
      <c r="F80" s="44" t="n">
        <f aca="false">IF(ISBLANK('Raw - Sessions'!U54),"",'Raw - Sessions'!Z54)</f>
        <v>1.25</v>
      </c>
      <c r="G80" s="44" t="n">
        <f aca="false">IF(ISBLANK('Raw - Sessions'!U54),"",'Raw - Sessions'!AE54)</f>
        <v>0</v>
      </c>
      <c r="H80" s="44" t="n">
        <f aca="false">IF(ISBLANK('Raw - Sessions'!U54),"",'Raw - Sessions'!AD54)</f>
        <v>2.42</v>
      </c>
      <c r="I80" s="44" t="n">
        <f aca="false">IF(ISBLANK('Raw - Sessions'!U54),"",'Raw - Sessions'!P54)</f>
        <v>25.47</v>
      </c>
      <c r="J80" s="44" t="n">
        <f aca="false">IF(E80="","",E80+F80+G80+'Raw - Sessions'!AA54+'Raw - Sessions'!AB54+'Raw - Sessions'!AC54)</f>
        <v>25.47</v>
      </c>
      <c r="K80" s="44" t="n">
        <f aca="false">IF(E80="","",I80-J80)</f>
        <v>0</v>
      </c>
      <c r="L80" s="72" t="str">
        <f aca="false">IF(E80="","",IF(ABS(K80)&gt;0.02,"MISMATCH","OK"))</f>
        <v>OK</v>
      </c>
      <c r="M80" s="44" t="n">
        <f aca="false">IF(ISBLANK('Raw - Sessions'!U54),"",'Raw - Sessions'!Q54)</f>
        <v>21.8</v>
      </c>
      <c r="N80" s="44" t="n">
        <f aca="false">IF(E80="","",I80-G80-H80-F80)</f>
        <v>21.8</v>
      </c>
      <c r="O80" s="44" t="n">
        <f aca="false">IF(E80="","",M80-N80)</f>
        <v>0</v>
      </c>
      <c r="P80" s="72" t="str">
        <f aca="false">IF(E80="","",IF(ABS(O80)&gt;0.02,"MISMATCH","OK"))</f>
        <v>OK</v>
      </c>
    </row>
    <row r="81" customFormat="false" ht="15" hidden="false" customHeight="false" outlineLevel="0" collapsed="false">
      <c r="A81" s="70" t="n">
        <f aca="false">'Raw - Sessions'!A55</f>
        <v>4641715541</v>
      </c>
      <c r="B81" s="70" t="str">
        <f aca="false">'Raw - Sessions'!K55</f>
        <v>BARBOURVILLE / CITY HALL</v>
      </c>
      <c r="C81" s="71" t="n">
        <f aca="false">IF(ISBLANK('Raw - Sessions'!U55),"",'Raw - Sessions'!T55)</f>
        <v>0.4</v>
      </c>
      <c r="D81" s="38" t="n">
        <f aca="false">'Raw - Sessions'!E55</f>
        <v>60.9911</v>
      </c>
      <c r="E81" s="42" t="n">
        <f aca="false">IF(ISBLANK('Raw - Sessions'!U55),"",'Raw - Sessions'!U55)</f>
        <v>28.65</v>
      </c>
      <c r="F81" s="42" t="n">
        <f aca="false">IF(ISBLANK('Raw - Sessions'!U55),"",'Raw - Sessions'!Z55)</f>
        <v>1.46</v>
      </c>
      <c r="G81" s="42" t="n">
        <f aca="false">IF(ISBLANK('Raw - Sessions'!U55),"",'Raw - Sessions'!AE55)</f>
        <v>0</v>
      </c>
      <c r="H81" s="42" t="n">
        <f aca="false">IF(ISBLANK('Raw - Sessions'!U55),"",'Raw - Sessions'!AD55)</f>
        <v>2.86</v>
      </c>
      <c r="I81" s="42" t="n">
        <f aca="false">IF(ISBLANK('Raw - Sessions'!U55),"",'Raw - Sessions'!P55)</f>
        <v>30.11</v>
      </c>
      <c r="J81" s="42" t="n">
        <f aca="false">IF(E81="","",E81+F81+G81+'Raw - Sessions'!AA55+'Raw - Sessions'!AB55+'Raw - Sessions'!AC55)</f>
        <v>30.11</v>
      </c>
      <c r="K81" s="42" t="n">
        <f aca="false">IF(E81="","",I81-J81)</f>
        <v>0</v>
      </c>
      <c r="L81" s="70" t="str">
        <f aca="false">IF(E81="","",IF(ABS(K81)&gt;0.02,"MISMATCH","OK"))</f>
        <v>OK</v>
      </c>
      <c r="M81" s="42" t="n">
        <f aca="false">IF(ISBLANK('Raw - Sessions'!U55),"",'Raw - Sessions'!Q55)</f>
        <v>25.79</v>
      </c>
      <c r="N81" s="42" t="n">
        <f aca="false">IF(E81="","",I81-G81-H81-F81)</f>
        <v>25.79</v>
      </c>
      <c r="O81" s="42" t="n">
        <f aca="false">IF(E81="","",M81-N81)</f>
        <v>0</v>
      </c>
      <c r="P81" s="70" t="str">
        <f aca="false">IF(E81="","",IF(ABS(O81)&gt;0.02,"MISMATCH","OK"))</f>
        <v>OK</v>
      </c>
    </row>
    <row r="82" customFormat="false" ht="15" hidden="false" customHeight="false" outlineLevel="0" collapsed="false">
      <c r="A82" s="72" t="n">
        <f aca="false">'Raw - Sessions'!A56</f>
        <v>4643802021</v>
      </c>
      <c r="B82" s="72" t="str">
        <f aca="false">'Raw - Sessions'!K56</f>
        <v>BARBOURVILLE / TOURISM</v>
      </c>
      <c r="C82" s="73" t="n">
        <f aca="false">IF(ISBLANK('Raw - Sessions'!U56),"",'Raw - Sessions'!T56)</f>
        <v>0.4</v>
      </c>
      <c r="D82" s="39" t="n">
        <f aca="false">'Raw - Sessions'!E56</f>
        <v>2.312983</v>
      </c>
      <c r="E82" s="44" t="n">
        <f aca="false">IF(ISBLANK('Raw - Sessions'!U56),"",'Raw - Sessions'!U56)</f>
        <v>2.23</v>
      </c>
      <c r="F82" s="44" t="n">
        <f aca="false">IF(ISBLANK('Raw - Sessions'!U56),"",'Raw - Sessions'!Z56)</f>
        <v>0.06</v>
      </c>
      <c r="G82" s="44" t="n">
        <f aca="false">IF(ISBLANK('Raw - Sessions'!U56),"",'Raw - Sessions'!AE56)</f>
        <v>0</v>
      </c>
      <c r="H82" s="44" t="n">
        <f aca="false">IF(ISBLANK('Raw - Sessions'!U56),"",'Raw - Sessions'!AD56)</f>
        <v>0.22</v>
      </c>
      <c r="I82" s="44" t="n">
        <f aca="false">IF(ISBLANK('Raw - Sessions'!U56),"",'Raw - Sessions'!P56)</f>
        <v>2.29</v>
      </c>
      <c r="J82" s="44" t="n">
        <f aca="false">IF(E82="","",E82+F82+G82+'Raw - Sessions'!AA56+'Raw - Sessions'!AB56+'Raw - Sessions'!AC56)</f>
        <v>2.29</v>
      </c>
      <c r="K82" s="44" t="n">
        <f aca="false">IF(E82="","",I82-J82)</f>
        <v>0</v>
      </c>
      <c r="L82" s="72" t="str">
        <f aca="false">IF(E82="","",IF(ABS(K82)&gt;0.02,"MISMATCH","OK"))</f>
        <v>OK</v>
      </c>
      <c r="M82" s="44" t="n">
        <f aca="false">IF(ISBLANK('Raw - Sessions'!U56),"",'Raw - Sessions'!Q56)</f>
        <v>2.01</v>
      </c>
      <c r="N82" s="44" t="n">
        <f aca="false">IF(E82="","",I82-G82-H82-F82)</f>
        <v>2.01</v>
      </c>
      <c r="O82" s="44" t="n">
        <f aca="false">IF(E82="","",M82-N82)</f>
        <v>0</v>
      </c>
      <c r="P82" s="72" t="str">
        <f aca="false">IF(E82="","",IF(ABS(O82)&gt;0.02,"MISMATCH","OK"))</f>
        <v>OK</v>
      </c>
    </row>
    <row r="83" customFormat="false" ht="15" hidden="false" customHeight="false" outlineLevel="0" collapsed="false">
      <c r="A83" s="70" t="n">
        <f aca="false">'Raw - Sessions'!A57</f>
        <v>4644336541</v>
      </c>
      <c r="B83" s="70" t="str">
        <f aca="false">'Raw - Sessions'!K57</f>
        <v>BARBOURVILLE / CITY HALL</v>
      </c>
      <c r="C83" s="71" t="str">
        <f aca="false">IF(ISBLANK('Raw - Sessions'!U57),"",'Raw - Sessions'!T57)</f>
        <v/>
      </c>
      <c r="D83" s="38" t="n">
        <f aca="false">'Raw - Sessions'!E57</f>
        <v>0</v>
      </c>
      <c r="E83" s="42" t="str">
        <f aca="false">IF(ISBLANK('Raw - Sessions'!U57),"",'Raw - Sessions'!U57)</f>
        <v/>
      </c>
      <c r="F83" s="42" t="str">
        <f aca="false">IF(ISBLANK('Raw - Sessions'!U57),"",'Raw - Sessions'!Z57)</f>
        <v/>
      </c>
      <c r="G83" s="42" t="str">
        <f aca="false">IF(ISBLANK('Raw - Sessions'!U57),"",'Raw - Sessions'!AE57)</f>
        <v/>
      </c>
      <c r="H83" s="42" t="str">
        <f aca="false">IF(ISBLANK('Raw - Sessions'!U57),"",'Raw - Sessions'!AD57)</f>
        <v/>
      </c>
      <c r="I83" s="42" t="str">
        <f aca="false">IF(ISBLANK('Raw - Sessions'!U57),"",'Raw - Sessions'!P57)</f>
        <v/>
      </c>
      <c r="J83" s="42" t="str">
        <f aca="false">IF(E83="","",E83+F83+G83+'Raw - Sessions'!AA57+'Raw - Sessions'!AB57+'Raw - Sessions'!AC57)</f>
        <v/>
      </c>
      <c r="K83" s="42" t="str">
        <f aca="false">IF(E83="","",I83-J83)</f>
        <v/>
      </c>
      <c r="L83" s="70" t="str">
        <f aca="false">IF(E83="","",IF(ABS(K83)&gt;0.02,"MISMATCH","OK"))</f>
        <v/>
      </c>
      <c r="M83" s="42" t="str">
        <f aca="false">IF(ISBLANK('Raw - Sessions'!U57),"",'Raw - Sessions'!Q57)</f>
        <v/>
      </c>
      <c r="N83" s="42" t="str">
        <f aca="false">IF(E83="","",I83-G83-H83-F83)</f>
        <v/>
      </c>
      <c r="O83" s="42" t="str">
        <f aca="false">IF(E83="","",M83-N83)</f>
        <v/>
      </c>
      <c r="P83" s="70" t="str">
        <f aca="false">IF(E83="","",IF(ABS(O83)&gt;0.02,"MISMATCH","OK"))</f>
        <v/>
      </c>
    </row>
    <row r="84" customFormat="false" ht="15" hidden="false" customHeight="false" outlineLevel="0" collapsed="false">
      <c r="A84" s="72" t="n">
        <f aca="false">'Raw - Sessions'!A58</f>
        <v>4644745771</v>
      </c>
      <c r="B84" s="72" t="str">
        <f aca="false">'Raw - Sessions'!K58</f>
        <v>BARBOURVILLE / CITY HALL</v>
      </c>
      <c r="C84" s="73" t="n">
        <f aca="false">IF(ISBLANK('Raw - Sessions'!U58),"",'Raw - Sessions'!T58)</f>
        <v>0.4</v>
      </c>
      <c r="D84" s="39" t="n">
        <f aca="false">'Raw - Sessions'!E58</f>
        <v>56.687801</v>
      </c>
      <c r="E84" s="44" t="n">
        <f aca="false">IF(ISBLANK('Raw - Sessions'!U58),"",'Raw - Sessions'!U58)</f>
        <v>26.76</v>
      </c>
      <c r="F84" s="44" t="n">
        <f aca="false">IF(ISBLANK('Raw - Sessions'!U58),"",'Raw - Sessions'!Z58)</f>
        <v>1.36</v>
      </c>
      <c r="G84" s="44" t="n">
        <f aca="false">IF(ISBLANK('Raw - Sessions'!U58),"",'Raw - Sessions'!AE58)</f>
        <v>0</v>
      </c>
      <c r="H84" s="44" t="n">
        <f aca="false">IF(ISBLANK('Raw - Sessions'!U58),"",'Raw - Sessions'!AD58)</f>
        <v>2.68</v>
      </c>
      <c r="I84" s="44" t="n">
        <f aca="false">IF(ISBLANK('Raw - Sessions'!U58),"",'Raw - Sessions'!P58)</f>
        <v>28.12</v>
      </c>
      <c r="J84" s="44" t="n">
        <f aca="false">IF(E84="","",E84+F84+G84+'Raw - Sessions'!AA58+'Raw - Sessions'!AB58+'Raw - Sessions'!AC58)</f>
        <v>28.12</v>
      </c>
      <c r="K84" s="44" t="n">
        <f aca="false">IF(E84="","",I84-J84)</f>
        <v>0</v>
      </c>
      <c r="L84" s="72" t="str">
        <f aca="false">IF(E84="","",IF(ABS(K84)&gt;0.02,"MISMATCH","OK"))</f>
        <v>OK</v>
      </c>
      <c r="M84" s="44" t="n">
        <f aca="false">IF(ISBLANK('Raw - Sessions'!U58),"",'Raw - Sessions'!Q58)</f>
        <v>24.08</v>
      </c>
      <c r="N84" s="44" t="n">
        <f aca="false">IF(E84="","",I84-G84-H84-F84)</f>
        <v>24.08</v>
      </c>
      <c r="O84" s="44" t="n">
        <f aca="false">IF(E84="","",M84-N84)</f>
        <v>0</v>
      </c>
      <c r="P84" s="72" t="str">
        <f aca="false">IF(E84="","",IF(ABS(O84)&gt;0.02,"MISMATCH","OK"))</f>
        <v>OK</v>
      </c>
    </row>
    <row r="85" customFormat="false" ht="15" hidden="false" customHeight="false" outlineLevel="0" collapsed="false">
      <c r="A85" s="70" t="n">
        <f aca="false">'Raw - Sessions'!A59</f>
        <v>4646456341</v>
      </c>
      <c r="B85" s="70" t="str">
        <f aca="false">'Raw - Sessions'!K59</f>
        <v>BARBOURVILLE / CITY HALL</v>
      </c>
      <c r="C85" s="71" t="n">
        <f aca="false">IF(ISBLANK('Raw - Sessions'!U59),"",'Raw - Sessions'!T59)</f>
        <v>0.4</v>
      </c>
      <c r="D85" s="38" t="n">
        <f aca="false">'Raw - Sessions'!E59</f>
        <v>6.1598</v>
      </c>
      <c r="E85" s="42" t="n">
        <f aca="false">IF(ISBLANK('Raw - Sessions'!U59),"",'Raw - Sessions'!U59)</f>
        <v>3.29</v>
      </c>
      <c r="F85" s="42" t="n">
        <f aca="false">IF(ISBLANK('Raw - Sessions'!U59),"",'Raw - Sessions'!Z59)</f>
        <v>0.15</v>
      </c>
      <c r="G85" s="42" t="n">
        <f aca="false">IF(ISBLANK('Raw - Sessions'!U59),"",'Raw - Sessions'!AE59)</f>
        <v>0</v>
      </c>
      <c r="H85" s="42" t="n">
        <f aca="false">IF(ISBLANK('Raw - Sessions'!U59),"",'Raw - Sessions'!AD59)</f>
        <v>0.33</v>
      </c>
      <c r="I85" s="42" t="n">
        <f aca="false">IF(ISBLANK('Raw - Sessions'!U59),"",'Raw - Sessions'!P59)</f>
        <v>3.44</v>
      </c>
      <c r="J85" s="42" t="n">
        <f aca="false">IF(E85="","",E85+F85+G85+'Raw - Sessions'!AA59+'Raw - Sessions'!AB59+'Raw - Sessions'!AC59)</f>
        <v>3.44</v>
      </c>
      <c r="K85" s="42" t="n">
        <f aca="false">IF(E85="","",I85-J85)</f>
        <v>0</v>
      </c>
      <c r="L85" s="70" t="str">
        <f aca="false">IF(E85="","",IF(ABS(K85)&gt;0.02,"MISMATCH","OK"))</f>
        <v>OK</v>
      </c>
      <c r="M85" s="42" t="n">
        <f aca="false">IF(ISBLANK('Raw - Sessions'!U59),"",'Raw - Sessions'!Q59)</f>
        <v>2.96</v>
      </c>
      <c r="N85" s="42" t="n">
        <f aca="false">IF(E85="","",I85-G85-H85-F85)</f>
        <v>2.96</v>
      </c>
      <c r="O85" s="42" t="n">
        <f aca="false">IF(E85="","",M85-N85)</f>
        <v>0</v>
      </c>
      <c r="P85" s="70" t="str">
        <f aca="false">IF(E85="","",IF(ABS(O85)&gt;0.02,"MISMATCH","OK"))</f>
        <v>OK</v>
      </c>
    </row>
    <row r="86" customFormat="false" ht="15" hidden="false" customHeight="false" outlineLevel="0" collapsed="false">
      <c r="A86" s="72" t="n">
        <f aca="false">'Raw - Sessions'!A60</f>
        <v>4646520411</v>
      </c>
      <c r="B86" s="72" t="str">
        <f aca="false">'Raw - Sessions'!K60</f>
        <v>BARBOURVILLE / CITY HALL</v>
      </c>
      <c r="C86" s="73" t="n">
        <f aca="false">IF(ISBLANK('Raw - Sessions'!U60),"",'Raw - Sessions'!T60)</f>
        <v>0.4</v>
      </c>
      <c r="D86" s="39" t="n">
        <f aca="false">'Raw - Sessions'!E60</f>
        <v>20.563</v>
      </c>
      <c r="E86" s="44" t="n">
        <f aca="false">IF(ISBLANK('Raw - Sessions'!U60),"",'Raw - Sessions'!U60)</f>
        <v>11.86</v>
      </c>
      <c r="F86" s="44" t="n">
        <f aca="false">IF(ISBLANK('Raw - Sessions'!U60),"",'Raw - Sessions'!Z60)</f>
        <v>0.49</v>
      </c>
      <c r="G86" s="44" t="n">
        <f aca="false">IF(ISBLANK('Raw - Sessions'!U60),"",'Raw - Sessions'!AE60)</f>
        <v>0</v>
      </c>
      <c r="H86" s="44" t="n">
        <f aca="false">IF(ISBLANK('Raw - Sessions'!U60),"",'Raw - Sessions'!AD60)</f>
        <v>1.19</v>
      </c>
      <c r="I86" s="44" t="n">
        <f aca="false">IF(ISBLANK('Raw - Sessions'!U60),"",'Raw - Sessions'!P60)</f>
        <v>12.35</v>
      </c>
      <c r="J86" s="44" t="n">
        <f aca="false">IF(E86="","",E86+F86+G86+'Raw - Sessions'!AA60+'Raw - Sessions'!AB60+'Raw - Sessions'!AC60)</f>
        <v>12.35</v>
      </c>
      <c r="K86" s="44" t="n">
        <f aca="false">IF(E86="","",I86-J86)</f>
        <v>0</v>
      </c>
      <c r="L86" s="72" t="str">
        <f aca="false">IF(E86="","",IF(ABS(K86)&gt;0.02,"MISMATCH","OK"))</f>
        <v>OK</v>
      </c>
      <c r="M86" s="44" t="n">
        <f aca="false">IF(ISBLANK('Raw - Sessions'!U60),"",'Raw - Sessions'!Q60)</f>
        <v>10.67</v>
      </c>
      <c r="N86" s="44" t="n">
        <f aca="false">IF(E86="","",I86-G86-H86-F86)</f>
        <v>10.67</v>
      </c>
      <c r="O86" s="44" t="n">
        <f aca="false">IF(E86="","",M86-N86)</f>
        <v>0</v>
      </c>
      <c r="P86" s="72" t="str">
        <f aca="false">IF(E86="","",IF(ABS(O86)&gt;0.02,"MISMATCH","OK"))</f>
        <v>OK</v>
      </c>
    </row>
    <row r="87" customFormat="false" ht="15" hidden="false" customHeight="false" outlineLevel="0" collapsed="false">
      <c r="A87" s="70" t="n">
        <f aca="false">'Raw - Sessions'!A61</f>
        <v>4648087231</v>
      </c>
      <c r="B87" s="70" t="str">
        <f aca="false">'Raw - Sessions'!K61</f>
        <v>BARBOURVILLE / CITY HALL</v>
      </c>
      <c r="C87" s="71" t="str">
        <f aca="false">IF(ISBLANK('Raw - Sessions'!U61),"",'Raw - Sessions'!T61)</f>
        <v/>
      </c>
      <c r="D87" s="38" t="n">
        <f aca="false">'Raw - Sessions'!E61</f>
        <v>0</v>
      </c>
      <c r="E87" s="42" t="str">
        <f aca="false">IF(ISBLANK('Raw - Sessions'!U61),"",'Raw - Sessions'!U61)</f>
        <v/>
      </c>
      <c r="F87" s="42" t="str">
        <f aca="false">IF(ISBLANK('Raw - Sessions'!U61),"",'Raw - Sessions'!Z61)</f>
        <v/>
      </c>
      <c r="G87" s="42" t="str">
        <f aca="false">IF(ISBLANK('Raw - Sessions'!U61),"",'Raw - Sessions'!AE61)</f>
        <v/>
      </c>
      <c r="H87" s="42" t="str">
        <f aca="false">IF(ISBLANK('Raw - Sessions'!U61),"",'Raw - Sessions'!AD61)</f>
        <v/>
      </c>
      <c r="I87" s="42" t="str">
        <f aca="false">IF(ISBLANK('Raw - Sessions'!U61),"",'Raw - Sessions'!P61)</f>
        <v/>
      </c>
      <c r="J87" s="42" t="str">
        <f aca="false">IF(E87="","",E87+F87+G87+'Raw - Sessions'!AA61+'Raw - Sessions'!AB61+'Raw - Sessions'!AC61)</f>
        <v/>
      </c>
      <c r="K87" s="42" t="str">
        <f aca="false">IF(E87="","",I87-J87)</f>
        <v/>
      </c>
      <c r="L87" s="70" t="str">
        <f aca="false">IF(E87="","",IF(ABS(K87)&gt;0.02,"MISMATCH","OK"))</f>
        <v/>
      </c>
      <c r="M87" s="42" t="str">
        <f aca="false">IF(ISBLANK('Raw - Sessions'!U61),"",'Raw - Sessions'!Q61)</f>
        <v/>
      </c>
      <c r="N87" s="42" t="str">
        <f aca="false">IF(E87="","",I87-G87-H87-F87)</f>
        <v/>
      </c>
      <c r="O87" s="42" t="str">
        <f aca="false">IF(E87="","",M87-N87)</f>
        <v/>
      </c>
      <c r="P87" s="70" t="str">
        <f aca="false">IF(E87="","",IF(ABS(O87)&gt;0.02,"MISMATCH","OK"))</f>
        <v/>
      </c>
    </row>
    <row r="88" customFormat="false" ht="15" hidden="false" customHeight="false" outlineLevel="0" collapsed="false">
      <c r="A88" s="72" t="n">
        <f aca="false">'Raw - Sessions'!A62</f>
        <v>4648092671</v>
      </c>
      <c r="B88" s="72" t="str">
        <f aca="false">'Raw - Sessions'!K62</f>
        <v>BARBOURVILLE / CITY HALL</v>
      </c>
      <c r="C88" s="73" t="n">
        <f aca="false">IF(ISBLANK('Raw - Sessions'!U62),"",'Raw - Sessions'!T62)</f>
        <v>0.4</v>
      </c>
      <c r="D88" s="39" t="n">
        <f aca="false">'Raw - Sessions'!E62</f>
        <v>25.139</v>
      </c>
      <c r="E88" s="44" t="n">
        <f aca="false">IF(ISBLANK('Raw - Sessions'!U62),"",'Raw - Sessions'!U62)</f>
        <v>11.74</v>
      </c>
      <c r="F88" s="44" t="n">
        <f aca="false">IF(ISBLANK('Raw - Sessions'!U62),"",'Raw - Sessions'!Z62)</f>
        <v>0.6</v>
      </c>
      <c r="G88" s="44" t="n">
        <f aca="false">IF(ISBLANK('Raw - Sessions'!U62),"",'Raw - Sessions'!AE62)</f>
        <v>0</v>
      </c>
      <c r="H88" s="44" t="n">
        <f aca="false">IF(ISBLANK('Raw - Sessions'!U62),"",'Raw - Sessions'!AD62)</f>
        <v>1.17</v>
      </c>
      <c r="I88" s="44" t="n">
        <f aca="false">IF(ISBLANK('Raw - Sessions'!U62),"",'Raw - Sessions'!P62)</f>
        <v>12.34</v>
      </c>
      <c r="J88" s="44" t="n">
        <f aca="false">IF(E88="","",E88+F88+G88+'Raw - Sessions'!AA62+'Raw - Sessions'!AB62+'Raw - Sessions'!AC62)</f>
        <v>12.34</v>
      </c>
      <c r="K88" s="44" t="n">
        <f aca="false">IF(E88="","",I88-J88)</f>
        <v>0</v>
      </c>
      <c r="L88" s="72" t="str">
        <f aca="false">IF(E88="","",IF(ABS(K88)&gt;0.02,"MISMATCH","OK"))</f>
        <v>OK</v>
      </c>
      <c r="M88" s="44" t="n">
        <f aca="false">IF(ISBLANK('Raw - Sessions'!U62),"",'Raw - Sessions'!Q62)</f>
        <v>10.57</v>
      </c>
      <c r="N88" s="44" t="n">
        <f aca="false">IF(E88="","",I88-G88-H88-F88)</f>
        <v>10.57</v>
      </c>
      <c r="O88" s="44" t="n">
        <f aca="false">IF(E88="","",M88-N88)</f>
        <v>0</v>
      </c>
      <c r="P88" s="72" t="str">
        <f aca="false">IF(E88="","",IF(ABS(O88)&gt;0.02,"MISMATCH","OK"))</f>
        <v>OK</v>
      </c>
    </row>
    <row r="89" customFormat="false" ht="15" hidden="false" customHeight="false" outlineLevel="0" collapsed="false">
      <c r="A89" s="70" t="n">
        <f aca="false">'Raw - Sessions'!A63</f>
        <v>4660368151</v>
      </c>
      <c r="B89" s="70" t="str">
        <f aca="false">'Raw - Sessions'!K63</f>
        <v>BARBOURVILLE / CITY HALL</v>
      </c>
      <c r="C89" s="71" t="n">
        <f aca="false">IF(ISBLANK('Raw - Sessions'!U63),"",'Raw - Sessions'!T63)</f>
        <v>0.4</v>
      </c>
      <c r="D89" s="38" t="n">
        <f aca="false">'Raw - Sessions'!E63</f>
        <v>20.3325</v>
      </c>
      <c r="E89" s="42" t="n">
        <f aca="false">IF(ISBLANK('Raw - Sessions'!U63),"",'Raw - Sessions'!U63)</f>
        <v>10.34</v>
      </c>
      <c r="F89" s="42" t="n">
        <f aca="false">IF(ISBLANK('Raw - Sessions'!U63),"",'Raw - Sessions'!Z63)</f>
        <v>0.49</v>
      </c>
      <c r="G89" s="42" t="n">
        <f aca="false">IF(ISBLANK('Raw - Sessions'!U63),"",'Raw - Sessions'!AE63)</f>
        <v>0</v>
      </c>
      <c r="H89" s="42" t="n">
        <f aca="false">IF(ISBLANK('Raw - Sessions'!U63),"",'Raw - Sessions'!AD63)</f>
        <v>1.03</v>
      </c>
      <c r="I89" s="42" t="n">
        <f aca="false">IF(ISBLANK('Raw - Sessions'!U63),"",'Raw - Sessions'!P63)</f>
        <v>10.83</v>
      </c>
      <c r="J89" s="42" t="n">
        <f aca="false">IF(E89="","",E89+F89+G89+'Raw - Sessions'!AA63+'Raw - Sessions'!AB63+'Raw - Sessions'!AC63)</f>
        <v>10.83</v>
      </c>
      <c r="K89" s="42" t="n">
        <f aca="false">IF(E89="","",I89-J89)</f>
        <v>0</v>
      </c>
      <c r="L89" s="70" t="str">
        <f aca="false">IF(E89="","",IF(ABS(K89)&gt;0.02,"MISMATCH","OK"))</f>
        <v>OK</v>
      </c>
      <c r="M89" s="42" t="n">
        <f aca="false">IF(ISBLANK('Raw - Sessions'!U63),"",'Raw - Sessions'!Q63)</f>
        <v>9.31</v>
      </c>
      <c r="N89" s="42" t="n">
        <f aca="false">IF(E89="","",I89-G89-H89-F89)</f>
        <v>9.31</v>
      </c>
      <c r="O89" s="42" t="n">
        <f aca="false">IF(E89="","",M89-N89)</f>
        <v>0</v>
      </c>
      <c r="P89" s="70" t="str">
        <f aca="false">IF(E89="","",IF(ABS(O89)&gt;0.02,"MISMATCH","OK"))</f>
        <v>OK</v>
      </c>
    </row>
    <row r="90" customFormat="false" ht="15" hidden="false" customHeight="false" outlineLevel="0" collapsed="false">
      <c r="A90" s="72" t="n">
        <f aca="false">'Raw - Sessions'!A64</f>
        <v>4675208611</v>
      </c>
      <c r="B90" s="72" t="str">
        <f aca="false">'Raw - Sessions'!K64</f>
        <v>BARBOURVILLE / CITY HALL</v>
      </c>
      <c r="C90" s="73" t="n">
        <f aca="false">IF(ISBLANK('Raw - Sessions'!U64),"",'Raw - Sessions'!T64)</f>
        <v>0.4</v>
      </c>
      <c r="D90" s="39" t="n">
        <f aca="false">'Raw - Sessions'!E64</f>
        <v>49.4212</v>
      </c>
      <c r="E90" s="44" t="n">
        <f aca="false">IF(ISBLANK('Raw - Sessions'!U64),"",'Raw - Sessions'!U64)</f>
        <v>23.07</v>
      </c>
      <c r="F90" s="44" t="n">
        <f aca="false">IF(ISBLANK('Raw - Sessions'!U64),"",'Raw - Sessions'!Z64)</f>
        <v>1.19</v>
      </c>
      <c r="G90" s="44" t="n">
        <f aca="false">IF(ISBLANK('Raw - Sessions'!U64),"",'Raw - Sessions'!AE64)</f>
        <v>0</v>
      </c>
      <c r="H90" s="44" t="n">
        <f aca="false">IF(ISBLANK('Raw - Sessions'!U64),"",'Raw - Sessions'!AD64)</f>
        <v>2.31</v>
      </c>
      <c r="I90" s="44" t="n">
        <f aca="false">IF(ISBLANK('Raw - Sessions'!U64),"",'Raw - Sessions'!P64)</f>
        <v>24.26</v>
      </c>
      <c r="J90" s="44" t="n">
        <f aca="false">IF(E90="","",E90+F90+G90+'Raw - Sessions'!AA64+'Raw - Sessions'!AB64+'Raw - Sessions'!AC64)</f>
        <v>24.26</v>
      </c>
      <c r="K90" s="44" t="n">
        <f aca="false">IF(E90="","",I90-J90)</f>
        <v>0</v>
      </c>
      <c r="L90" s="72" t="str">
        <f aca="false">IF(E90="","",IF(ABS(K90)&gt;0.02,"MISMATCH","OK"))</f>
        <v>OK</v>
      </c>
      <c r="M90" s="44" t="n">
        <f aca="false">IF(ISBLANK('Raw - Sessions'!U64),"",'Raw - Sessions'!Q64)</f>
        <v>20.76</v>
      </c>
      <c r="N90" s="44" t="n">
        <f aca="false">IF(E90="","",I90-G90-H90-F90)</f>
        <v>20.76</v>
      </c>
      <c r="O90" s="44" t="n">
        <f aca="false">IF(E90="","",M90-N90)</f>
        <v>0</v>
      </c>
      <c r="P90" s="72" t="str">
        <f aca="false">IF(E90="","",IF(ABS(O90)&gt;0.02,"MISMATCH","OK"))</f>
        <v>OK</v>
      </c>
    </row>
    <row r="91" customFormat="false" ht="15" hidden="false" customHeight="false" outlineLevel="0" collapsed="false">
      <c r="A91" s="70" t="n">
        <f aca="false">'Raw - Sessions'!A65</f>
        <v>4678805351</v>
      </c>
      <c r="B91" s="70" t="str">
        <f aca="false">'Raw - Sessions'!K65</f>
        <v>BARBOURVILLE / CITY HALL</v>
      </c>
      <c r="C91" s="71" t="n">
        <f aca="false">IF(ISBLANK('Raw - Sessions'!U65),"",'Raw - Sessions'!T65)</f>
        <v>0.4</v>
      </c>
      <c r="D91" s="38" t="n">
        <f aca="false">'Raw - Sessions'!E65</f>
        <v>29.437799</v>
      </c>
      <c r="E91" s="42" t="n">
        <f aca="false">IF(ISBLANK('Raw - Sessions'!U65),"",'Raw - Sessions'!U65)</f>
        <v>13.81</v>
      </c>
      <c r="F91" s="42" t="n">
        <f aca="false">IF(ISBLANK('Raw - Sessions'!U65),"",'Raw - Sessions'!Z65)</f>
        <v>0.71</v>
      </c>
      <c r="G91" s="42" t="n">
        <f aca="false">IF(ISBLANK('Raw - Sessions'!U65),"",'Raw - Sessions'!AE65)</f>
        <v>0</v>
      </c>
      <c r="H91" s="42" t="n">
        <f aca="false">IF(ISBLANK('Raw - Sessions'!U65),"",'Raw - Sessions'!AD65)</f>
        <v>1.38</v>
      </c>
      <c r="I91" s="42" t="n">
        <f aca="false">IF(ISBLANK('Raw - Sessions'!U65),"",'Raw - Sessions'!P65)</f>
        <v>14.52</v>
      </c>
      <c r="J91" s="42" t="n">
        <f aca="false">IF(E91="","",E91+F91+G91+'Raw - Sessions'!AA65+'Raw - Sessions'!AB65+'Raw - Sessions'!AC65)</f>
        <v>14.52</v>
      </c>
      <c r="K91" s="42" t="n">
        <f aca="false">IF(E91="","",I91-J91)</f>
        <v>0</v>
      </c>
      <c r="L91" s="70" t="str">
        <f aca="false">IF(E91="","",IF(ABS(K91)&gt;0.02,"MISMATCH","OK"))</f>
        <v>OK</v>
      </c>
      <c r="M91" s="42" t="n">
        <f aca="false">IF(ISBLANK('Raw - Sessions'!U65),"",'Raw - Sessions'!Q65)</f>
        <v>12.43</v>
      </c>
      <c r="N91" s="42" t="n">
        <f aca="false">IF(E91="","",I91-G91-H91-F91)</f>
        <v>12.43</v>
      </c>
      <c r="O91" s="42" t="n">
        <f aca="false">IF(E91="","",M91-N91)</f>
        <v>0</v>
      </c>
      <c r="P91" s="70" t="str">
        <f aca="false">IF(E91="","",IF(ABS(O91)&gt;0.02,"MISMATCH","OK"))</f>
        <v>OK</v>
      </c>
    </row>
    <row r="92" customFormat="false" ht="15" hidden="false" customHeight="false" outlineLevel="0" collapsed="false">
      <c r="A92" s="72" t="n">
        <f aca="false">'Raw - Sessions'!A66</f>
        <v>4684013521</v>
      </c>
      <c r="B92" s="72" t="str">
        <f aca="false">'Raw - Sessions'!K66</f>
        <v>BARBOURVILLE / CITY HALL</v>
      </c>
      <c r="C92" s="73" t="n">
        <f aca="false">IF(ISBLANK('Raw - Sessions'!U66),"",'Raw - Sessions'!T66)</f>
        <v>0.4</v>
      </c>
      <c r="D92" s="39" t="n">
        <f aca="false">'Raw - Sessions'!E66</f>
        <v>3.4989</v>
      </c>
      <c r="E92" s="44" t="n">
        <f aca="false">IF(ISBLANK('Raw - Sessions'!U66),"",'Raw - Sessions'!U66)</f>
        <v>1.71</v>
      </c>
      <c r="F92" s="44" t="n">
        <f aca="false">IF(ISBLANK('Raw - Sessions'!U66),"",'Raw - Sessions'!Z66)</f>
        <v>0.08</v>
      </c>
      <c r="G92" s="44" t="n">
        <f aca="false">IF(ISBLANK('Raw - Sessions'!U66),"",'Raw - Sessions'!AE66)</f>
        <v>0</v>
      </c>
      <c r="H92" s="44" t="n">
        <f aca="false">IF(ISBLANK('Raw - Sessions'!U66),"",'Raw - Sessions'!AD66)</f>
        <v>0.17</v>
      </c>
      <c r="I92" s="44" t="n">
        <f aca="false">IF(ISBLANK('Raw - Sessions'!U66),"",'Raw - Sessions'!P66)</f>
        <v>1.79</v>
      </c>
      <c r="J92" s="44" t="n">
        <f aca="false">IF(E92="","",E92+F92+G92+'Raw - Sessions'!AA66+'Raw - Sessions'!AB66+'Raw - Sessions'!AC66)</f>
        <v>1.79</v>
      </c>
      <c r="K92" s="44" t="n">
        <f aca="false">IF(E92="","",I92-J92)</f>
        <v>0</v>
      </c>
      <c r="L92" s="72" t="str">
        <f aca="false">IF(E92="","",IF(ABS(K92)&gt;0.02,"MISMATCH","OK"))</f>
        <v>OK</v>
      </c>
      <c r="M92" s="44" t="n">
        <f aca="false">IF(ISBLANK('Raw - Sessions'!U66),"",'Raw - Sessions'!Q66)</f>
        <v>1.54</v>
      </c>
      <c r="N92" s="44" t="n">
        <f aca="false">IF(E92="","",I92-G92-H92-F92)</f>
        <v>1.54</v>
      </c>
      <c r="O92" s="44" t="n">
        <f aca="false">IF(E92="","",M92-N92)</f>
        <v>0</v>
      </c>
      <c r="P92" s="72" t="str">
        <f aca="false">IF(E92="","",IF(ABS(O92)&gt;0.02,"MISMATCH","OK"))</f>
        <v>OK</v>
      </c>
    </row>
    <row r="93" customFormat="false" ht="15" hidden="false" customHeight="false" outlineLevel="0" collapsed="false">
      <c r="A93" s="70" t="n">
        <f aca="false">'Raw - Sessions'!A67</f>
        <v>4686616141</v>
      </c>
      <c r="B93" s="70" t="str">
        <f aca="false">'Raw - Sessions'!K67</f>
        <v>BARBOURVILLE / TOURISM</v>
      </c>
      <c r="C93" s="71" t="n">
        <f aca="false">IF(ISBLANK('Raw - Sessions'!U67),"",'Raw - Sessions'!T67)</f>
        <v>0.4</v>
      </c>
      <c r="D93" s="38" t="n">
        <f aca="false">'Raw - Sessions'!E67</f>
        <v>62.976509</v>
      </c>
      <c r="E93" s="42" t="n">
        <f aca="false">IF(ISBLANK('Raw - Sessions'!U67),"",'Raw - Sessions'!U67)</f>
        <v>61.43</v>
      </c>
      <c r="F93" s="42" t="n">
        <f aca="false">IF(ISBLANK('Raw - Sessions'!U67),"",'Raw - Sessions'!Z67)</f>
        <v>1.51</v>
      </c>
      <c r="G93" s="42" t="n">
        <f aca="false">IF(ISBLANK('Raw - Sessions'!U67),"",'Raw - Sessions'!AE67)</f>
        <v>0.99</v>
      </c>
      <c r="H93" s="42" t="n">
        <f aca="false">IF(ISBLANK('Raw - Sessions'!U67),"",'Raw - Sessions'!AD67)</f>
        <v>5.25</v>
      </c>
      <c r="I93" s="42" t="n">
        <f aca="false">IF(ISBLANK('Raw - Sessions'!U67),"",'Raw - Sessions'!P67)</f>
        <v>63.93</v>
      </c>
      <c r="J93" s="42" t="n">
        <f aca="false">IF(E93="","",E93+F93+G93+'Raw - Sessions'!AA67+'Raw - Sessions'!AB67+'Raw - Sessions'!AC67)</f>
        <v>63.93</v>
      </c>
      <c r="K93" s="42" t="n">
        <f aca="false">IF(E93="","",I93-J93)</f>
        <v>0</v>
      </c>
      <c r="L93" s="70" t="str">
        <f aca="false">IF(E93="","",IF(ABS(K93)&gt;0.02,"MISMATCH","OK"))</f>
        <v>OK</v>
      </c>
      <c r="M93" s="42" t="n">
        <f aca="false">IF(ISBLANK('Raw - Sessions'!U67),"",'Raw - Sessions'!Q67)</f>
        <v>56.18</v>
      </c>
      <c r="N93" s="42" t="n">
        <f aca="false">IF(E93="","",I93-G93-H93-F93)</f>
        <v>56.18</v>
      </c>
      <c r="O93" s="42" t="n">
        <f aca="false">IF(E93="","",M93-N93)</f>
        <v>0</v>
      </c>
      <c r="P93" s="70" t="str">
        <f aca="false">IF(E93="","",IF(ABS(O93)&gt;0.02,"MISMATCH","OK"))</f>
        <v>OK</v>
      </c>
    </row>
    <row r="94" customFormat="false" ht="15" hidden="false" customHeight="false" outlineLevel="0" collapsed="false">
      <c r="A94" s="72" t="n">
        <f aca="false">'Raw - Sessions'!A68</f>
        <v>4690212021</v>
      </c>
      <c r="B94" s="72" t="str">
        <f aca="false">'Raw - Sessions'!K68</f>
        <v>BARBOURVILLE / CITY HALL</v>
      </c>
      <c r="C94" s="73" t="n">
        <f aca="false">IF(ISBLANK('Raw - Sessions'!U68),"",'Raw - Sessions'!T68)</f>
        <v>0.4</v>
      </c>
      <c r="D94" s="39" t="n">
        <f aca="false">'Raw - Sessions'!E68</f>
        <v>22.837601</v>
      </c>
      <c r="E94" s="44" t="n">
        <f aca="false">IF(ISBLANK('Raw - Sessions'!U68),"",'Raw - Sessions'!U68)</f>
        <v>11.2</v>
      </c>
      <c r="F94" s="44" t="n">
        <f aca="false">IF(ISBLANK('Raw - Sessions'!U68),"",'Raw - Sessions'!Z68)</f>
        <v>0.55</v>
      </c>
      <c r="G94" s="44" t="n">
        <f aca="false">IF(ISBLANK('Raw - Sessions'!U68),"",'Raw - Sessions'!AE68)</f>
        <v>0</v>
      </c>
      <c r="H94" s="44" t="n">
        <f aca="false">IF(ISBLANK('Raw - Sessions'!U68),"",'Raw - Sessions'!AD68)</f>
        <v>1.12</v>
      </c>
      <c r="I94" s="44" t="n">
        <f aca="false">IF(ISBLANK('Raw - Sessions'!U68),"",'Raw - Sessions'!P68)</f>
        <v>11.75</v>
      </c>
      <c r="J94" s="44" t="n">
        <f aca="false">IF(E94="","",E94+F94+G94+'Raw - Sessions'!AA68+'Raw - Sessions'!AB68+'Raw - Sessions'!AC68)</f>
        <v>11.75</v>
      </c>
      <c r="K94" s="44" t="n">
        <f aca="false">IF(E94="","",I94-J94)</f>
        <v>0</v>
      </c>
      <c r="L94" s="72" t="str">
        <f aca="false">IF(E94="","",IF(ABS(K94)&gt;0.02,"MISMATCH","OK"))</f>
        <v>OK</v>
      </c>
      <c r="M94" s="44" t="n">
        <f aca="false">IF(ISBLANK('Raw - Sessions'!U68),"",'Raw - Sessions'!Q68)</f>
        <v>10.08</v>
      </c>
      <c r="N94" s="44" t="n">
        <f aca="false">IF(E94="","",I94-G94-H94-F94)</f>
        <v>10.08</v>
      </c>
      <c r="O94" s="44" t="n">
        <f aca="false">IF(E94="","",M94-N94)</f>
        <v>0</v>
      </c>
      <c r="P94" s="72" t="str">
        <f aca="false">IF(E94="","",IF(ABS(O94)&gt;0.02,"MISMATCH","OK"))</f>
        <v>OK</v>
      </c>
    </row>
    <row r="95" customFormat="false" ht="15" hidden="false" customHeight="false" outlineLevel="0" collapsed="false">
      <c r="A95" s="70" t="n">
        <f aca="false">'Raw - Sessions'!A69</f>
        <v>4692214171</v>
      </c>
      <c r="B95" s="70" t="str">
        <f aca="false">'Raw - Sessions'!K69</f>
        <v>BARBOURVILLE / CITY HALL</v>
      </c>
      <c r="C95" s="71" t="n">
        <f aca="false">IF(ISBLANK('Raw - Sessions'!U69),"",'Raw - Sessions'!T69)</f>
        <v>0.4</v>
      </c>
      <c r="D95" s="38" t="n">
        <f aca="false">'Raw - Sessions'!E69</f>
        <v>1.366</v>
      </c>
      <c r="E95" s="42" t="n">
        <f aca="false">IF(ISBLANK('Raw - Sessions'!U69),"",'Raw - Sessions'!U69)</f>
        <v>0.8</v>
      </c>
      <c r="F95" s="42" t="n">
        <f aca="false">IF(ISBLANK('Raw - Sessions'!U69),"",'Raw - Sessions'!Z69)</f>
        <v>0.03</v>
      </c>
      <c r="G95" s="42" t="n">
        <f aca="false">IF(ISBLANK('Raw - Sessions'!U69),"",'Raw - Sessions'!AE69)</f>
        <v>0</v>
      </c>
      <c r="H95" s="42" t="n">
        <f aca="false">IF(ISBLANK('Raw - Sessions'!U69),"",'Raw - Sessions'!AD69)</f>
        <v>0.08</v>
      </c>
      <c r="I95" s="42" t="n">
        <f aca="false">IF(ISBLANK('Raw - Sessions'!U69),"",'Raw - Sessions'!P69)</f>
        <v>0.83</v>
      </c>
      <c r="J95" s="42" t="n">
        <f aca="false">IF(E95="","",E95+F95+G95+'Raw - Sessions'!AA69+'Raw - Sessions'!AB69+'Raw - Sessions'!AC69)</f>
        <v>0.83</v>
      </c>
      <c r="K95" s="42" t="n">
        <f aca="false">IF(E95="","",I95-J95)</f>
        <v>0</v>
      </c>
      <c r="L95" s="70" t="str">
        <f aca="false">IF(E95="","",IF(ABS(K95)&gt;0.02,"MISMATCH","OK"))</f>
        <v>OK</v>
      </c>
      <c r="M95" s="42" t="n">
        <f aca="false">IF(ISBLANK('Raw - Sessions'!U69),"",'Raw - Sessions'!Q69)</f>
        <v>0.72</v>
      </c>
      <c r="N95" s="42" t="n">
        <f aca="false">IF(E95="","",I95-G95-H95-F95)</f>
        <v>0.72</v>
      </c>
      <c r="O95" s="42" t="n">
        <f aca="false">IF(E95="","",M95-N95)</f>
        <v>0</v>
      </c>
      <c r="P95" s="70" t="str">
        <f aca="false">IF(E95="","",IF(ABS(O95)&gt;0.02,"MISMATCH","OK"))</f>
        <v>OK</v>
      </c>
    </row>
    <row r="96" customFormat="false" ht="15" hidden="false" customHeight="false" outlineLevel="0" collapsed="false">
      <c r="A96" s="72" t="n">
        <f aca="false">'Raw - Sessions'!A70</f>
        <v>4696438731</v>
      </c>
      <c r="B96" s="72" t="str">
        <f aca="false">'Raw - Sessions'!K70</f>
        <v>BARBOURVILLE / CITY HALL</v>
      </c>
      <c r="C96" s="73" t="n">
        <f aca="false">IF(ISBLANK('Raw - Sessions'!U70),"",'Raw - Sessions'!T70)</f>
        <v>0.4</v>
      </c>
      <c r="D96" s="39" t="n">
        <f aca="false">'Raw - Sessions'!E70</f>
        <v>39.279499</v>
      </c>
      <c r="E96" s="44" t="n">
        <f aca="false">IF(ISBLANK('Raw - Sessions'!U70),"",'Raw - Sessions'!U70)</f>
        <v>19.07</v>
      </c>
      <c r="F96" s="44" t="n">
        <f aca="false">IF(ISBLANK('Raw - Sessions'!U70),"",'Raw - Sessions'!Z70)</f>
        <v>0.94</v>
      </c>
      <c r="G96" s="44" t="n">
        <f aca="false">IF(ISBLANK('Raw - Sessions'!U70),"",'Raw - Sessions'!AE70)</f>
        <v>0</v>
      </c>
      <c r="H96" s="44" t="n">
        <f aca="false">IF(ISBLANK('Raw - Sessions'!U70),"",'Raw - Sessions'!AD70)</f>
        <v>1.91</v>
      </c>
      <c r="I96" s="44" t="n">
        <f aca="false">IF(ISBLANK('Raw - Sessions'!U70),"",'Raw - Sessions'!P70)</f>
        <v>20.01</v>
      </c>
      <c r="J96" s="44" t="n">
        <f aca="false">IF(E96="","",E96+F96+G96+'Raw - Sessions'!AA70+'Raw - Sessions'!AB70+'Raw - Sessions'!AC70)</f>
        <v>20.01</v>
      </c>
      <c r="K96" s="44" t="n">
        <f aca="false">IF(E96="","",I96-J96)</f>
        <v>0</v>
      </c>
      <c r="L96" s="72" t="str">
        <f aca="false">IF(E96="","",IF(ABS(K96)&gt;0.02,"MISMATCH","OK"))</f>
        <v>OK</v>
      </c>
      <c r="M96" s="44" t="n">
        <f aca="false">IF(ISBLANK('Raw - Sessions'!U70),"",'Raw - Sessions'!Q70)</f>
        <v>17.16</v>
      </c>
      <c r="N96" s="44" t="n">
        <f aca="false">IF(E96="","",I96-G96-H96-F96)</f>
        <v>17.16</v>
      </c>
      <c r="O96" s="44" t="n">
        <f aca="false">IF(E96="","",M96-N96)</f>
        <v>0</v>
      </c>
      <c r="P96" s="72" t="str">
        <f aca="false">IF(E96="","",IF(ABS(O96)&gt;0.02,"MISMATCH","OK"))</f>
        <v>OK</v>
      </c>
    </row>
    <row r="97" customFormat="false" ht="15" hidden="false" customHeight="false" outlineLevel="0" collapsed="false">
      <c r="A97" s="70" t="n">
        <f aca="false">'Raw - Sessions'!A71</f>
        <v>4702449141</v>
      </c>
      <c r="B97" s="70" t="str">
        <f aca="false">'Raw - Sessions'!K71</f>
        <v>BARBOURVILLE / CITY HALL</v>
      </c>
      <c r="C97" s="71" t="n">
        <f aca="false">IF(ISBLANK('Raw - Sessions'!U71),"",'Raw - Sessions'!T71)</f>
        <v>0.4</v>
      </c>
      <c r="D97" s="38" t="n">
        <f aca="false">'Raw - Sessions'!E71</f>
        <v>18.4666</v>
      </c>
      <c r="E97" s="42" t="n">
        <f aca="false">IF(ISBLANK('Raw - Sessions'!U71),"",'Raw - Sessions'!U71)</f>
        <v>8.99</v>
      </c>
      <c r="F97" s="42" t="n">
        <f aca="false">IF(ISBLANK('Raw - Sessions'!U71),"",'Raw - Sessions'!Z71)</f>
        <v>0.44</v>
      </c>
      <c r="G97" s="42" t="n">
        <f aca="false">IF(ISBLANK('Raw - Sessions'!U71),"",'Raw - Sessions'!AE71)</f>
        <v>0</v>
      </c>
      <c r="H97" s="42" t="n">
        <f aca="false">IF(ISBLANK('Raw - Sessions'!U71),"",'Raw - Sessions'!AD71)</f>
        <v>0.9</v>
      </c>
      <c r="I97" s="42" t="n">
        <f aca="false">IF(ISBLANK('Raw - Sessions'!U71),"",'Raw - Sessions'!P71)</f>
        <v>9.43</v>
      </c>
      <c r="J97" s="42" t="n">
        <f aca="false">IF(E97="","",E97+F97+G97+'Raw - Sessions'!AA71+'Raw - Sessions'!AB71+'Raw - Sessions'!AC71)</f>
        <v>9.43</v>
      </c>
      <c r="K97" s="42" t="n">
        <f aca="false">IF(E97="","",I97-J97)</f>
        <v>0</v>
      </c>
      <c r="L97" s="70" t="str">
        <f aca="false">IF(E97="","",IF(ABS(K97)&gt;0.02,"MISMATCH","OK"))</f>
        <v>OK</v>
      </c>
      <c r="M97" s="42" t="n">
        <f aca="false">IF(ISBLANK('Raw - Sessions'!U71),"",'Raw - Sessions'!Q71)</f>
        <v>8.09</v>
      </c>
      <c r="N97" s="42" t="n">
        <f aca="false">IF(E97="","",I97-G97-H97-F97)</f>
        <v>8.09</v>
      </c>
      <c r="O97" s="42" t="n">
        <f aca="false">IF(E97="","",M97-N97)</f>
        <v>0</v>
      </c>
      <c r="P97" s="70" t="str">
        <f aca="false">IF(E97="","",IF(ABS(O97)&gt;0.02,"MISMATCH","OK"))</f>
        <v>OK</v>
      </c>
    </row>
    <row r="98" customFormat="false" ht="15" hidden="false" customHeight="false" outlineLevel="0" collapsed="false">
      <c r="A98" s="72" t="n">
        <f aca="false">'Raw - Sessions'!A72</f>
        <v>4707150431</v>
      </c>
      <c r="B98" s="72" t="str">
        <f aca="false">'Raw - Sessions'!K72</f>
        <v>BARBOURVILLE / CITY HALL</v>
      </c>
      <c r="C98" s="73" t="n">
        <f aca="false">IF(ISBLANK('Raw - Sessions'!U72),"",'Raw - Sessions'!T72)</f>
        <v>0.4</v>
      </c>
      <c r="D98" s="39" t="n">
        <f aca="false">'Raw - Sessions'!E72</f>
        <v>34.400398</v>
      </c>
      <c r="E98" s="44" t="n">
        <f aca="false">IF(ISBLANK('Raw - Sessions'!U72),"",'Raw - Sessions'!U72)</f>
        <v>16.31</v>
      </c>
      <c r="F98" s="44" t="n">
        <f aca="false">IF(ISBLANK('Raw - Sessions'!U72),"",'Raw - Sessions'!Z72)</f>
        <v>0.98</v>
      </c>
      <c r="G98" s="44" t="n">
        <f aca="false">IF(ISBLANK('Raw - Sessions'!U72),"",'Raw - Sessions'!AE72)</f>
        <v>0.99</v>
      </c>
      <c r="H98" s="44" t="n">
        <f aca="false">IF(ISBLANK('Raw - Sessions'!U72),"",'Raw - Sessions'!AD72)</f>
        <v>0.64</v>
      </c>
      <c r="I98" s="44" t="n">
        <f aca="false">IF(ISBLANK('Raw - Sessions'!U72),"",'Raw - Sessions'!P72)</f>
        <v>18.28</v>
      </c>
      <c r="J98" s="44" t="n">
        <f aca="false">IF(E98="","",E98+F98+G98+'Raw - Sessions'!AA72+'Raw - Sessions'!AB72+'Raw - Sessions'!AC72)</f>
        <v>18.28</v>
      </c>
      <c r="K98" s="44" t="n">
        <f aca="false">IF(E98="","",I98-J98)</f>
        <v>0</v>
      </c>
      <c r="L98" s="72" t="str">
        <f aca="false">IF(E98="","",IF(ABS(K98)&gt;0.02,"MISMATCH","OK"))</f>
        <v>OK</v>
      </c>
      <c r="M98" s="44" t="n">
        <f aca="false">IF(ISBLANK('Raw - Sessions'!U72),"",'Raw - Sessions'!Q72)</f>
        <v>14.68</v>
      </c>
      <c r="N98" s="44" t="n">
        <f aca="false">IF(E98="","",I98-G98-H98-F98)</f>
        <v>15.67</v>
      </c>
      <c r="O98" s="44" t="n">
        <f aca="false">IF(E98="","",M98-N98)</f>
        <v>-0.990000000000002</v>
      </c>
      <c r="P98" s="72" t="str">
        <f aca="false">IF(E98="","",IF(ABS(O98)&gt;0.02,"MISMATCH","OK"))</f>
        <v>MISMATCH</v>
      </c>
    </row>
    <row r="99" customFormat="false" ht="15" hidden="false" customHeight="false" outlineLevel="0" collapsed="false">
      <c r="A99" s="70" t="n">
        <f aca="false">'Raw - Sessions'!A73</f>
        <v>4708308331</v>
      </c>
      <c r="B99" s="70" t="str">
        <f aca="false">'Raw - Sessions'!K73</f>
        <v>BARBOURVILLE / CITY HALL</v>
      </c>
      <c r="C99" s="71" t="str">
        <f aca="false">IF(ISBLANK('Raw - Sessions'!U73),"",'Raw - Sessions'!T73)</f>
        <v/>
      </c>
      <c r="D99" s="38" t="n">
        <f aca="false">'Raw - Sessions'!E73</f>
        <v>0</v>
      </c>
      <c r="E99" s="42" t="str">
        <f aca="false">IF(ISBLANK('Raw - Sessions'!U73),"",'Raw - Sessions'!U73)</f>
        <v/>
      </c>
      <c r="F99" s="42" t="str">
        <f aca="false">IF(ISBLANK('Raw - Sessions'!U73),"",'Raw - Sessions'!Z73)</f>
        <v/>
      </c>
      <c r="G99" s="42" t="str">
        <f aca="false">IF(ISBLANK('Raw - Sessions'!U73),"",'Raw - Sessions'!AE73)</f>
        <v/>
      </c>
      <c r="H99" s="42" t="str">
        <f aca="false">IF(ISBLANK('Raw - Sessions'!U73),"",'Raw - Sessions'!AD73)</f>
        <v/>
      </c>
      <c r="I99" s="42" t="str">
        <f aca="false">IF(ISBLANK('Raw - Sessions'!U73),"",'Raw - Sessions'!P73)</f>
        <v/>
      </c>
      <c r="J99" s="42" t="str">
        <f aca="false">IF(E99="","",E99+F99+G99+'Raw - Sessions'!AA73+'Raw - Sessions'!AB73+'Raw - Sessions'!AC73)</f>
        <v/>
      </c>
      <c r="K99" s="42" t="str">
        <f aca="false">IF(E99="","",I99-J99)</f>
        <v/>
      </c>
      <c r="L99" s="70" t="str">
        <f aca="false">IF(E99="","",IF(ABS(K99)&gt;0.02,"MISMATCH","OK"))</f>
        <v/>
      </c>
      <c r="M99" s="42" t="str">
        <f aca="false">IF(ISBLANK('Raw - Sessions'!U73),"",'Raw - Sessions'!Q73)</f>
        <v/>
      </c>
      <c r="N99" s="42" t="str">
        <f aca="false">IF(E99="","",I99-G99-H99-F99)</f>
        <v/>
      </c>
      <c r="O99" s="42" t="str">
        <f aca="false">IF(E99="","",M99-N99)</f>
        <v/>
      </c>
      <c r="P99" s="70" t="str">
        <f aca="false">IF(E99="","",IF(ABS(O99)&gt;0.02,"MISMATCH","OK"))</f>
        <v/>
      </c>
    </row>
    <row r="100" customFormat="false" ht="15" hidden="false" customHeight="false" outlineLevel="0" collapsed="false">
      <c r="A100" s="72" t="n">
        <f aca="false">'Raw - Sessions'!A74</f>
        <v>4708324491</v>
      </c>
      <c r="B100" s="72" t="str">
        <f aca="false">'Raw - Sessions'!K74</f>
        <v>BARBOURVILLE / TOURISM</v>
      </c>
      <c r="C100" s="73" t="n">
        <f aca="false">IF(ISBLANK('Raw - Sessions'!U74),"",'Raw - Sessions'!T74)</f>
        <v>0.4</v>
      </c>
      <c r="D100" s="39" t="n">
        <f aca="false">'Raw - Sessions'!E74</f>
        <v>9.172431</v>
      </c>
      <c r="E100" s="44" t="n">
        <f aca="false">IF(ISBLANK('Raw - Sessions'!U74),"",'Raw - Sessions'!U74)</f>
        <v>8.75</v>
      </c>
      <c r="F100" s="44" t="n">
        <f aca="false">IF(ISBLANK('Raw - Sessions'!U74),"",'Raw - Sessions'!Z74)</f>
        <v>0.22</v>
      </c>
      <c r="G100" s="44" t="n">
        <f aca="false">IF(ISBLANK('Raw - Sessions'!U74),"",'Raw - Sessions'!AE74)</f>
        <v>0</v>
      </c>
      <c r="H100" s="44" t="n">
        <f aca="false">IF(ISBLANK('Raw - Sessions'!U74),"",'Raw - Sessions'!AD74)</f>
        <v>0.87</v>
      </c>
      <c r="I100" s="44" t="n">
        <f aca="false">IF(ISBLANK('Raw - Sessions'!U74),"",'Raw - Sessions'!P74)</f>
        <v>8.97</v>
      </c>
      <c r="J100" s="44" t="n">
        <f aca="false">IF(E100="","",E100+F100+G100+'Raw - Sessions'!AA74+'Raw - Sessions'!AB74+'Raw - Sessions'!AC74)</f>
        <v>8.97</v>
      </c>
      <c r="K100" s="44" t="n">
        <f aca="false">IF(E100="","",I100-J100)</f>
        <v>0</v>
      </c>
      <c r="L100" s="72" t="str">
        <f aca="false">IF(E100="","",IF(ABS(K100)&gt;0.02,"MISMATCH","OK"))</f>
        <v>OK</v>
      </c>
      <c r="M100" s="44" t="n">
        <f aca="false">IF(ISBLANK('Raw - Sessions'!U74),"",'Raw - Sessions'!Q74)</f>
        <v>7.88</v>
      </c>
      <c r="N100" s="44" t="n">
        <f aca="false">IF(E100="","",I100-G100-H100-F100)</f>
        <v>7.88</v>
      </c>
      <c r="O100" s="44" t="n">
        <f aca="false">IF(E100="","",M100-N100)</f>
        <v>0</v>
      </c>
      <c r="P100" s="72" t="str">
        <f aca="false">IF(E100="","",IF(ABS(O100)&gt;0.02,"MISMATCH","OK"))</f>
        <v>OK</v>
      </c>
    </row>
    <row r="101" customFormat="false" ht="15" hidden="false" customHeight="false" outlineLevel="0" collapsed="false">
      <c r="A101" s="70" t="n">
        <f aca="false">'Raw - Sessions'!A75</f>
        <v>4709720391</v>
      </c>
      <c r="B101" s="70" t="str">
        <f aca="false">'Raw - Sessions'!K75</f>
        <v>BARBOURVILLE / CITY HALL</v>
      </c>
      <c r="C101" s="71" t="str">
        <f aca="false">IF(ISBLANK('Raw - Sessions'!U75),"",'Raw - Sessions'!T75)</f>
        <v/>
      </c>
      <c r="D101" s="38" t="n">
        <f aca="false">'Raw - Sessions'!E75</f>
        <v>0.0054</v>
      </c>
      <c r="E101" s="42" t="str">
        <f aca="false">IF(ISBLANK('Raw - Sessions'!U75),"",'Raw - Sessions'!U75)</f>
        <v/>
      </c>
      <c r="F101" s="42" t="str">
        <f aca="false">IF(ISBLANK('Raw - Sessions'!U75),"",'Raw - Sessions'!Z75)</f>
        <v/>
      </c>
      <c r="G101" s="42" t="str">
        <f aca="false">IF(ISBLANK('Raw - Sessions'!U75),"",'Raw - Sessions'!AE75)</f>
        <v/>
      </c>
      <c r="H101" s="42" t="str">
        <f aca="false">IF(ISBLANK('Raw - Sessions'!U75),"",'Raw - Sessions'!AD75)</f>
        <v/>
      </c>
      <c r="I101" s="42" t="str">
        <f aca="false">IF(ISBLANK('Raw - Sessions'!U75),"",'Raw - Sessions'!P75)</f>
        <v/>
      </c>
      <c r="J101" s="42" t="str">
        <f aca="false">IF(E101="","",E101+F101+G101+'Raw - Sessions'!AA75+'Raw - Sessions'!AB75+'Raw - Sessions'!AC75)</f>
        <v/>
      </c>
      <c r="K101" s="42" t="str">
        <f aca="false">IF(E101="","",I101-J101)</f>
        <v/>
      </c>
      <c r="L101" s="70" t="str">
        <f aca="false">IF(E101="","",IF(ABS(K101)&gt;0.02,"MISMATCH","OK"))</f>
        <v/>
      </c>
      <c r="M101" s="42" t="str">
        <f aca="false">IF(ISBLANK('Raw - Sessions'!U75),"",'Raw - Sessions'!Q75)</f>
        <v/>
      </c>
      <c r="N101" s="42" t="str">
        <f aca="false">IF(E101="","",I101-G101-H101-F101)</f>
        <v/>
      </c>
      <c r="O101" s="42" t="str">
        <f aca="false">IF(E101="","",M101-N101)</f>
        <v/>
      </c>
      <c r="P101" s="70" t="str">
        <f aca="false">IF(E101="","",IF(ABS(O101)&gt;0.02,"MISMATCH","OK"))</f>
        <v/>
      </c>
    </row>
    <row r="102" customFormat="false" ht="15" hidden="false" customHeight="false" outlineLevel="0" collapsed="false">
      <c r="A102" s="72" t="n">
        <f aca="false">'Raw - Sessions'!A76</f>
        <v>4709723941</v>
      </c>
      <c r="B102" s="72" t="str">
        <f aca="false">'Raw - Sessions'!K76</f>
        <v>BARBOURVILLE / CITY HALL</v>
      </c>
      <c r="C102" s="73" t="n">
        <f aca="false">IF(ISBLANK('Raw - Sessions'!U76),"",'Raw - Sessions'!T76)</f>
        <v>0.4</v>
      </c>
      <c r="D102" s="39" t="n">
        <f aca="false">'Raw - Sessions'!E76</f>
        <v>43.850101</v>
      </c>
      <c r="E102" s="44" t="n">
        <f aca="false">IF(ISBLANK('Raw - Sessions'!U76),"",'Raw - Sessions'!U76)</f>
        <v>20.43</v>
      </c>
      <c r="F102" s="44" t="n">
        <f aca="false">IF(ISBLANK('Raw - Sessions'!U76),"",'Raw - Sessions'!Z76)</f>
        <v>1.05</v>
      </c>
      <c r="G102" s="44" t="n">
        <f aca="false">IF(ISBLANK('Raw - Sessions'!U76),"",'Raw - Sessions'!AE76)</f>
        <v>0</v>
      </c>
      <c r="H102" s="44" t="n">
        <f aca="false">IF(ISBLANK('Raw - Sessions'!U76),"",'Raw - Sessions'!AD76)</f>
        <v>2.04</v>
      </c>
      <c r="I102" s="44" t="n">
        <f aca="false">IF(ISBLANK('Raw - Sessions'!U76),"",'Raw - Sessions'!P76)</f>
        <v>21.48</v>
      </c>
      <c r="J102" s="44" t="n">
        <f aca="false">IF(E102="","",E102+F102+G102+'Raw - Sessions'!AA76+'Raw - Sessions'!AB76+'Raw - Sessions'!AC76)</f>
        <v>21.48</v>
      </c>
      <c r="K102" s="44" t="n">
        <f aca="false">IF(E102="","",I102-J102)</f>
        <v>0</v>
      </c>
      <c r="L102" s="72" t="str">
        <f aca="false">IF(E102="","",IF(ABS(K102)&gt;0.02,"MISMATCH","OK"))</f>
        <v>OK</v>
      </c>
      <c r="M102" s="44" t="n">
        <f aca="false">IF(ISBLANK('Raw - Sessions'!U76),"",'Raw - Sessions'!Q76)</f>
        <v>18.39</v>
      </c>
      <c r="N102" s="44" t="n">
        <f aca="false">IF(E102="","",I102-G102-H102-F102)</f>
        <v>18.39</v>
      </c>
      <c r="O102" s="44" t="n">
        <f aca="false">IF(E102="","",M102-N102)</f>
        <v>0</v>
      </c>
      <c r="P102" s="72" t="str">
        <f aca="false">IF(E102="","",IF(ABS(O102)&gt;0.02,"MISMATCH","OK"))</f>
        <v>OK</v>
      </c>
    </row>
    <row r="103" customFormat="false" ht="15" hidden="false" customHeight="false" outlineLevel="0" collapsed="false">
      <c r="A103" s="70" t="n">
        <f aca="false">'Raw - Sessions'!A77</f>
        <v>4710063501</v>
      </c>
      <c r="B103" s="70" t="str">
        <f aca="false">'Raw - Sessions'!K77</f>
        <v>BARBOURVILLE / TOURISM</v>
      </c>
      <c r="C103" s="71" t="n">
        <f aca="false">IF(ISBLANK('Raw - Sessions'!U77),"",'Raw - Sessions'!T77)</f>
        <v>0.4</v>
      </c>
      <c r="D103" s="38" t="n">
        <f aca="false">'Raw - Sessions'!E77</f>
        <v>4.446568</v>
      </c>
      <c r="E103" s="42" t="n">
        <f aca="false">IF(ISBLANK('Raw - Sessions'!U77),"",'Raw - Sessions'!U77)</f>
        <v>4.46</v>
      </c>
      <c r="F103" s="42" t="n">
        <f aca="false">IF(ISBLANK('Raw - Sessions'!U77),"",'Raw - Sessions'!Z77)</f>
        <v>0.11</v>
      </c>
      <c r="G103" s="42" t="n">
        <f aca="false">IF(ISBLANK('Raw - Sessions'!U77),"",'Raw - Sessions'!AE77)</f>
        <v>0</v>
      </c>
      <c r="H103" s="42" t="n">
        <f aca="false">IF(ISBLANK('Raw - Sessions'!U77),"",'Raw - Sessions'!AD77)</f>
        <v>0.45</v>
      </c>
      <c r="I103" s="42" t="n">
        <f aca="false">IF(ISBLANK('Raw - Sessions'!U77),"",'Raw - Sessions'!P77)</f>
        <v>4.57</v>
      </c>
      <c r="J103" s="42" t="n">
        <f aca="false">IF(E103="","",E103+F103+G103+'Raw - Sessions'!AA77+'Raw - Sessions'!AB77+'Raw - Sessions'!AC77)</f>
        <v>4.57</v>
      </c>
      <c r="K103" s="42" t="n">
        <f aca="false">IF(E103="","",I103-J103)</f>
        <v>0</v>
      </c>
      <c r="L103" s="70" t="str">
        <f aca="false">IF(E103="","",IF(ABS(K103)&gt;0.02,"MISMATCH","OK"))</f>
        <v>OK</v>
      </c>
      <c r="M103" s="42" t="n">
        <f aca="false">IF(ISBLANK('Raw - Sessions'!U77),"",'Raw - Sessions'!Q77)</f>
        <v>4.01</v>
      </c>
      <c r="N103" s="42" t="n">
        <f aca="false">IF(E103="","",I103-G103-H103-F103)</f>
        <v>4.01</v>
      </c>
      <c r="O103" s="42" t="n">
        <f aca="false">IF(E103="","",M103-N103)</f>
        <v>0</v>
      </c>
      <c r="P103" s="70" t="str">
        <f aca="false">IF(E103="","",IF(ABS(O103)&gt;0.02,"MISMATCH","OK"))</f>
        <v>OK</v>
      </c>
    </row>
    <row r="104" customFormat="false" ht="15" hidden="false" customHeight="false" outlineLevel="0" collapsed="false">
      <c r="A104" s="72" t="n">
        <f aca="false">'Raw - Sessions'!A78</f>
        <v>4710216931</v>
      </c>
      <c r="B104" s="72" t="str">
        <f aca="false">'Raw - Sessions'!K78</f>
        <v>BARBOURVILLE / TOURISM</v>
      </c>
      <c r="C104" s="73" t="n">
        <f aca="false">IF(ISBLANK('Raw - Sessions'!U78),"",'Raw - Sessions'!T78)</f>
        <v>0.4</v>
      </c>
      <c r="D104" s="39" t="n">
        <f aca="false">'Raw - Sessions'!E78</f>
        <v>43.365398</v>
      </c>
      <c r="E104" s="44" t="n">
        <f aca="false">IF(ISBLANK('Raw - Sessions'!U78),"",'Raw - Sessions'!U78)</f>
        <v>42.06</v>
      </c>
      <c r="F104" s="44" t="n">
        <f aca="false">IF(ISBLANK('Raw - Sessions'!U78),"",'Raw - Sessions'!Z78)</f>
        <v>1.04</v>
      </c>
      <c r="G104" s="44" t="n">
        <f aca="false">IF(ISBLANK('Raw - Sessions'!U78),"",'Raw - Sessions'!AE78)</f>
        <v>0</v>
      </c>
      <c r="H104" s="44" t="n">
        <f aca="false">IF(ISBLANK('Raw - Sessions'!U78),"",'Raw - Sessions'!AD78)</f>
        <v>4.21</v>
      </c>
      <c r="I104" s="44" t="n">
        <f aca="false">IF(ISBLANK('Raw - Sessions'!U78),"",'Raw - Sessions'!P78)</f>
        <v>43.1</v>
      </c>
      <c r="J104" s="44" t="n">
        <f aca="false">IF(E104="","",E104+F104+G104+'Raw - Sessions'!AA78+'Raw - Sessions'!AB78+'Raw - Sessions'!AC78)</f>
        <v>43.1</v>
      </c>
      <c r="K104" s="44" t="n">
        <f aca="false">IF(E104="","",I104-J104)</f>
        <v>0</v>
      </c>
      <c r="L104" s="72" t="str">
        <f aca="false">IF(E104="","",IF(ABS(K104)&gt;0.02,"MISMATCH","OK"))</f>
        <v>OK</v>
      </c>
      <c r="M104" s="44" t="n">
        <f aca="false">IF(ISBLANK('Raw - Sessions'!U78),"",'Raw - Sessions'!Q78)</f>
        <v>37.85</v>
      </c>
      <c r="N104" s="44" t="n">
        <f aca="false">IF(E104="","",I104-G104-H104-F104)</f>
        <v>37.85</v>
      </c>
      <c r="O104" s="44" t="n">
        <f aca="false">IF(E104="","",M104-N104)</f>
        <v>0</v>
      </c>
      <c r="P104" s="72" t="str">
        <f aca="false">IF(E104="","",IF(ABS(O104)&gt;0.02,"MISMATCH","OK"))</f>
        <v>OK</v>
      </c>
    </row>
    <row r="105" customFormat="false" ht="15" hidden="false" customHeight="false" outlineLevel="0" collapsed="false">
      <c r="A105" s="70" t="n">
        <f aca="false">'Raw - Sessions'!A79</f>
        <v>4710729371</v>
      </c>
      <c r="B105" s="70" t="str">
        <f aca="false">'Raw - Sessions'!K79</f>
        <v>BARBOURVILLE / CITY HALL</v>
      </c>
      <c r="C105" s="71" t="n">
        <f aca="false">IF(ISBLANK('Raw - Sessions'!U79),"",'Raw - Sessions'!T79)</f>
        <v>0.4</v>
      </c>
      <c r="D105" s="38" t="n">
        <f aca="false">'Raw - Sessions'!E79</f>
        <v>31.301399</v>
      </c>
      <c r="E105" s="42" t="n">
        <f aca="false">IF(ISBLANK('Raw - Sessions'!U79),"",'Raw - Sessions'!U79)</f>
        <v>14.79</v>
      </c>
      <c r="F105" s="42" t="n">
        <f aca="false">IF(ISBLANK('Raw - Sessions'!U79),"",'Raw - Sessions'!Z79)</f>
        <v>0.75</v>
      </c>
      <c r="G105" s="42" t="n">
        <f aca="false">IF(ISBLANK('Raw - Sessions'!U79),"",'Raw - Sessions'!AE79)</f>
        <v>0</v>
      </c>
      <c r="H105" s="42" t="n">
        <f aca="false">IF(ISBLANK('Raw - Sessions'!U79),"",'Raw - Sessions'!AD79)</f>
        <v>1.48</v>
      </c>
      <c r="I105" s="42" t="n">
        <f aca="false">IF(ISBLANK('Raw - Sessions'!U79),"",'Raw - Sessions'!P79)</f>
        <v>15.54</v>
      </c>
      <c r="J105" s="42" t="n">
        <f aca="false">IF(E105="","",E105+F105+G105+'Raw - Sessions'!AA79+'Raw - Sessions'!AB79+'Raw - Sessions'!AC79)</f>
        <v>15.54</v>
      </c>
      <c r="K105" s="42" t="n">
        <f aca="false">IF(E105="","",I105-J105)</f>
        <v>0</v>
      </c>
      <c r="L105" s="70" t="str">
        <f aca="false">IF(E105="","",IF(ABS(K105)&gt;0.02,"MISMATCH","OK"))</f>
        <v>OK</v>
      </c>
      <c r="M105" s="42" t="n">
        <f aca="false">IF(ISBLANK('Raw - Sessions'!U79),"",'Raw - Sessions'!Q79)</f>
        <v>13.31</v>
      </c>
      <c r="N105" s="42" t="n">
        <f aca="false">IF(E105="","",I105-G105-H105-F105)</f>
        <v>13.31</v>
      </c>
      <c r="O105" s="42" t="n">
        <f aca="false">IF(E105="","",M105-N105)</f>
        <v>0</v>
      </c>
      <c r="P105" s="70" t="str">
        <f aca="false">IF(E105="","",IF(ABS(O105)&gt;0.02,"MISMATCH","OK"))</f>
        <v>OK</v>
      </c>
    </row>
    <row r="106" customFormat="false" ht="15" hidden="false" customHeight="false" outlineLevel="0" collapsed="false">
      <c r="A106" s="72" t="n">
        <f aca="false">'Raw - Sessions'!A80</f>
        <v>4711406781</v>
      </c>
      <c r="B106" s="72" t="str">
        <f aca="false">'Raw - Sessions'!K80</f>
        <v>BARBOURVILLE / CITY HALL</v>
      </c>
      <c r="C106" s="73" t="str">
        <f aca="false">IF(ISBLANK('Raw - Sessions'!U80),"",'Raw - Sessions'!T80)</f>
        <v/>
      </c>
      <c r="D106" s="39" t="n">
        <f aca="false">'Raw - Sessions'!E80</f>
        <v>0</v>
      </c>
      <c r="E106" s="44" t="str">
        <f aca="false">IF(ISBLANK('Raw - Sessions'!U80),"",'Raw - Sessions'!U80)</f>
        <v/>
      </c>
      <c r="F106" s="44" t="str">
        <f aca="false">IF(ISBLANK('Raw - Sessions'!U80),"",'Raw - Sessions'!Z80)</f>
        <v/>
      </c>
      <c r="G106" s="44" t="str">
        <f aca="false">IF(ISBLANK('Raw - Sessions'!U80),"",'Raw - Sessions'!AE80)</f>
        <v/>
      </c>
      <c r="H106" s="44" t="str">
        <f aca="false">IF(ISBLANK('Raw - Sessions'!U80),"",'Raw - Sessions'!AD80)</f>
        <v/>
      </c>
      <c r="I106" s="44" t="str">
        <f aca="false">IF(ISBLANK('Raw - Sessions'!U80),"",'Raw - Sessions'!P80)</f>
        <v/>
      </c>
      <c r="J106" s="44" t="str">
        <f aca="false">IF(E106="","",E106+F106+G106+'Raw - Sessions'!AA80+'Raw - Sessions'!AB80+'Raw - Sessions'!AC80)</f>
        <v/>
      </c>
      <c r="K106" s="44" t="str">
        <f aca="false">IF(E106="","",I106-J106)</f>
        <v/>
      </c>
      <c r="L106" s="72" t="str">
        <f aca="false">IF(E106="","",IF(ABS(K106)&gt;0.02,"MISMATCH","OK"))</f>
        <v/>
      </c>
      <c r="M106" s="44" t="str">
        <f aca="false">IF(ISBLANK('Raw - Sessions'!U80),"",'Raw - Sessions'!Q80)</f>
        <v/>
      </c>
      <c r="N106" s="44" t="str">
        <f aca="false">IF(E106="","",I106-G106-H106-F106)</f>
        <v/>
      </c>
      <c r="O106" s="44" t="str">
        <f aca="false">IF(E106="","",M106-N106)</f>
        <v/>
      </c>
      <c r="P106" s="72" t="str">
        <f aca="false">IF(E106="","",IF(ABS(O106)&gt;0.02,"MISMATCH","OK"))</f>
        <v/>
      </c>
    </row>
    <row r="107" customFormat="false" ht="15" hidden="false" customHeight="false" outlineLevel="0" collapsed="false">
      <c r="A107" s="70" t="n">
        <f aca="false">'Raw - Sessions'!A81</f>
        <v>4711421421</v>
      </c>
      <c r="B107" s="70" t="str">
        <f aca="false">'Raw - Sessions'!K81</f>
        <v>BARBOURVILLE / CITY HALL</v>
      </c>
      <c r="C107" s="71" t="n">
        <f aca="false">IF(ISBLANK('Raw - Sessions'!U81),"",'Raw - Sessions'!T81)</f>
        <v>0.4</v>
      </c>
      <c r="D107" s="38" t="n">
        <f aca="false">'Raw - Sessions'!E81</f>
        <v>45.4538</v>
      </c>
      <c r="E107" s="42" t="n">
        <f aca="false">IF(ISBLANK('Raw - Sessions'!U81),"",'Raw - Sessions'!U81)</f>
        <v>25.57</v>
      </c>
      <c r="F107" s="42" t="n">
        <f aca="false">IF(ISBLANK('Raw - Sessions'!U81),"",'Raw - Sessions'!Z81)</f>
        <v>1.09</v>
      </c>
      <c r="G107" s="42" t="n">
        <f aca="false">IF(ISBLANK('Raw - Sessions'!U81),"",'Raw - Sessions'!AE81)</f>
        <v>0</v>
      </c>
      <c r="H107" s="42" t="n">
        <f aca="false">IF(ISBLANK('Raw - Sessions'!U81),"",'Raw - Sessions'!AD81)</f>
        <v>2.56</v>
      </c>
      <c r="I107" s="42" t="n">
        <f aca="false">IF(ISBLANK('Raw - Sessions'!U81),"",'Raw - Sessions'!P81)</f>
        <v>26.66</v>
      </c>
      <c r="J107" s="42" t="n">
        <f aca="false">IF(E107="","",E107+F107+G107+'Raw - Sessions'!AA81+'Raw - Sessions'!AB81+'Raw - Sessions'!AC81)</f>
        <v>26.66</v>
      </c>
      <c r="K107" s="42" t="n">
        <f aca="false">IF(E107="","",I107-J107)</f>
        <v>0</v>
      </c>
      <c r="L107" s="70" t="str">
        <f aca="false">IF(E107="","",IF(ABS(K107)&gt;0.02,"MISMATCH","OK"))</f>
        <v>OK</v>
      </c>
      <c r="M107" s="42" t="n">
        <f aca="false">IF(ISBLANK('Raw - Sessions'!U81),"",'Raw - Sessions'!Q81)</f>
        <v>23.01</v>
      </c>
      <c r="N107" s="42" t="n">
        <f aca="false">IF(E107="","",I107-G107-H107-F107)</f>
        <v>23.01</v>
      </c>
      <c r="O107" s="42" t="n">
        <f aca="false">IF(E107="","",M107-N107)</f>
        <v>0</v>
      </c>
      <c r="P107" s="70" t="str">
        <f aca="false">IF(E107="","",IF(ABS(O107)&gt;0.02,"MISMATCH","OK"))</f>
        <v>OK</v>
      </c>
    </row>
    <row r="108" customFormat="false" ht="15" hidden="false" customHeight="false" outlineLevel="0" collapsed="false">
      <c r="A108" s="72" t="n">
        <f aca="false">'Raw - Sessions'!A82</f>
        <v>4712182861</v>
      </c>
      <c r="B108" s="72" t="str">
        <f aca="false">'Raw - Sessions'!K82</f>
        <v>BARBOURVILLE / TOURISM</v>
      </c>
      <c r="C108" s="73" t="str">
        <f aca="false">IF(ISBLANK('Raw - Sessions'!U82),"",'Raw - Sessions'!T82)</f>
        <v/>
      </c>
      <c r="D108" s="39" t="n">
        <f aca="false">'Raw - Sessions'!E82</f>
        <v>0</v>
      </c>
      <c r="E108" s="44" t="str">
        <f aca="false">IF(ISBLANK('Raw - Sessions'!U82),"",'Raw - Sessions'!U82)</f>
        <v/>
      </c>
      <c r="F108" s="44" t="str">
        <f aca="false">IF(ISBLANK('Raw - Sessions'!U82),"",'Raw - Sessions'!Z82)</f>
        <v/>
      </c>
      <c r="G108" s="44" t="str">
        <f aca="false">IF(ISBLANK('Raw - Sessions'!U82),"",'Raw - Sessions'!AE82)</f>
        <v/>
      </c>
      <c r="H108" s="44" t="str">
        <f aca="false">IF(ISBLANK('Raw - Sessions'!U82),"",'Raw - Sessions'!AD82)</f>
        <v/>
      </c>
      <c r="I108" s="44" t="str">
        <f aca="false">IF(ISBLANK('Raw - Sessions'!U82),"",'Raw - Sessions'!P82)</f>
        <v/>
      </c>
      <c r="J108" s="44" t="str">
        <f aca="false">IF(E108="","",E108+F108+G108+'Raw - Sessions'!AA82+'Raw - Sessions'!AB82+'Raw - Sessions'!AC82)</f>
        <v/>
      </c>
      <c r="K108" s="44" t="str">
        <f aca="false">IF(E108="","",I108-J108)</f>
        <v/>
      </c>
      <c r="L108" s="72" t="str">
        <f aca="false">IF(E108="","",IF(ABS(K108)&gt;0.02,"MISMATCH","OK"))</f>
        <v/>
      </c>
      <c r="M108" s="44" t="str">
        <f aca="false">IF(ISBLANK('Raw - Sessions'!U82),"",'Raw - Sessions'!Q82)</f>
        <v/>
      </c>
      <c r="N108" s="44" t="str">
        <f aca="false">IF(E108="","",I108-G108-H108-F108)</f>
        <v/>
      </c>
      <c r="O108" s="44" t="str">
        <f aca="false">IF(E108="","",M108-N108)</f>
        <v/>
      </c>
      <c r="P108" s="72" t="str">
        <f aca="false">IF(E108="","",IF(ABS(O108)&gt;0.02,"MISMATCH","OK"))</f>
        <v/>
      </c>
    </row>
    <row r="109" customFormat="false" ht="15" hidden="false" customHeight="false" outlineLevel="0" collapsed="false">
      <c r="A109" s="70" t="n">
        <f aca="false">'Raw - Sessions'!A83</f>
        <v>4712260231</v>
      </c>
      <c r="B109" s="70" t="str">
        <f aca="false">'Raw - Sessions'!K83</f>
        <v>BARBOURVILLE / CITY HALL</v>
      </c>
      <c r="C109" s="71" t="n">
        <f aca="false">IF(ISBLANK('Raw - Sessions'!U83),"",'Raw - Sessions'!T83)</f>
        <v>0.4</v>
      </c>
      <c r="D109" s="38" t="n">
        <f aca="false">'Raw - Sessions'!E83</f>
        <v>48.287498</v>
      </c>
      <c r="E109" s="42" t="n">
        <f aca="false">IF(ISBLANK('Raw - Sessions'!U83),"",'Raw - Sessions'!U83)</f>
        <v>23.02</v>
      </c>
      <c r="F109" s="42" t="n">
        <f aca="false">IF(ISBLANK('Raw - Sessions'!U83),"",'Raw - Sessions'!Z83)</f>
        <v>1.16</v>
      </c>
      <c r="G109" s="42" t="n">
        <f aca="false">IF(ISBLANK('Raw - Sessions'!U83),"",'Raw - Sessions'!AE83)</f>
        <v>0</v>
      </c>
      <c r="H109" s="42" t="n">
        <f aca="false">IF(ISBLANK('Raw - Sessions'!U83),"",'Raw - Sessions'!AD83)</f>
        <v>2.3</v>
      </c>
      <c r="I109" s="42" t="n">
        <f aca="false">IF(ISBLANK('Raw - Sessions'!U83),"",'Raw - Sessions'!P83)</f>
        <v>24.18</v>
      </c>
      <c r="J109" s="42" t="n">
        <f aca="false">IF(E109="","",E109+F109+G109+'Raw - Sessions'!AA83+'Raw - Sessions'!AB83+'Raw - Sessions'!AC83)</f>
        <v>24.18</v>
      </c>
      <c r="K109" s="42" t="n">
        <f aca="false">IF(E109="","",I109-J109)</f>
        <v>0</v>
      </c>
      <c r="L109" s="70" t="str">
        <f aca="false">IF(E109="","",IF(ABS(K109)&gt;0.02,"MISMATCH","OK"))</f>
        <v>OK</v>
      </c>
      <c r="M109" s="42" t="n">
        <f aca="false">IF(ISBLANK('Raw - Sessions'!U83),"",'Raw - Sessions'!Q83)</f>
        <v>20.72</v>
      </c>
      <c r="N109" s="42" t="n">
        <f aca="false">IF(E109="","",I109-G109-H109-F109)</f>
        <v>20.72</v>
      </c>
      <c r="O109" s="42" t="n">
        <f aca="false">IF(E109="","",M109-N109)</f>
        <v>0</v>
      </c>
      <c r="P109" s="70" t="str">
        <f aca="false">IF(E109="","",IF(ABS(O109)&gt;0.02,"MISMATCH","OK"))</f>
        <v>OK</v>
      </c>
    </row>
    <row r="110" customFormat="false" ht="15" hidden="false" customHeight="false" outlineLevel="0" collapsed="false">
      <c r="A110" s="72" t="n">
        <f aca="false">'Raw - Sessions'!A84</f>
        <v>4712308231</v>
      </c>
      <c r="B110" s="72" t="str">
        <f aca="false">'Raw - Sessions'!K84</f>
        <v>BARBOURVILLE / TOURISM</v>
      </c>
      <c r="C110" s="73" t="n">
        <f aca="false">IF(ISBLANK('Raw - Sessions'!U84),"",'Raw - Sessions'!T84)</f>
        <v>0.4</v>
      </c>
      <c r="D110" s="39" t="n">
        <f aca="false">'Raw - Sessions'!E84</f>
        <v>31.527758</v>
      </c>
      <c r="E110" s="44" t="n">
        <f aca="false">IF(ISBLANK('Raw - Sessions'!U84),"",'Raw - Sessions'!U84)</f>
        <v>30.5</v>
      </c>
      <c r="F110" s="44" t="n">
        <f aca="false">IF(ISBLANK('Raw - Sessions'!U84),"",'Raw - Sessions'!Z84)</f>
        <v>0.76</v>
      </c>
      <c r="G110" s="44" t="n">
        <f aca="false">IF(ISBLANK('Raw - Sessions'!U84),"",'Raw - Sessions'!AE84)</f>
        <v>0.99</v>
      </c>
      <c r="H110" s="44" t="n">
        <f aca="false">IF(ISBLANK('Raw - Sessions'!U84),"",'Raw - Sessions'!AD84)</f>
        <v>2.16</v>
      </c>
      <c r="I110" s="44" t="n">
        <f aca="false">IF(ISBLANK('Raw - Sessions'!U84),"",'Raw - Sessions'!P84)</f>
        <v>32.25</v>
      </c>
      <c r="J110" s="44" t="n">
        <f aca="false">IF(E110="","",E110+F110+G110+'Raw - Sessions'!AA84+'Raw - Sessions'!AB84+'Raw - Sessions'!AC84)</f>
        <v>32.25</v>
      </c>
      <c r="K110" s="44" t="n">
        <f aca="false">IF(E110="","",I110-J110)</f>
        <v>0</v>
      </c>
      <c r="L110" s="72" t="str">
        <f aca="false">IF(E110="","",IF(ABS(K110)&gt;0.02,"MISMATCH","OK"))</f>
        <v>OK</v>
      </c>
      <c r="M110" s="44" t="n">
        <f aca="false">IF(ISBLANK('Raw - Sessions'!U84),"",'Raw - Sessions'!Q84)</f>
        <v>28.34</v>
      </c>
      <c r="N110" s="44" t="n">
        <f aca="false">IF(E110="","",I110-G110-H110-F110)</f>
        <v>28.34</v>
      </c>
      <c r="O110" s="44" t="n">
        <f aca="false">IF(E110="","",M110-N110)</f>
        <v>0</v>
      </c>
      <c r="P110" s="72" t="str">
        <f aca="false">IF(E110="","",IF(ABS(O110)&gt;0.02,"MISMATCH","OK"))</f>
        <v>OK</v>
      </c>
    </row>
    <row r="111" customFormat="false" ht="15" hidden="false" customHeight="false" outlineLevel="0" collapsed="false">
      <c r="A111" s="70" t="n">
        <f aca="false">'Raw - Sessions'!A85</f>
        <v>4715306981</v>
      </c>
      <c r="B111" s="70" t="str">
        <f aca="false">'Raw - Sessions'!K85</f>
        <v>BARBOURVILLE / CITY HALL</v>
      </c>
      <c r="C111" s="71" t="n">
        <f aca="false">IF(ISBLANK('Raw - Sessions'!U85),"",'Raw - Sessions'!T85)</f>
        <v>0.4</v>
      </c>
      <c r="D111" s="38" t="n">
        <f aca="false">'Raw - Sessions'!E85</f>
        <v>50.118999</v>
      </c>
      <c r="E111" s="42" t="n">
        <f aca="false">IF(ISBLANK('Raw - Sessions'!U85),"",'Raw - Sessions'!U85)</f>
        <v>38.33</v>
      </c>
      <c r="F111" s="42" t="n">
        <f aca="false">IF(ISBLANK('Raw - Sessions'!U85),"",'Raw - Sessions'!Z85)</f>
        <v>1.2</v>
      </c>
      <c r="G111" s="42" t="n">
        <f aca="false">IF(ISBLANK('Raw - Sessions'!U85),"",'Raw - Sessions'!AE85)</f>
        <v>0</v>
      </c>
      <c r="H111" s="42" t="n">
        <f aca="false">IF(ISBLANK('Raw - Sessions'!U85),"",'Raw - Sessions'!AD85)</f>
        <v>3.83</v>
      </c>
      <c r="I111" s="42" t="n">
        <f aca="false">IF(ISBLANK('Raw - Sessions'!U85),"",'Raw - Sessions'!P85)</f>
        <v>39.53</v>
      </c>
      <c r="J111" s="42" t="n">
        <f aca="false">IF(E111="","",E111+F111+G111+'Raw - Sessions'!AA85+'Raw - Sessions'!AB85+'Raw - Sessions'!AC85)</f>
        <v>39.53</v>
      </c>
      <c r="K111" s="42" t="n">
        <f aca="false">IF(E111="","",I111-J111)</f>
        <v>0</v>
      </c>
      <c r="L111" s="70" t="str">
        <f aca="false">IF(E111="","",IF(ABS(K111)&gt;0.02,"MISMATCH","OK"))</f>
        <v>OK</v>
      </c>
      <c r="M111" s="42" t="n">
        <f aca="false">IF(ISBLANK('Raw - Sessions'!U85),"",'Raw - Sessions'!Q85)</f>
        <v>34.5</v>
      </c>
      <c r="N111" s="42" t="n">
        <f aca="false">IF(E111="","",I111-G111-H111-F111)</f>
        <v>34.5</v>
      </c>
      <c r="O111" s="42" t="n">
        <f aca="false">IF(E111="","",M111-N111)</f>
        <v>0</v>
      </c>
      <c r="P111" s="70" t="str">
        <f aca="false">IF(E111="","",IF(ABS(O111)&gt;0.02,"MISMATCH","OK"))</f>
        <v>OK</v>
      </c>
    </row>
    <row r="112" customFormat="false" ht="15" hidden="false" customHeight="false" outlineLevel="0" collapsed="false">
      <c r="A112" s="72" t="n">
        <f aca="false">'Raw - Sessions'!A86</f>
        <v>4721588251</v>
      </c>
      <c r="B112" s="72" t="str">
        <f aca="false">'Raw - Sessions'!K86</f>
        <v>BARBOURVILLE / CITY HALL</v>
      </c>
      <c r="C112" s="73" t="str">
        <f aca="false">IF(ISBLANK('Raw - Sessions'!U86),"",'Raw - Sessions'!T86)</f>
        <v/>
      </c>
      <c r="D112" s="39" t="n">
        <f aca="false">'Raw - Sessions'!E86</f>
        <v>0</v>
      </c>
      <c r="E112" s="44" t="str">
        <f aca="false">IF(ISBLANK('Raw - Sessions'!U86),"",'Raw - Sessions'!U86)</f>
        <v/>
      </c>
      <c r="F112" s="44" t="str">
        <f aca="false">IF(ISBLANK('Raw - Sessions'!U86),"",'Raw - Sessions'!Z86)</f>
        <v/>
      </c>
      <c r="G112" s="44" t="str">
        <f aca="false">IF(ISBLANK('Raw - Sessions'!U86),"",'Raw - Sessions'!AE86)</f>
        <v/>
      </c>
      <c r="H112" s="44" t="str">
        <f aca="false">IF(ISBLANK('Raw - Sessions'!U86),"",'Raw - Sessions'!AD86)</f>
        <v/>
      </c>
      <c r="I112" s="44" t="str">
        <f aca="false">IF(ISBLANK('Raw - Sessions'!U86),"",'Raw - Sessions'!P86)</f>
        <v/>
      </c>
      <c r="J112" s="44" t="str">
        <f aca="false">IF(E112="","",E112+F112+G112+'Raw - Sessions'!AA86+'Raw - Sessions'!AB86+'Raw - Sessions'!AC86)</f>
        <v/>
      </c>
      <c r="K112" s="44" t="str">
        <f aca="false">IF(E112="","",I112-J112)</f>
        <v/>
      </c>
      <c r="L112" s="72" t="str">
        <f aca="false">IF(E112="","",IF(ABS(K112)&gt;0.02,"MISMATCH","OK"))</f>
        <v/>
      </c>
      <c r="M112" s="44" t="str">
        <f aca="false">IF(ISBLANK('Raw - Sessions'!U86),"",'Raw - Sessions'!Q86)</f>
        <v/>
      </c>
      <c r="N112" s="44" t="str">
        <f aca="false">IF(E112="","",I112-G112-H112-F112)</f>
        <v/>
      </c>
      <c r="O112" s="44" t="str">
        <f aca="false">IF(E112="","",M112-N112)</f>
        <v/>
      </c>
      <c r="P112" s="72" t="str">
        <f aca="false">IF(E112="","",IF(ABS(O112)&gt;0.02,"MISMATCH","OK"))</f>
        <v/>
      </c>
    </row>
    <row r="113" customFormat="false" ht="15" hidden="false" customHeight="false" outlineLevel="0" collapsed="false">
      <c r="A113" s="70" t="n">
        <f aca="false">'Raw - Sessions'!A87</f>
        <v>4721591431</v>
      </c>
      <c r="B113" s="70" t="str">
        <f aca="false">'Raw - Sessions'!K87</f>
        <v>BARBOURVILLE / CITY HALL</v>
      </c>
      <c r="C113" s="71" t="str">
        <f aca="false">IF(ISBLANK('Raw - Sessions'!U87),"",'Raw - Sessions'!T87)</f>
        <v/>
      </c>
      <c r="D113" s="38" t="n">
        <f aca="false">'Raw - Sessions'!E87</f>
        <v>0</v>
      </c>
      <c r="E113" s="42" t="str">
        <f aca="false">IF(ISBLANK('Raw - Sessions'!U87),"",'Raw - Sessions'!U87)</f>
        <v/>
      </c>
      <c r="F113" s="42" t="str">
        <f aca="false">IF(ISBLANK('Raw - Sessions'!U87),"",'Raw - Sessions'!Z87)</f>
        <v/>
      </c>
      <c r="G113" s="42" t="str">
        <f aca="false">IF(ISBLANK('Raw - Sessions'!U87),"",'Raw - Sessions'!AE87)</f>
        <v/>
      </c>
      <c r="H113" s="42" t="str">
        <f aca="false">IF(ISBLANK('Raw - Sessions'!U87),"",'Raw - Sessions'!AD87)</f>
        <v/>
      </c>
      <c r="I113" s="42" t="str">
        <f aca="false">IF(ISBLANK('Raw - Sessions'!U87),"",'Raw - Sessions'!P87)</f>
        <v/>
      </c>
      <c r="J113" s="42" t="str">
        <f aca="false">IF(E113="","",E113+F113+G113+'Raw - Sessions'!AA87+'Raw - Sessions'!AB87+'Raw - Sessions'!AC87)</f>
        <v/>
      </c>
      <c r="K113" s="42" t="str">
        <f aca="false">IF(E113="","",I113-J113)</f>
        <v/>
      </c>
      <c r="L113" s="70" t="str">
        <f aca="false">IF(E113="","",IF(ABS(K113)&gt;0.02,"MISMATCH","OK"))</f>
        <v/>
      </c>
      <c r="M113" s="42" t="str">
        <f aca="false">IF(ISBLANK('Raw - Sessions'!U87),"",'Raw - Sessions'!Q87)</f>
        <v/>
      </c>
      <c r="N113" s="42" t="str">
        <f aca="false">IF(E113="","",I113-G113-H113-F113)</f>
        <v/>
      </c>
      <c r="O113" s="42" t="str">
        <f aca="false">IF(E113="","",M113-N113)</f>
        <v/>
      </c>
      <c r="P113" s="70" t="str">
        <f aca="false">IF(E113="","",IF(ABS(O113)&gt;0.02,"MISMATCH","OK"))</f>
        <v/>
      </c>
    </row>
    <row r="114" customFormat="false" ht="15" hidden="false" customHeight="false" outlineLevel="0" collapsed="false">
      <c r="A114" s="72" t="n">
        <f aca="false">'Raw - Sessions'!A88</f>
        <v>4721599241</v>
      </c>
      <c r="B114" s="72" t="str">
        <f aca="false">'Raw - Sessions'!K88</f>
        <v>BARBOURVILLE / TOURISM</v>
      </c>
      <c r="C114" s="73" t="str">
        <f aca="false">IF(ISBLANK('Raw - Sessions'!U88),"",'Raw - Sessions'!T88)</f>
        <v/>
      </c>
      <c r="D114" s="39" t="n">
        <f aca="false">'Raw - Sessions'!E88</f>
        <v>0</v>
      </c>
      <c r="E114" s="44" t="str">
        <f aca="false">IF(ISBLANK('Raw - Sessions'!U88),"",'Raw - Sessions'!U88)</f>
        <v/>
      </c>
      <c r="F114" s="44" t="str">
        <f aca="false">IF(ISBLANK('Raw - Sessions'!U88),"",'Raw - Sessions'!Z88)</f>
        <v/>
      </c>
      <c r="G114" s="44" t="str">
        <f aca="false">IF(ISBLANK('Raw - Sessions'!U88),"",'Raw - Sessions'!AE88)</f>
        <v/>
      </c>
      <c r="H114" s="44" t="str">
        <f aca="false">IF(ISBLANK('Raw - Sessions'!U88),"",'Raw - Sessions'!AD88)</f>
        <v/>
      </c>
      <c r="I114" s="44" t="str">
        <f aca="false">IF(ISBLANK('Raw - Sessions'!U88),"",'Raw - Sessions'!P88)</f>
        <v/>
      </c>
      <c r="J114" s="44" t="str">
        <f aca="false">IF(E114="","",E114+F114+G114+'Raw - Sessions'!AA88+'Raw - Sessions'!AB88+'Raw - Sessions'!AC88)</f>
        <v/>
      </c>
      <c r="K114" s="44" t="str">
        <f aca="false">IF(E114="","",I114-J114)</f>
        <v/>
      </c>
      <c r="L114" s="72" t="str">
        <f aca="false">IF(E114="","",IF(ABS(K114)&gt;0.02,"MISMATCH","OK"))</f>
        <v/>
      </c>
      <c r="M114" s="44" t="str">
        <f aca="false">IF(ISBLANK('Raw - Sessions'!U88),"",'Raw - Sessions'!Q88)</f>
        <v/>
      </c>
      <c r="N114" s="44" t="str">
        <f aca="false">IF(E114="","",I114-G114-H114-F114)</f>
        <v/>
      </c>
      <c r="O114" s="44" t="str">
        <f aca="false">IF(E114="","",M114-N114)</f>
        <v/>
      </c>
      <c r="P114" s="72" t="str">
        <f aca="false">IF(E114="","",IF(ABS(O114)&gt;0.02,"MISMATCH","OK"))</f>
        <v/>
      </c>
    </row>
    <row r="115" customFormat="false" ht="15" hidden="false" customHeight="false" outlineLevel="0" collapsed="false">
      <c r="A115" s="70" t="n">
        <f aca="false">'Raw - Sessions'!A89</f>
        <v>4721839241</v>
      </c>
      <c r="B115" s="70" t="str">
        <f aca="false">'Raw - Sessions'!K89</f>
        <v>BARBOURVILLE / CITY HALL</v>
      </c>
      <c r="C115" s="71" t="n">
        <f aca="false">IF(ISBLANK('Raw - Sessions'!U89),"",'Raw - Sessions'!T89)</f>
        <v>0.4</v>
      </c>
      <c r="D115" s="38" t="n">
        <f aca="false">'Raw - Sessions'!E89</f>
        <v>19.7619</v>
      </c>
      <c r="E115" s="42" t="n">
        <f aca="false">IF(ISBLANK('Raw - Sessions'!U89),"",'Raw - Sessions'!U89)</f>
        <v>9.28</v>
      </c>
      <c r="F115" s="42" t="n">
        <f aca="false">IF(ISBLANK('Raw - Sessions'!U89),"",'Raw - Sessions'!Z89)</f>
        <v>0.47</v>
      </c>
      <c r="G115" s="42" t="n">
        <f aca="false">IF(ISBLANK('Raw - Sessions'!U89),"",'Raw - Sessions'!AE89)</f>
        <v>0</v>
      </c>
      <c r="H115" s="42" t="n">
        <f aca="false">IF(ISBLANK('Raw - Sessions'!U89),"",'Raw - Sessions'!AD89)</f>
        <v>0.93</v>
      </c>
      <c r="I115" s="42" t="n">
        <f aca="false">IF(ISBLANK('Raw - Sessions'!U89),"",'Raw - Sessions'!P89)</f>
        <v>9.75</v>
      </c>
      <c r="J115" s="42" t="n">
        <f aca="false">IF(E115="","",E115+F115+G115+'Raw - Sessions'!AA89+'Raw - Sessions'!AB89+'Raw - Sessions'!AC89)</f>
        <v>9.75</v>
      </c>
      <c r="K115" s="42" t="n">
        <f aca="false">IF(E115="","",I115-J115)</f>
        <v>0</v>
      </c>
      <c r="L115" s="70" t="str">
        <f aca="false">IF(E115="","",IF(ABS(K115)&gt;0.02,"MISMATCH","OK"))</f>
        <v>OK</v>
      </c>
      <c r="M115" s="42" t="n">
        <f aca="false">IF(ISBLANK('Raw - Sessions'!U89),"",'Raw - Sessions'!Q89)</f>
        <v>8.35</v>
      </c>
      <c r="N115" s="42" t="n">
        <f aca="false">IF(E115="","",I115-G115-H115-F115)</f>
        <v>8.35</v>
      </c>
      <c r="O115" s="42" t="n">
        <f aca="false">IF(E115="","",M115-N115)</f>
        <v>0</v>
      </c>
      <c r="P115" s="70" t="str">
        <f aca="false">IF(E115="","",IF(ABS(O115)&gt;0.02,"MISMATCH","OK"))</f>
        <v>OK</v>
      </c>
    </row>
    <row r="116" customFormat="false" ht="15" hidden="false" customHeight="false" outlineLevel="0" collapsed="false">
      <c r="A116" s="72" t="n">
        <f aca="false">'Raw - Sessions'!A90</f>
        <v>4722921421</v>
      </c>
      <c r="B116" s="72" t="str">
        <f aca="false">'Raw - Sessions'!K90</f>
        <v>BARBOURVILLE / CITY HALL</v>
      </c>
      <c r="C116" s="73" t="n">
        <f aca="false">IF(ISBLANK('Raw - Sessions'!U90),"",'Raw - Sessions'!T90)</f>
        <v>0.4</v>
      </c>
      <c r="D116" s="39" t="n">
        <f aca="false">'Raw - Sessions'!E90</f>
        <v>38.716202</v>
      </c>
      <c r="E116" s="44" t="n">
        <f aca="false">IF(ISBLANK('Raw - Sessions'!U90),"",'Raw - Sessions'!U90)</f>
        <v>18.78</v>
      </c>
      <c r="F116" s="44" t="n">
        <f aca="false">IF(ISBLANK('Raw - Sessions'!U90),"",'Raw - Sessions'!Z90)</f>
        <v>0.93</v>
      </c>
      <c r="G116" s="44" t="n">
        <f aca="false">IF(ISBLANK('Raw - Sessions'!U90),"",'Raw - Sessions'!AE90)</f>
        <v>0</v>
      </c>
      <c r="H116" s="44" t="n">
        <f aca="false">IF(ISBLANK('Raw - Sessions'!U90),"",'Raw - Sessions'!AD90)</f>
        <v>1.88</v>
      </c>
      <c r="I116" s="44" t="n">
        <f aca="false">IF(ISBLANK('Raw - Sessions'!U90),"",'Raw - Sessions'!P90)</f>
        <v>19.71</v>
      </c>
      <c r="J116" s="44" t="n">
        <f aca="false">IF(E116="","",E116+F116+G116+'Raw - Sessions'!AA90+'Raw - Sessions'!AB90+'Raw - Sessions'!AC90)</f>
        <v>19.71</v>
      </c>
      <c r="K116" s="44" t="n">
        <f aca="false">IF(E116="","",I116-J116)</f>
        <v>0</v>
      </c>
      <c r="L116" s="72" t="str">
        <f aca="false">IF(E116="","",IF(ABS(K116)&gt;0.02,"MISMATCH","OK"))</f>
        <v>OK</v>
      </c>
      <c r="M116" s="44" t="n">
        <f aca="false">IF(ISBLANK('Raw - Sessions'!U90),"",'Raw - Sessions'!Q90)</f>
        <v>16.9</v>
      </c>
      <c r="N116" s="44" t="n">
        <f aca="false">IF(E116="","",I116-G116-H116-F116)</f>
        <v>16.9</v>
      </c>
      <c r="O116" s="44" t="n">
        <f aca="false">IF(E116="","",M116-N116)</f>
        <v>0</v>
      </c>
      <c r="P116" s="72" t="str">
        <f aca="false">IF(E116="","",IF(ABS(O116)&gt;0.02,"MISMATCH","OK"))</f>
        <v>OK</v>
      </c>
    </row>
    <row r="117" customFormat="false" ht="15" hidden="false" customHeight="false" outlineLevel="0" collapsed="false">
      <c r="A117" s="70" t="n">
        <f aca="false">'Raw - Sessions'!A91</f>
        <v>4723077581</v>
      </c>
      <c r="B117" s="70" t="str">
        <f aca="false">'Raw - Sessions'!K91</f>
        <v>BARBOURVILLE / CITY HALL</v>
      </c>
      <c r="C117" s="71" t="n">
        <f aca="false">IF(ISBLANK('Raw - Sessions'!U91),"",'Raw - Sessions'!T91)</f>
        <v>0.4</v>
      </c>
      <c r="D117" s="38" t="n">
        <f aca="false">'Raw - Sessions'!E91</f>
        <v>42.318802</v>
      </c>
      <c r="E117" s="42" t="n">
        <f aca="false">IF(ISBLANK('Raw - Sessions'!U91),"",'Raw - Sessions'!U91)</f>
        <v>22.2</v>
      </c>
      <c r="F117" s="42" t="n">
        <f aca="false">IF(ISBLANK('Raw - Sessions'!U91),"",'Raw - Sessions'!Z91)</f>
        <v>1.02</v>
      </c>
      <c r="G117" s="42" t="n">
        <f aca="false">IF(ISBLANK('Raw - Sessions'!U91),"",'Raw - Sessions'!AE91)</f>
        <v>0</v>
      </c>
      <c r="H117" s="42" t="n">
        <f aca="false">IF(ISBLANK('Raw - Sessions'!U91),"",'Raw - Sessions'!AD91)</f>
        <v>2.22</v>
      </c>
      <c r="I117" s="42" t="n">
        <f aca="false">IF(ISBLANK('Raw - Sessions'!U91),"",'Raw - Sessions'!P91)</f>
        <v>23.22</v>
      </c>
      <c r="J117" s="42" t="n">
        <f aca="false">IF(E117="","",E117+F117+G117+'Raw - Sessions'!AA91+'Raw - Sessions'!AB91+'Raw - Sessions'!AC91)</f>
        <v>23.22</v>
      </c>
      <c r="K117" s="42" t="n">
        <f aca="false">IF(E117="","",I117-J117)</f>
        <v>0</v>
      </c>
      <c r="L117" s="70" t="str">
        <f aca="false">IF(E117="","",IF(ABS(K117)&gt;0.02,"MISMATCH","OK"))</f>
        <v>OK</v>
      </c>
      <c r="M117" s="42" t="n">
        <f aca="false">IF(ISBLANK('Raw - Sessions'!U91),"",'Raw - Sessions'!Q91)</f>
        <v>19.98</v>
      </c>
      <c r="N117" s="42" t="n">
        <f aca="false">IF(E117="","",I117-G117-H117-F117)</f>
        <v>19.98</v>
      </c>
      <c r="O117" s="42" t="n">
        <f aca="false">IF(E117="","",M117-N117)</f>
        <v>0</v>
      </c>
      <c r="P117" s="70" t="str">
        <f aca="false">IF(E117="","",IF(ABS(O117)&gt;0.02,"MISMATCH","OK"))</f>
        <v>OK</v>
      </c>
    </row>
    <row r="118" customFormat="false" ht="15" hidden="false" customHeight="false" outlineLevel="0" collapsed="false">
      <c r="A118" s="72" t="n">
        <f aca="false">'Raw - Sessions'!A92</f>
        <v>4724893031</v>
      </c>
      <c r="B118" s="72" t="str">
        <f aca="false">'Raw - Sessions'!K92</f>
        <v>BARBOURVILLE / CITY HALL</v>
      </c>
      <c r="C118" s="73" t="n">
        <f aca="false">IF(ISBLANK('Raw - Sessions'!U92),"",'Raw - Sessions'!T92)</f>
        <v>0.4</v>
      </c>
      <c r="D118" s="39" t="n">
        <f aca="false">'Raw - Sessions'!E92</f>
        <v>18.436001</v>
      </c>
      <c r="E118" s="44" t="n">
        <f aca="false">IF(ISBLANK('Raw - Sessions'!U92),"",'Raw - Sessions'!U92)</f>
        <v>10.39</v>
      </c>
      <c r="F118" s="44" t="n">
        <f aca="false">IF(ISBLANK('Raw - Sessions'!U92),"",'Raw - Sessions'!Z92)</f>
        <v>0.44</v>
      </c>
      <c r="G118" s="44" t="n">
        <f aca="false">IF(ISBLANK('Raw - Sessions'!U92),"",'Raw - Sessions'!AE92)</f>
        <v>0</v>
      </c>
      <c r="H118" s="44" t="n">
        <f aca="false">IF(ISBLANK('Raw - Sessions'!U92),"",'Raw - Sessions'!AD92)</f>
        <v>1.04</v>
      </c>
      <c r="I118" s="44" t="n">
        <f aca="false">IF(ISBLANK('Raw - Sessions'!U92),"",'Raw - Sessions'!P92)</f>
        <v>10.83</v>
      </c>
      <c r="J118" s="44" t="n">
        <f aca="false">IF(E118="","",E118+F118+G118+'Raw - Sessions'!AA92+'Raw - Sessions'!AB92+'Raw - Sessions'!AC92)</f>
        <v>10.83</v>
      </c>
      <c r="K118" s="44" t="n">
        <f aca="false">IF(E118="","",I118-J118)</f>
        <v>0</v>
      </c>
      <c r="L118" s="72" t="str">
        <f aca="false">IF(E118="","",IF(ABS(K118)&gt;0.02,"MISMATCH","OK"))</f>
        <v>OK</v>
      </c>
      <c r="M118" s="44" t="n">
        <f aca="false">IF(ISBLANK('Raw - Sessions'!U92),"",'Raw - Sessions'!Q92)</f>
        <v>9.35</v>
      </c>
      <c r="N118" s="44" t="n">
        <f aca="false">IF(E118="","",I118-G118-H118-F118)</f>
        <v>9.35</v>
      </c>
      <c r="O118" s="44" t="n">
        <f aca="false">IF(E118="","",M118-N118)</f>
        <v>0</v>
      </c>
      <c r="P118" s="72" t="str">
        <f aca="false">IF(E118="","",IF(ABS(O118)&gt;0.02,"MISMATCH","OK"))</f>
        <v>OK</v>
      </c>
    </row>
    <row r="119" customFormat="false" ht="15" hidden="false" customHeight="false" outlineLevel="0" collapsed="false">
      <c r="A119" s="70" t="n">
        <f aca="false">'Raw - Sessions'!A93</f>
        <v>4727829791</v>
      </c>
      <c r="B119" s="70" t="str">
        <f aca="false">'Raw - Sessions'!K93</f>
        <v>BARBOURVILLE / CITY HALL</v>
      </c>
      <c r="C119" s="71" t="n">
        <f aca="false">IF(ISBLANK('Raw - Sessions'!U93),"",'Raw - Sessions'!T93)</f>
        <v>0.4</v>
      </c>
      <c r="D119" s="38" t="n">
        <f aca="false">'Raw - Sessions'!E93</f>
        <v>30.217699</v>
      </c>
      <c r="E119" s="42" t="n">
        <f aca="false">IF(ISBLANK('Raw - Sessions'!U93),"",'Raw - Sessions'!U93)</f>
        <v>11.42</v>
      </c>
      <c r="F119" s="42" t="n">
        <f aca="false">IF(ISBLANK('Raw - Sessions'!U93),"",'Raw - Sessions'!Z93)</f>
        <v>0.47</v>
      </c>
      <c r="G119" s="42" t="n">
        <f aca="false">IF(ISBLANK('Raw - Sessions'!U93),"",'Raw - Sessions'!AE93)</f>
        <v>0</v>
      </c>
      <c r="H119" s="42" t="n">
        <f aca="false">IF(ISBLANK('Raw - Sessions'!U93),"",'Raw - Sessions'!AD93)</f>
        <v>1.14</v>
      </c>
      <c r="I119" s="42" t="n">
        <f aca="false">IF(ISBLANK('Raw - Sessions'!U93),"",'Raw - Sessions'!P93)</f>
        <v>11.89</v>
      </c>
      <c r="J119" s="42" t="n">
        <f aca="false">IF(E119="","",E119+F119+G119+'Raw - Sessions'!AA93+'Raw - Sessions'!AB93+'Raw - Sessions'!AC93)</f>
        <v>11.89</v>
      </c>
      <c r="K119" s="42" t="n">
        <f aca="false">IF(E119="","",I119-J119)</f>
        <v>0</v>
      </c>
      <c r="L119" s="70" t="str">
        <f aca="false">IF(E119="","",IF(ABS(K119)&gt;0.02,"MISMATCH","OK"))</f>
        <v>OK</v>
      </c>
      <c r="M119" s="42" t="n">
        <f aca="false">IF(ISBLANK('Raw - Sessions'!U93),"",'Raw - Sessions'!Q93)</f>
        <v>10.28</v>
      </c>
      <c r="N119" s="42" t="n">
        <f aca="false">IF(E119="","",I119-G119-H119-F119)</f>
        <v>10.28</v>
      </c>
      <c r="O119" s="42" t="n">
        <f aca="false">IF(E119="","",M119-N119)</f>
        <v>0</v>
      </c>
      <c r="P119" s="70" t="str">
        <f aca="false">IF(E119="","",IF(ABS(O119)&gt;0.02,"MISMATCH","OK"))</f>
        <v>OK</v>
      </c>
    </row>
    <row r="120" customFormat="false" ht="15" hidden="false" customHeight="false" outlineLevel="0" collapsed="false">
      <c r="A120" s="72" t="n">
        <f aca="false">'Raw - Sessions'!A94</f>
        <v>4733856691</v>
      </c>
      <c r="B120" s="72" t="str">
        <f aca="false">'Raw - Sessions'!K94</f>
        <v>BARBOURVILLE / CITY HALL</v>
      </c>
      <c r="C120" s="73" t="str">
        <f aca="false">IF(ISBLANK('Raw - Sessions'!U94),"",'Raw - Sessions'!T94)</f>
        <v/>
      </c>
      <c r="D120" s="39" t="n">
        <f aca="false">'Raw - Sessions'!E94</f>
        <v>0</v>
      </c>
      <c r="E120" s="44" t="str">
        <f aca="false">IF(ISBLANK('Raw - Sessions'!U94),"",'Raw - Sessions'!U94)</f>
        <v/>
      </c>
      <c r="F120" s="44" t="str">
        <f aca="false">IF(ISBLANK('Raw - Sessions'!U94),"",'Raw - Sessions'!Z94)</f>
        <v/>
      </c>
      <c r="G120" s="44" t="str">
        <f aca="false">IF(ISBLANK('Raw - Sessions'!U94),"",'Raw - Sessions'!AE94)</f>
        <v/>
      </c>
      <c r="H120" s="44" t="str">
        <f aca="false">IF(ISBLANK('Raw - Sessions'!U94),"",'Raw - Sessions'!AD94)</f>
        <v/>
      </c>
      <c r="I120" s="44" t="str">
        <f aca="false">IF(ISBLANK('Raw - Sessions'!U94),"",'Raw - Sessions'!P94)</f>
        <v/>
      </c>
      <c r="J120" s="44" t="str">
        <f aca="false">IF(E120="","",E120+F120+G120+'Raw - Sessions'!AA94+'Raw - Sessions'!AB94+'Raw - Sessions'!AC94)</f>
        <v/>
      </c>
      <c r="K120" s="44" t="str">
        <f aca="false">IF(E120="","",I120-J120)</f>
        <v/>
      </c>
      <c r="L120" s="72" t="str">
        <f aca="false">IF(E120="","",IF(ABS(K120)&gt;0.02,"MISMATCH","OK"))</f>
        <v/>
      </c>
      <c r="M120" s="44" t="str">
        <f aca="false">IF(ISBLANK('Raw - Sessions'!U94),"",'Raw - Sessions'!Q94)</f>
        <v/>
      </c>
      <c r="N120" s="44" t="str">
        <f aca="false">IF(E120="","",I120-G120-H120-F120)</f>
        <v/>
      </c>
      <c r="O120" s="44" t="str">
        <f aca="false">IF(E120="","",M120-N120)</f>
        <v/>
      </c>
      <c r="P120" s="72" t="str">
        <f aca="false">IF(E120="","",IF(ABS(O120)&gt;0.02,"MISMATCH","OK"))</f>
        <v/>
      </c>
    </row>
    <row r="121" customFormat="false" ht="15" hidden="false" customHeight="false" outlineLevel="0" collapsed="false">
      <c r="A121" s="70" t="n">
        <f aca="false">'Raw - Sessions'!A95</f>
        <v>4733857311</v>
      </c>
      <c r="B121" s="70" t="str">
        <f aca="false">'Raw - Sessions'!K95</f>
        <v>BARBOURVILLE / CITY HALL</v>
      </c>
      <c r="C121" s="71" t="n">
        <f aca="false">IF(ISBLANK('Raw - Sessions'!U95),"",'Raw - Sessions'!T95)</f>
        <v>0.4</v>
      </c>
      <c r="D121" s="38" t="n">
        <f aca="false">'Raw - Sessions'!E95</f>
        <v>12.3724</v>
      </c>
      <c r="E121" s="42" t="n">
        <f aca="false">IF(ISBLANK('Raw - Sessions'!U95),"",'Raw - Sessions'!U95)</f>
        <v>6</v>
      </c>
      <c r="F121" s="42" t="n">
        <f aca="false">IF(ISBLANK('Raw - Sessions'!U95),"",'Raw - Sessions'!Z95)</f>
        <v>0.36</v>
      </c>
      <c r="G121" s="42" t="n">
        <f aca="false">IF(ISBLANK('Raw - Sessions'!U95),"",'Raw - Sessions'!AE95)</f>
        <v>0</v>
      </c>
      <c r="H121" s="42" t="n">
        <f aca="false">IF(ISBLANK('Raw - Sessions'!U95),"",'Raw - Sessions'!AD95)</f>
        <v>0.6</v>
      </c>
      <c r="I121" s="42" t="n">
        <f aca="false">IF(ISBLANK('Raw - Sessions'!U95),"",'Raw - Sessions'!P95)</f>
        <v>6.36</v>
      </c>
      <c r="J121" s="42" t="n">
        <f aca="false">IF(E121="","",E121+F121+G121+'Raw - Sessions'!AA95+'Raw - Sessions'!AB95+'Raw - Sessions'!AC95)</f>
        <v>6.36</v>
      </c>
      <c r="K121" s="42" t="n">
        <f aca="false">IF(E121="","",I121-J121)</f>
        <v>0</v>
      </c>
      <c r="L121" s="70" t="str">
        <f aca="false">IF(E121="","",IF(ABS(K121)&gt;0.02,"MISMATCH","OK"))</f>
        <v>OK</v>
      </c>
      <c r="M121" s="42" t="n">
        <f aca="false">IF(ISBLANK('Raw - Sessions'!U95),"",'Raw - Sessions'!Q95)</f>
        <v>5.4</v>
      </c>
      <c r="N121" s="42" t="n">
        <f aca="false">IF(E121="","",I121-G121-H121-F121)</f>
        <v>5.4</v>
      </c>
      <c r="O121" s="42" t="n">
        <f aca="false">IF(E121="","",M121-N121)</f>
        <v>0</v>
      </c>
      <c r="P121" s="70" t="str">
        <f aca="false">IF(E121="","",IF(ABS(O121)&gt;0.02,"MISMATCH","OK"))</f>
        <v>OK</v>
      </c>
    </row>
    <row r="122" customFormat="false" ht="15" hidden="false" customHeight="false" outlineLevel="0" collapsed="false">
      <c r="A122" s="72" t="n">
        <f aca="false">'Raw - Sessions'!A96</f>
        <v>4741403081</v>
      </c>
      <c r="B122" s="72" t="str">
        <f aca="false">'Raw - Sessions'!K96</f>
        <v>BARBOURVILLE / CITY HALL</v>
      </c>
      <c r="C122" s="73" t="n">
        <f aca="false">IF(ISBLANK('Raw - Sessions'!U96),"",'Raw - Sessions'!T96)</f>
        <v>0.4</v>
      </c>
      <c r="D122" s="39" t="n">
        <f aca="false">'Raw - Sessions'!E96</f>
        <v>13.1661</v>
      </c>
      <c r="E122" s="44" t="n">
        <f aca="false">IF(ISBLANK('Raw - Sessions'!U96),"",'Raw - Sessions'!U96)</f>
        <v>6.21</v>
      </c>
      <c r="F122" s="44" t="n">
        <f aca="false">IF(ISBLANK('Raw - Sessions'!U96),"",'Raw - Sessions'!Z96)</f>
        <v>0.38</v>
      </c>
      <c r="G122" s="44" t="n">
        <f aca="false">IF(ISBLANK('Raw - Sessions'!U96),"",'Raw - Sessions'!AE96)</f>
        <v>0</v>
      </c>
      <c r="H122" s="44" t="n">
        <f aca="false">IF(ISBLANK('Raw - Sessions'!U96),"",'Raw - Sessions'!AD96)</f>
        <v>0.62</v>
      </c>
      <c r="I122" s="44" t="n">
        <f aca="false">IF(ISBLANK('Raw - Sessions'!U96),"",'Raw - Sessions'!P96)</f>
        <v>6.59</v>
      </c>
      <c r="J122" s="44" t="n">
        <f aca="false">IF(E122="","",E122+F122+G122+'Raw - Sessions'!AA96+'Raw - Sessions'!AB96+'Raw - Sessions'!AC96)</f>
        <v>6.59</v>
      </c>
      <c r="K122" s="44" t="n">
        <f aca="false">IF(E122="","",I122-J122)</f>
        <v>0</v>
      </c>
      <c r="L122" s="72" t="str">
        <f aca="false">IF(E122="","",IF(ABS(K122)&gt;0.02,"MISMATCH","OK"))</f>
        <v>OK</v>
      </c>
      <c r="M122" s="44" t="n">
        <f aca="false">IF(ISBLANK('Raw - Sessions'!U96),"",'Raw - Sessions'!Q96)</f>
        <v>5.59</v>
      </c>
      <c r="N122" s="44" t="n">
        <f aca="false">IF(E122="","",I122-G122-H122-F122)</f>
        <v>5.59</v>
      </c>
      <c r="O122" s="44" t="n">
        <f aca="false">IF(E122="","",M122-N122)</f>
        <v>0</v>
      </c>
      <c r="P122" s="72" t="str">
        <f aca="false">IF(E122="","",IF(ABS(O122)&gt;0.02,"MISMATCH","OK"))</f>
        <v>OK</v>
      </c>
    </row>
    <row r="123" customFormat="false" ht="15" hidden="false" customHeight="false" outlineLevel="0" collapsed="false">
      <c r="A123" s="70" t="n">
        <f aca="false">'Raw - Sessions'!A97</f>
        <v>4761006811</v>
      </c>
      <c r="B123" s="70" t="str">
        <f aca="false">'Raw - Sessions'!K97</f>
        <v>BARBOURVILLE / CITY HALL</v>
      </c>
      <c r="C123" s="71" t="str">
        <f aca="false">IF(ISBLANK('Raw - Sessions'!U97),"",'Raw - Sessions'!T97)</f>
        <v/>
      </c>
      <c r="D123" s="38" t="n">
        <f aca="false">'Raw - Sessions'!E97</f>
        <v>0</v>
      </c>
      <c r="E123" s="42" t="str">
        <f aca="false">IF(ISBLANK('Raw - Sessions'!U97),"",'Raw - Sessions'!U97)</f>
        <v/>
      </c>
      <c r="F123" s="42" t="str">
        <f aca="false">IF(ISBLANK('Raw - Sessions'!U97),"",'Raw - Sessions'!Z97)</f>
        <v/>
      </c>
      <c r="G123" s="42" t="str">
        <f aca="false">IF(ISBLANK('Raw - Sessions'!U97),"",'Raw - Sessions'!AE97)</f>
        <v/>
      </c>
      <c r="H123" s="42" t="str">
        <f aca="false">IF(ISBLANK('Raw - Sessions'!U97),"",'Raw - Sessions'!AD97)</f>
        <v/>
      </c>
      <c r="I123" s="42" t="str">
        <f aca="false">IF(ISBLANK('Raw - Sessions'!U97),"",'Raw - Sessions'!P97)</f>
        <v/>
      </c>
      <c r="J123" s="42" t="str">
        <f aca="false">IF(E123="","",E123+F123+G123+'Raw - Sessions'!AA97+'Raw - Sessions'!AB97+'Raw - Sessions'!AC97)</f>
        <v/>
      </c>
      <c r="K123" s="42" t="str">
        <f aca="false">IF(E123="","",I123-J123)</f>
        <v/>
      </c>
      <c r="L123" s="70" t="str">
        <f aca="false">IF(E123="","",IF(ABS(K123)&gt;0.02,"MISMATCH","OK"))</f>
        <v/>
      </c>
      <c r="M123" s="42" t="str">
        <f aca="false">IF(ISBLANK('Raw - Sessions'!U97),"",'Raw - Sessions'!Q97)</f>
        <v/>
      </c>
      <c r="N123" s="42" t="str">
        <f aca="false">IF(E123="","",I123-G123-H123-F123)</f>
        <v/>
      </c>
      <c r="O123" s="42" t="str">
        <f aca="false">IF(E123="","",M123-N123)</f>
        <v/>
      </c>
      <c r="P123" s="70" t="str">
        <f aca="false">IF(E123="","",IF(ABS(O123)&gt;0.02,"MISMATCH","OK"))</f>
        <v/>
      </c>
    </row>
    <row r="124" customFormat="false" ht="15" hidden="false" customHeight="false" outlineLevel="0" collapsed="false">
      <c r="A124" s="72" t="n">
        <f aca="false">'Raw - Sessions'!A98</f>
        <v>4761007781</v>
      </c>
      <c r="B124" s="72" t="str">
        <f aca="false">'Raw - Sessions'!K98</f>
        <v>BARBOURVILLE / CITY HALL</v>
      </c>
      <c r="C124" s="73" t="n">
        <f aca="false">IF(ISBLANK('Raw - Sessions'!U98),"",'Raw - Sessions'!T98)</f>
        <v>0.4</v>
      </c>
      <c r="D124" s="39" t="n">
        <f aca="false">'Raw - Sessions'!E98</f>
        <v>40.663502</v>
      </c>
      <c r="E124" s="44" t="n">
        <f aca="false">IF(ISBLANK('Raw - Sessions'!U98),"",'Raw - Sessions'!U98)</f>
        <v>19.47</v>
      </c>
      <c r="F124" s="44" t="n">
        <f aca="false">IF(ISBLANK('Raw - Sessions'!U98),"",'Raw - Sessions'!Z98)</f>
        <v>1.17</v>
      </c>
      <c r="G124" s="44" t="n">
        <f aca="false">IF(ISBLANK('Raw - Sessions'!U98),"",'Raw - Sessions'!AE98)</f>
        <v>0</v>
      </c>
      <c r="H124" s="44" t="n">
        <f aca="false">IF(ISBLANK('Raw - Sessions'!U98),"",'Raw - Sessions'!AD98)</f>
        <v>1.95</v>
      </c>
      <c r="I124" s="44" t="n">
        <f aca="false">IF(ISBLANK('Raw - Sessions'!U98),"",'Raw - Sessions'!P98)</f>
        <v>20.64</v>
      </c>
      <c r="J124" s="44" t="n">
        <f aca="false">IF(E124="","",E124+F124+G124+'Raw - Sessions'!AA98+'Raw - Sessions'!AB98+'Raw - Sessions'!AC98)</f>
        <v>20.64</v>
      </c>
      <c r="K124" s="44" t="n">
        <f aca="false">IF(E124="","",I124-J124)</f>
        <v>0</v>
      </c>
      <c r="L124" s="72" t="str">
        <f aca="false">IF(E124="","",IF(ABS(K124)&gt;0.02,"MISMATCH","OK"))</f>
        <v>OK</v>
      </c>
      <c r="M124" s="44" t="n">
        <f aca="false">IF(ISBLANK('Raw - Sessions'!U98),"",'Raw - Sessions'!Q98)</f>
        <v>17.52</v>
      </c>
      <c r="N124" s="44" t="n">
        <f aca="false">IF(E124="","",I124-G124-H124-F124)</f>
        <v>17.52</v>
      </c>
      <c r="O124" s="44" t="n">
        <f aca="false">IF(E124="","",M124-N124)</f>
        <v>0</v>
      </c>
      <c r="P124" s="72" t="str">
        <f aca="false">IF(E124="","",IF(ABS(O124)&gt;0.02,"MISMATCH","OK"))</f>
        <v>OK</v>
      </c>
    </row>
    <row r="125" customFormat="false" ht="15" hidden="false" customHeight="false" outlineLevel="0" collapsed="false">
      <c r="A125" s="70" t="n">
        <f aca="false">'Raw - Sessions'!A99</f>
        <v>4777307511</v>
      </c>
      <c r="B125" s="70" t="str">
        <f aca="false">'Raw - Sessions'!K99</f>
        <v>BARBOURVILLE / CITY HALL</v>
      </c>
      <c r="C125" s="71" t="n">
        <f aca="false">IF(ISBLANK('Raw - Sessions'!U99),"",'Raw - Sessions'!T99)</f>
        <v>0.4</v>
      </c>
      <c r="D125" s="38" t="n">
        <f aca="false">'Raw - Sessions'!E99</f>
        <v>2.0061</v>
      </c>
      <c r="E125" s="42" t="n">
        <f aca="false">IF(ISBLANK('Raw - Sessions'!U99),"",'Raw - Sessions'!U99)</f>
        <v>1</v>
      </c>
      <c r="F125" s="42" t="n">
        <f aca="false">IF(ISBLANK('Raw - Sessions'!U99),"",'Raw - Sessions'!Z99)</f>
        <v>0.06</v>
      </c>
      <c r="G125" s="42" t="n">
        <f aca="false">IF(ISBLANK('Raw - Sessions'!U99),"",'Raw - Sessions'!AE99)</f>
        <v>0</v>
      </c>
      <c r="H125" s="42" t="n">
        <f aca="false">IF(ISBLANK('Raw - Sessions'!U99),"",'Raw - Sessions'!AD99)</f>
        <v>0.1</v>
      </c>
      <c r="I125" s="42" t="n">
        <f aca="false">IF(ISBLANK('Raw - Sessions'!U99),"",'Raw - Sessions'!P99)</f>
        <v>1.06</v>
      </c>
      <c r="J125" s="42" t="n">
        <f aca="false">IF(E125="","",E125+F125+G125+'Raw - Sessions'!AA99+'Raw - Sessions'!AB99+'Raw - Sessions'!AC99)</f>
        <v>1.06</v>
      </c>
      <c r="K125" s="42" t="n">
        <f aca="false">IF(E125="","",I125-J125)</f>
        <v>0</v>
      </c>
      <c r="L125" s="70" t="str">
        <f aca="false">IF(E125="","",IF(ABS(K125)&gt;0.02,"MISMATCH","OK"))</f>
        <v>OK</v>
      </c>
      <c r="M125" s="42" t="n">
        <f aca="false">IF(ISBLANK('Raw - Sessions'!U99),"",'Raw - Sessions'!Q99)</f>
        <v>0.9</v>
      </c>
      <c r="N125" s="42" t="n">
        <f aca="false">IF(E125="","",I125-G125-H125-F125)</f>
        <v>0.9</v>
      </c>
      <c r="O125" s="42" t="n">
        <f aca="false">IF(E125="","",M125-N125)</f>
        <v>0</v>
      </c>
      <c r="P125" s="70" t="str">
        <f aca="false">IF(E125="","",IF(ABS(O125)&gt;0.02,"MISMATCH","OK"))</f>
        <v>OK</v>
      </c>
    </row>
    <row r="126" customFormat="false" ht="15" hidden="false" customHeight="false" outlineLevel="0" collapsed="false">
      <c r="A126" s="72" t="n">
        <f aca="false">'Raw - Sessions'!A100</f>
        <v>4777318221</v>
      </c>
      <c r="B126" s="72" t="str">
        <f aca="false">'Raw - Sessions'!K100</f>
        <v>BARBOURVILLE / CITY HALL</v>
      </c>
      <c r="C126" s="73" t="n">
        <f aca="false">IF(ISBLANK('Raw - Sessions'!U100),"",'Raw - Sessions'!T100)</f>
        <v>0.4</v>
      </c>
      <c r="D126" s="39" t="n">
        <f aca="false">'Raw - Sessions'!E100</f>
        <v>8.3979</v>
      </c>
      <c r="E126" s="44" t="n">
        <f aca="false">IF(ISBLANK('Raw - Sessions'!U100),"",'Raw - Sessions'!U100)</f>
        <v>4.01</v>
      </c>
      <c r="F126" s="44" t="n">
        <f aca="false">IF(ISBLANK('Raw - Sessions'!U100),"",'Raw - Sessions'!Z100)</f>
        <v>0.24</v>
      </c>
      <c r="G126" s="44" t="n">
        <f aca="false">IF(ISBLANK('Raw - Sessions'!U100),"",'Raw - Sessions'!AE100)</f>
        <v>0</v>
      </c>
      <c r="H126" s="44" t="n">
        <f aca="false">IF(ISBLANK('Raw - Sessions'!U100),"",'Raw - Sessions'!AD100)</f>
        <v>0.4</v>
      </c>
      <c r="I126" s="44" t="n">
        <f aca="false">IF(ISBLANK('Raw - Sessions'!U100),"",'Raw - Sessions'!P100)</f>
        <v>4.25</v>
      </c>
      <c r="J126" s="44" t="n">
        <f aca="false">IF(E126="","",E126+F126+G126+'Raw - Sessions'!AA100+'Raw - Sessions'!AB100+'Raw - Sessions'!AC100)</f>
        <v>4.25</v>
      </c>
      <c r="K126" s="44" t="n">
        <f aca="false">IF(E126="","",I126-J126)</f>
        <v>0</v>
      </c>
      <c r="L126" s="72" t="str">
        <f aca="false">IF(E126="","",IF(ABS(K126)&gt;0.02,"MISMATCH","OK"))</f>
        <v>OK</v>
      </c>
      <c r="M126" s="44" t="n">
        <f aca="false">IF(ISBLANK('Raw - Sessions'!U100),"",'Raw - Sessions'!Q100)</f>
        <v>3.61</v>
      </c>
      <c r="N126" s="44" t="n">
        <f aca="false">IF(E126="","",I126-G126-H126-F126)</f>
        <v>3.61</v>
      </c>
      <c r="O126" s="44" t="n">
        <f aca="false">IF(E126="","",M126-N126)</f>
        <v>0</v>
      </c>
      <c r="P126" s="72" t="str">
        <f aca="false">IF(E126="","",IF(ABS(O126)&gt;0.02,"MISMATCH","OK"))</f>
        <v>OK</v>
      </c>
    </row>
    <row r="127" customFormat="false" ht="15" hidden="false" customHeight="false" outlineLevel="0" collapsed="false">
      <c r="A127" s="70" t="n">
        <f aca="false">'Raw - Sessions'!A101</f>
        <v>4779338971</v>
      </c>
      <c r="B127" s="70" t="str">
        <f aca="false">'Raw - Sessions'!K101</f>
        <v>BARBOURVILLE / CITY HALL</v>
      </c>
      <c r="C127" s="71" t="n">
        <f aca="false">IF(ISBLANK('Raw - Sessions'!U101),"",'Raw - Sessions'!T101)</f>
        <v>0.4</v>
      </c>
      <c r="D127" s="38" t="n">
        <f aca="false">'Raw - Sessions'!E101</f>
        <v>0</v>
      </c>
      <c r="E127" s="42" t="n">
        <f aca="false">IF(ISBLANK('Raw - Sessions'!U101),"",'Raw - Sessions'!U101)</f>
        <v>0.21</v>
      </c>
      <c r="F127" s="42" t="n">
        <f aca="false">IF(ISBLANK('Raw - Sessions'!U101),"",'Raw - Sessions'!Z101)</f>
        <v>0.01</v>
      </c>
      <c r="G127" s="42" t="n">
        <f aca="false">IF(ISBLANK('Raw - Sessions'!U101),"",'Raw - Sessions'!AE101)</f>
        <v>0</v>
      </c>
      <c r="H127" s="42" t="n">
        <f aca="false">IF(ISBLANK('Raw - Sessions'!U101),"",'Raw - Sessions'!AD101)</f>
        <v>0.02</v>
      </c>
      <c r="I127" s="42" t="n">
        <f aca="false">IF(ISBLANK('Raw - Sessions'!U101),"",'Raw - Sessions'!P101)</f>
        <v>0.22</v>
      </c>
      <c r="J127" s="42" t="n">
        <f aca="false">IF(E127="","",E127+F127+G127+'Raw - Sessions'!AA101+'Raw - Sessions'!AB101+'Raw - Sessions'!AC101)</f>
        <v>0.22</v>
      </c>
      <c r="K127" s="42" t="n">
        <f aca="false">IF(E127="","",I127-J127)</f>
        <v>0</v>
      </c>
      <c r="L127" s="70" t="str">
        <f aca="false">IF(E127="","",IF(ABS(K127)&gt;0.02,"MISMATCH","OK"))</f>
        <v>OK</v>
      </c>
      <c r="M127" s="42" t="n">
        <f aca="false">IF(ISBLANK('Raw - Sessions'!U101),"",'Raw - Sessions'!Q101)</f>
        <v>0.19</v>
      </c>
      <c r="N127" s="42" t="n">
        <f aca="false">IF(E127="","",I127-G127-H127-F127)</f>
        <v>0.19</v>
      </c>
      <c r="O127" s="42" t="n">
        <f aca="false">IF(E127="","",M127-N127)</f>
        <v>0</v>
      </c>
      <c r="P127" s="70" t="str">
        <f aca="false">IF(E127="","",IF(ABS(O127)&gt;0.02,"MISMATCH","OK"))</f>
        <v>OK</v>
      </c>
    </row>
    <row r="128" customFormat="false" ht="15" hidden="false" customHeight="false" outlineLevel="0" collapsed="false">
      <c r="A128" s="72" t="n">
        <f aca="false">'Raw - Sessions'!A102</f>
        <v>4779342671</v>
      </c>
      <c r="B128" s="72" t="str">
        <f aca="false">'Raw - Sessions'!K102</f>
        <v>BARBOURVILLE / CITY HALL</v>
      </c>
      <c r="C128" s="73" t="n">
        <f aca="false">IF(ISBLANK('Raw - Sessions'!U102),"",'Raw - Sessions'!T102)</f>
        <v>0.4</v>
      </c>
      <c r="D128" s="39" t="n">
        <f aca="false">'Raw - Sessions'!E102</f>
        <v>0</v>
      </c>
      <c r="E128" s="44" t="n">
        <f aca="false">IF(ISBLANK('Raw - Sessions'!U102),"",'Raw - Sessions'!U102)</f>
        <v>0.28</v>
      </c>
      <c r="F128" s="44" t="n">
        <f aca="false">IF(ISBLANK('Raw - Sessions'!U102),"",'Raw - Sessions'!Z102)</f>
        <v>0.02</v>
      </c>
      <c r="G128" s="44" t="n">
        <f aca="false">IF(ISBLANK('Raw - Sessions'!U102),"",'Raw - Sessions'!AE102)</f>
        <v>0</v>
      </c>
      <c r="H128" s="44" t="n">
        <f aca="false">IF(ISBLANK('Raw - Sessions'!U102),"",'Raw - Sessions'!AD102)</f>
        <v>0.03</v>
      </c>
      <c r="I128" s="44" t="n">
        <f aca="false">IF(ISBLANK('Raw - Sessions'!U102),"",'Raw - Sessions'!P102)</f>
        <v>0.3</v>
      </c>
      <c r="J128" s="44" t="n">
        <f aca="false">IF(E128="","",E128+F128+G128+'Raw - Sessions'!AA102+'Raw - Sessions'!AB102+'Raw - Sessions'!AC102)</f>
        <v>0.3</v>
      </c>
      <c r="K128" s="44" t="n">
        <f aca="false">IF(E128="","",I128-J128)</f>
        <v>0</v>
      </c>
      <c r="L128" s="72" t="str">
        <f aca="false">IF(E128="","",IF(ABS(K128)&gt;0.02,"MISMATCH","OK"))</f>
        <v>OK</v>
      </c>
      <c r="M128" s="44" t="n">
        <f aca="false">IF(ISBLANK('Raw - Sessions'!U102),"",'Raw - Sessions'!Q102)</f>
        <v>0.25</v>
      </c>
      <c r="N128" s="44" t="n">
        <f aca="false">IF(E128="","",I128-G128-H128-F128)</f>
        <v>0.25</v>
      </c>
      <c r="O128" s="44" t="n">
        <f aca="false">IF(E128="","",M128-N128)</f>
        <v>0</v>
      </c>
      <c r="P128" s="72" t="str">
        <f aca="false">IF(E128="","",IF(ABS(O128)&gt;0.02,"MISMATCH","OK"))</f>
        <v>OK</v>
      </c>
    </row>
    <row r="129" customFormat="false" ht="15" hidden="false" customHeight="false" outlineLevel="0" collapsed="false">
      <c r="A129" s="70" t="n">
        <f aca="false">'Raw - Sessions'!A103</f>
        <v>4779350151</v>
      </c>
      <c r="B129" s="70" t="str">
        <f aca="false">'Raw - Sessions'!K103</f>
        <v>BARBOURVILLE / CITY HALL</v>
      </c>
      <c r="C129" s="71" t="str">
        <f aca="false">IF(ISBLANK('Raw - Sessions'!U103),"",'Raw - Sessions'!T103)</f>
        <v/>
      </c>
      <c r="D129" s="38" t="n">
        <f aca="false">'Raw - Sessions'!E103</f>
        <v>0</v>
      </c>
      <c r="E129" s="42" t="str">
        <f aca="false">IF(ISBLANK('Raw - Sessions'!U103),"",'Raw - Sessions'!U103)</f>
        <v/>
      </c>
      <c r="F129" s="42" t="str">
        <f aca="false">IF(ISBLANK('Raw - Sessions'!U103),"",'Raw - Sessions'!Z103)</f>
        <v/>
      </c>
      <c r="G129" s="42" t="str">
        <f aca="false">IF(ISBLANK('Raw - Sessions'!U103),"",'Raw - Sessions'!AE103)</f>
        <v/>
      </c>
      <c r="H129" s="42" t="str">
        <f aca="false">IF(ISBLANK('Raw - Sessions'!U103),"",'Raw - Sessions'!AD103)</f>
        <v/>
      </c>
      <c r="I129" s="42" t="str">
        <f aca="false">IF(ISBLANK('Raw - Sessions'!U103),"",'Raw - Sessions'!P103)</f>
        <v/>
      </c>
      <c r="J129" s="42" t="str">
        <f aca="false">IF(E129="","",E129+F129+G129+'Raw - Sessions'!AA103+'Raw - Sessions'!AB103+'Raw - Sessions'!AC103)</f>
        <v/>
      </c>
      <c r="K129" s="42" t="str">
        <f aca="false">IF(E129="","",I129-J129)</f>
        <v/>
      </c>
      <c r="L129" s="70" t="str">
        <f aca="false">IF(E129="","",IF(ABS(K129)&gt;0.02,"MISMATCH","OK"))</f>
        <v/>
      </c>
      <c r="M129" s="42" t="str">
        <f aca="false">IF(ISBLANK('Raw - Sessions'!U103),"",'Raw - Sessions'!Q103)</f>
        <v/>
      </c>
      <c r="N129" s="42" t="str">
        <f aca="false">IF(E129="","",I129-G129-H129-F129)</f>
        <v/>
      </c>
      <c r="O129" s="42" t="str">
        <f aca="false">IF(E129="","",M129-N129)</f>
        <v/>
      </c>
      <c r="P129" s="70" t="str">
        <f aca="false">IF(E129="","",IF(ABS(O129)&gt;0.02,"MISMATCH","OK"))</f>
        <v/>
      </c>
    </row>
    <row r="130" customFormat="false" ht="15" hidden="false" customHeight="false" outlineLevel="0" collapsed="false">
      <c r="A130" s="72" t="n">
        <f aca="false">'Raw - Sessions'!A104</f>
        <v>4779353161</v>
      </c>
      <c r="B130" s="72" t="str">
        <f aca="false">'Raw - Sessions'!K104</f>
        <v>BARBOURVILLE / CITY HALL</v>
      </c>
      <c r="C130" s="73" t="n">
        <f aca="false">IF(ISBLANK('Raw - Sessions'!U104),"",'Raw - Sessions'!T104)</f>
        <v>0.4</v>
      </c>
      <c r="D130" s="39" t="n">
        <f aca="false">'Raw - Sessions'!E104</f>
        <v>21.7241</v>
      </c>
      <c r="E130" s="44" t="n">
        <f aca="false">IF(ISBLANK('Raw - Sessions'!U104),"",'Raw - Sessions'!U104)</f>
        <v>10.44</v>
      </c>
      <c r="F130" s="44" t="n">
        <f aca="false">IF(ISBLANK('Raw - Sessions'!U104),"",'Raw - Sessions'!Z104)</f>
        <v>0.63</v>
      </c>
      <c r="G130" s="44" t="n">
        <f aca="false">IF(ISBLANK('Raw - Sessions'!U104),"",'Raw - Sessions'!AE104)</f>
        <v>0</v>
      </c>
      <c r="H130" s="44" t="n">
        <f aca="false">IF(ISBLANK('Raw - Sessions'!U104),"",'Raw - Sessions'!AD104)</f>
        <v>1.04</v>
      </c>
      <c r="I130" s="44" t="n">
        <f aca="false">IF(ISBLANK('Raw - Sessions'!U104),"",'Raw - Sessions'!P104)</f>
        <v>11.07</v>
      </c>
      <c r="J130" s="44" t="n">
        <f aca="false">IF(E130="","",E130+F130+G130+'Raw - Sessions'!AA104+'Raw - Sessions'!AB104+'Raw - Sessions'!AC104)</f>
        <v>11.07</v>
      </c>
      <c r="K130" s="44" t="n">
        <f aca="false">IF(E130="","",I130-J130)</f>
        <v>0</v>
      </c>
      <c r="L130" s="72" t="str">
        <f aca="false">IF(E130="","",IF(ABS(K130)&gt;0.02,"MISMATCH","OK"))</f>
        <v>OK</v>
      </c>
      <c r="M130" s="44" t="n">
        <f aca="false">IF(ISBLANK('Raw - Sessions'!U104),"",'Raw - Sessions'!Q104)</f>
        <v>9.4</v>
      </c>
      <c r="N130" s="44" t="n">
        <f aca="false">IF(E130="","",I130-G130-H130-F130)</f>
        <v>9.4</v>
      </c>
      <c r="O130" s="44" t="n">
        <f aca="false">IF(E130="","",M130-N130)</f>
        <v>0</v>
      </c>
      <c r="P130" s="72" t="str">
        <f aca="false">IF(E130="","",IF(ABS(O130)&gt;0.02,"MISMATCH","OK"))</f>
        <v>OK</v>
      </c>
    </row>
    <row r="131" customFormat="false" ht="15" hidden="false" customHeight="false" outlineLevel="0" collapsed="false">
      <c r="A131" s="70" t="n">
        <f aca="false">'Raw - Sessions'!A105</f>
        <v>4822668641</v>
      </c>
      <c r="B131" s="70" t="str">
        <f aca="false">'Raw - Sessions'!K105</f>
        <v>BARBOURVILLE / CITY HALL</v>
      </c>
      <c r="C131" s="71" t="str">
        <f aca="false">IF(ISBLANK('Raw - Sessions'!U105),"",'Raw - Sessions'!T105)</f>
        <v/>
      </c>
      <c r="D131" s="38" t="n">
        <f aca="false">'Raw - Sessions'!E105</f>
        <v>0</v>
      </c>
      <c r="E131" s="42" t="str">
        <f aca="false">IF(ISBLANK('Raw - Sessions'!U105),"",'Raw - Sessions'!U105)</f>
        <v/>
      </c>
      <c r="F131" s="42" t="str">
        <f aca="false">IF(ISBLANK('Raw - Sessions'!U105),"",'Raw - Sessions'!Z105)</f>
        <v/>
      </c>
      <c r="G131" s="42" t="str">
        <f aca="false">IF(ISBLANK('Raw - Sessions'!U105),"",'Raw - Sessions'!AE105)</f>
        <v/>
      </c>
      <c r="H131" s="42" t="str">
        <f aca="false">IF(ISBLANK('Raw - Sessions'!U105),"",'Raw - Sessions'!AD105)</f>
        <v/>
      </c>
      <c r="I131" s="42" t="str">
        <f aca="false">IF(ISBLANK('Raw - Sessions'!U105),"",'Raw - Sessions'!P105)</f>
        <v/>
      </c>
      <c r="J131" s="42" t="str">
        <f aca="false">IF(E131="","",E131+F131+G131+'Raw - Sessions'!AA105+'Raw - Sessions'!AB105+'Raw - Sessions'!AC105)</f>
        <v/>
      </c>
      <c r="K131" s="42" t="str">
        <f aca="false">IF(E131="","",I131-J131)</f>
        <v/>
      </c>
      <c r="L131" s="70" t="str">
        <f aca="false">IF(E131="","",IF(ABS(K131)&gt;0.02,"MISMATCH","OK"))</f>
        <v/>
      </c>
      <c r="M131" s="42" t="str">
        <f aca="false">IF(ISBLANK('Raw - Sessions'!U105),"",'Raw - Sessions'!Q105)</f>
        <v/>
      </c>
      <c r="N131" s="42" t="str">
        <f aca="false">IF(E131="","",I131-G131-H131-F131)</f>
        <v/>
      </c>
      <c r="O131" s="42" t="str">
        <f aca="false">IF(E131="","",M131-N131)</f>
        <v/>
      </c>
      <c r="P131" s="70" t="str">
        <f aca="false">IF(E131="","",IF(ABS(O131)&gt;0.02,"MISMATCH","OK"))</f>
        <v/>
      </c>
    </row>
    <row r="132" customFormat="false" ht="15" hidden="false" customHeight="false" outlineLevel="0" collapsed="false">
      <c r="A132" s="72" t="n">
        <f aca="false">'Raw - Sessions'!A106</f>
        <v>4822670541</v>
      </c>
      <c r="B132" s="72" t="str">
        <f aca="false">'Raw - Sessions'!K106</f>
        <v>BARBOURVILLE / CITY HALL</v>
      </c>
      <c r="C132" s="73" t="n">
        <f aca="false">IF(ISBLANK('Raw - Sessions'!U106),"",'Raw - Sessions'!T106)</f>
        <v>0.4</v>
      </c>
      <c r="D132" s="39" t="n">
        <f aca="false">'Raw - Sessions'!E106</f>
        <v>73.232498</v>
      </c>
      <c r="E132" s="44" t="n">
        <f aca="false">IF(ISBLANK('Raw - Sessions'!U106),"",'Raw - Sessions'!U106)</f>
        <v>34.86</v>
      </c>
      <c r="F132" s="44" t="n">
        <f aca="false">IF(ISBLANK('Raw - Sessions'!U106),"",'Raw - Sessions'!Z106)</f>
        <v>2.09</v>
      </c>
      <c r="G132" s="44" t="n">
        <f aca="false">IF(ISBLANK('Raw - Sessions'!U106),"",'Raw - Sessions'!AE106)</f>
        <v>0</v>
      </c>
      <c r="H132" s="44" t="n">
        <f aca="false">IF(ISBLANK('Raw - Sessions'!U106),"",'Raw - Sessions'!AD106)</f>
        <v>3.49</v>
      </c>
      <c r="I132" s="44" t="n">
        <f aca="false">IF(ISBLANK('Raw - Sessions'!U106),"",'Raw - Sessions'!P106)</f>
        <v>36.95</v>
      </c>
      <c r="J132" s="44" t="n">
        <f aca="false">IF(E132="","",E132+F132+G132+'Raw - Sessions'!AA106+'Raw - Sessions'!AB106+'Raw - Sessions'!AC106)</f>
        <v>36.95</v>
      </c>
      <c r="K132" s="44" t="n">
        <f aca="false">IF(E132="","",I132-J132)</f>
        <v>0</v>
      </c>
      <c r="L132" s="72" t="str">
        <f aca="false">IF(E132="","",IF(ABS(K132)&gt;0.02,"MISMATCH","OK"))</f>
        <v>OK</v>
      </c>
      <c r="M132" s="44" t="n">
        <f aca="false">IF(ISBLANK('Raw - Sessions'!U106),"",'Raw - Sessions'!Q106)</f>
        <v>31.37</v>
      </c>
      <c r="N132" s="44" t="n">
        <f aca="false">IF(E132="","",I132-G132-H132-F132)</f>
        <v>31.37</v>
      </c>
      <c r="O132" s="44" t="n">
        <f aca="false">IF(E132="","",M132-N132)</f>
        <v>0</v>
      </c>
      <c r="P132" s="72" t="str">
        <f aca="false">IF(E132="","",IF(ABS(O132)&gt;0.02,"MISMATCH","OK"))</f>
        <v>OK</v>
      </c>
    </row>
    <row r="133" customFormat="false" ht="15" hidden="false" customHeight="false" outlineLevel="0" collapsed="false">
      <c r="A133" s="70" t="n">
        <f aca="false">'Raw - Sessions'!A107</f>
        <v>4825237521</v>
      </c>
      <c r="B133" s="70" t="str">
        <f aca="false">'Raw - Sessions'!K107</f>
        <v>BARBOURVILLE / CITY HALL</v>
      </c>
      <c r="C133" s="71" t="n">
        <f aca="false">IF(ISBLANK('Raw - Sessions'!U107),"",'Raw - Sessions'!T107)</f>
        <v>0.4</v>
      </c>
      <c r="D133" s="38" t="n">
        <f aca="false">'Raw - Sessions'!E107</f>
        <v>50.064899</v>
      </c>
      <c r="E133" s="42" t="n">
        <f aca="false">IF(ISBLANK('Raw - Sessions'!U107),"",'Raw - Sessions'!U107)</f>
        <v>24.7</v>
      </c>
      <c r="F133" s="42" t="n">
        <f aca="false">IF(ISBLANK('Raw - Sessions'!U107),"",'Raw - Sessions'!Z107)</f>
        <v>1.48</v>
      </c>
      <c r="G133" s="42" t="n">
        <f aca="false">IF(ISBLANK('Raw - Sessions'!U107),"",'Raw - Sessions'!AE107)</f>
        <v>0</v>
      </c>
      <c r="H133" s="42" t="n">
        <f aca="false">IF(ISBLANK('Raw - Sessions'!U107),"",'Raw - Sessions'!AD107)</f>
        <v>2.47</v>
      </c>
      <c r="I133" s="42" t="n">
        <f aca="false">IF(ISBLANK('Raw - Sessions'!U107),"",'Raw - Sessions'!P107)</f>
        <v>26.18</v>
      </c>
      <c r="J133" s="42" t="n">
        <f aca="false">IF(E133="","",E133+F133+G133+'Raw - Sessions'!AA107+'Raw - Sessions'!AB107+'Raw - Sessions'!AC107)</f>
        <v>26.18</v>
      </c>
      <c r="K133" s="42" t="n">
        <f aca="false">IF(E133="","",I133-J133)</f>
        <v>0</v>
      </c>
      <c r="L133" s="70" t="str">
        <f aca="false">IF(E133="","",IF(ABS(K133)&gt;0.02,"MISMATCH","OK"))</f>
        <v>OK</v>
      </c>
      <c r="M133" s="42" t="n">
        <f aca="false">IF(ISBLANK('Raw - Sessions'!U107),"",'Raw - Sessions'!Q107)</f>
        <v>22.23</v>
      </c>
      <c r="N133" s="42" t="n">
        <f aca="false">IF(E133="","",I133-G133-H133-F133)</f>
        <v>22.23</v>
      </c>
      <c r="O133" s="42" t="n">
        <f aca="false">IF(E133="","",M133-N133)</f>
        <v>0</v>
      </c>
      <c r="P133" s="70" t="str">
        <f aca="false">IF(E133="","",IF(ABS(O133)&gt;0.02,"MISMATCH","OK"))</f>
        <v>OK</v>
      </c>
    </row>
    <row r="134" customFormat="false" ht="15" hidden="false" customHeight="false" outlineLevel="0" collapsed="false">
      <c r="A134" s="72" t="n">
        <f aca="false">'Raw - Sessions'!A108</f>
        <v>4832197411</v>
      </c>
      <c r="B134" s="72" t="str">
        <f aca="false">'Raw - Sessions'!K108</f>
        <v>BARBOURVILLE / CITY HALL</v>
      </c>
      <c r="C134" s="73" t="n">
        <f aca="false">IF(ISBLANK('Raw - Sessions'!U108),"",'Raw - Sessions'!T108)</f>
        <v>0.4</v>
      </c>
      <c r="D134" s="39" t="n">
        <f aca="false">'Raw - Sessions'!E108</f>
        <v>55.120602</v>
      </c>
      <c r="E134" s="44" t="n">
        <f aca="false">IF(ISBLANK('Raw - Sessions'!U108),"",'Raw - Sessions'!U108)</f>
        <v>26.37</v>
      </c>
      <c r="F134" s="44" t="n">
        <f aca="false">IF(ISBLANK('Raw - Sessions'!U108),"",'Raw - Sessions'!Z108)</f>
        <v>1.58</v>
      </c>
      <c r="G134" s="44" t="n">
        <f aca="false">IF(ISBLANK('Raw - Sessions'!U108),"",'Raw - Sessions'!AE108)</f>
        <v>0</v>
      </c>
      <c r="H134" s="44" t="n">
        <f aca="false">IF(ISBLANK('Raw - Sessions'!U108),"",'Raw - Sessions'!AD108)</f>
        <v>2.64</v>
      </c>
      <c r="I134" s="44" t="n">
        <f aca="false">IF(ISBLANK('Raw - Sessions'!U108),"",'Raw - Sessions'!P108)</f>
        <v>27.95</v>
      </c>
      <c r="J134" s="44" t="n">
        <f aca="false">IF(E134="","",E134+F134+G134+'Raw - Sessions'!AA108+'Raw - Sessions'!AB108+'Raw - Sessions'!AC108)</f>
        <v>27.95</v>
      </c>
      <c r="K134" s="44" t="n">
        <f aca="false">IF(E134="","",I134-J134)</f>
        <v>0</v>
      </c>
      <c r="L134" s="72" t="str">
        <f aca="false">IF(E134="","",IF(ABS(K134)&gt;0.02,"MISMATCH","OK"))</f>
        <v>OK</v>
      </c>
      <c r="M134" s="44" t="n">
        <f aca="false">IF(ISBLANK('Raw - Sessions'!U108),"",'Raw - Sessions'!Q108)</f>
        <v>23.73</v>
      </c>
      <c r="N134" s="44" t="n">
        <f aca="false">IF(E134="","",I134-G134-H134-F134)</f>
        <v>23.73</v>
      </c>
      <c r="O134" s="44" t="n">
        <f aca="false">IF(E134="","",M134-N134)</f>
        <v>0</v>
      </c>
      <c r="P134" s="72" t="str">
        <f aca="false">IF(E134="","",IF(ABS(O134)&gt;0.02,"MISMATCH","OK"))</f>
        <v>OK</v>
      </c>
    </row>
    <row r="135" customFormat="false" ht="15" hidden="false" customHeight="false" outlineLevel="0" collapsed="false">
      <c r="A135" s="70" t="n">
        <f aca="false">'Raw - Sessions'!A109</f>
        <v>4832810371</v>
      </c>
      <c r="B135" s="70" t="str">
        <f aca="false">'Raw - Sessions'!K109</f>
        <v>BARBOURVILLE / CITY HALL</v>
      </c>
      <c r="C135" s="71" t="n">
        <f aca="false">IF(ISBLANK('Raw - Sessions'!U109),"",'Raw - Sessions'!T109)</f>
        <v>0.4</v>
      </c>
      <c r="D135" s="38" t="n">
        <f aca="false">'Raw - Sessions'!E109</f>
        <v>32.118401</v>
      </c>
      <c r="E135" s="42" t="n">
        <f aca="false">IF(ISBLANK('Raw - Sessions'!U109),"",'Raw - Sessions'!U109)</f>
        <v>15.19</v>
      </c>
      <c r="F135" s="42" t="n">
        <f aca="false">IF(ISBLANK('Raw - Sessions'!U109),"",'Raw - Sessions'!Z109)</f>
        <v>0.91</v>
      </c>
      <c r="G135" s="42" t="n">
        <f aca="false">IF(ISBLANK('Raw - Sessions'!U109),"",'Raw - Sessions'!AE109)</f>
        <v>0</v>
      </c>
      <c r="H135" s="42" t="n">
        <f aca="false">IF(ISBLANK('Raw - Sessions'!U109),"",'Raw - Sessions'!AD109)</f>
        <v>1.52</v>
      </c>
      <c r="I135" s="42" t="n">
        <f aca="false">IF(ISBLANK('Raw - Sessions'!U109),"",'Raw - Sessions'!P109)</f>
        <v>16.1</v>
      </c>
      <c r="J135" s="42" t="n">
        <f aca="false">IF(E135="","",E135+F135+G135+'Raw - Sessions'!AA109+'Raw - Sessions'!AB109+'Raw - Sessions'!AC109)</f>
        <v>16.1</v>
      </c>
      <c r="K135" s="42" t="n">
        <f aca="false">IF(E135="","",I135-J135)</f>
        <v>0</v>
      </c>
      <c r="L135" s="70" t="str">
        <f aca="false">IF(E135="","",IF(ABS(K135)&gt;0.02,"MISMATCH","OK"))</f>
        <v>OK</v>
      </c>
      <c r="M135" s="42" t="n">
        <f aca="false">IF(ISBLANK('Raw - Sessions'!U109),"",'Raw - Sessions'!Q109)</f>
        <v>13.67</v>
      </c>
      <c r="N135" s="42" t="n">
        <f aca="false">IF(E135="","",I135-G135-H135-F135)</f>
        <v>13.67</v>
      </c>
      <c r="O135" s="42" t="n">
        <f aca="false">IF(E135="","",M135-N135)</f>
        <v>0</v>
      </c>
      <c r="P135" s="70" t="str">
        <f aca="false">IF(E135="","",IF(ABS(O135)&gt;0.02,"MISMATCH","OK"))</f>
        <v>OK</v>
      </c>
    </row>
    <row r="136" customFormat="false" ht="15" hidden="false" customHeight="false" outlineLevel="0" collapsed="false">
      <c r="A136" s="72" t="n">
        <f aca="false">'Raw - Sessions'!A110</f>
        <v>4833046641</v>
      </c>
      <c r="B136" s="72" t="str">
        <f aca="false">'Raw - Sessions'!K110</f>
        <v>BARBOURVILLE / CITY HALL</v>
      </c>
      <c r="C136" s="73" t="n">
        <f aca="false">IF(ISBLANK('Raw - Sessions'!U110),"",'Raw - Sessions'!T110)</f>
        <v>0.4</v>
      </c>
      <c r="D136" s="39" t="n">
        <f aca="false">'Raw - Sessions'!E110</f>
        <v>45.535</v>
      </c>
      <c r="E136" s="44" t="n">
        <f aca="false">IF(ISBLANK('Raw - Sessions'!U110),"",'Raw - Sessions'!U110)</f>
        <v>22.22</v>
      </c>
      <c r="F136" s="44" t="n">
        <f aca="false">IF(ISBLANK('Raw - Sessions'!U110),"",'Raw - Sessions'!Z110)</f>
        <v>1.33</v>
      </c>
      <c r="G136" s="44" t="n">
        <f aca="false">IF(ISBLANK('Raw - Sessions'!U110),"",'Raw - Sessions'!AE110)</f>
        <v>0</v>
      </c>
      <c r="H136" s="44" t="n">
        <f aca="false">IF(ISBLANK('Raw - Sessions'!U110),"",'Raw - Sessions'!AD110)</f>
        <v>2.22</v>
      </c>
      <c r="I136" s="44" t="n">
        <f aca="false">IF(ISBLANK('Raw - Sessions'!U110),"",'Raw - Sessions'!P110)</f>
        <v>23.55</v>
      </c>
      <c r="J136" s="44" t="n">
        <f aca="false">IF(E136="","",E136+F136+G136+'Raw - Sessions'!AA110+'Raw - Sessions'!AB110+'Raw - Sessions'!AC110)</f>
        <v>23.55</v>
      </c>
      <c r="K136" s="44" t="n">
        <f aca="false">IF(E136="","",I136-J136)</f>
        <v>0</v>
      </c>
      <c r="L136" s="72" t="str">
        <f aca="false">IF(E136="","",IF(ABS(K136)&gt;0.02,"MISMATCH","OK"))</f>
        <v>OK</v>
      </c>
      <c r="M136" s="44" t="n">
        <f aca="false">IF(ISBLANK('Raw - Sessions'!U110),"",'Raw - Sessions'!Q110)</f>
        <v>20</v>
      </c>
      <c r="N136" s="44" t="n">
        <f aca="false">IF(E136="","",I136-G136-H136-F136)</f>
        <v>20</v>
      </c>
      <c r="O136" s="44" t="n">
        <f aca="false">IF(E136="","",M136-N136)</f>
        <v>0</v>
      </c>
      <c r="P136" s="72" t="str">
        <f aca="false">IF(E136="","",IF(ABS(O136)&gt;0.02,"MISMATCH","OK"))</f>
        <v>OK</v>
      </c>
    </row>
    <row r="137" customFormat="false" ht="15" hidden="false" customHeight="false" outlineLevel="0" collapsed="false">
      <c r="A137" s="70" t="n">
        <f aca="false">'Raw - Sessions'!A111</f>
        <v>4842032651</v>
      </c>
      <c r="B137" s="70" t="str">
        <f aca="false">'Raw - Sessions'!K111</f>
        <v>BARBOURVILLE / CITY HALL</v>
      </c>
      <c r="C137" s="71" t="n">
        <f aca="false">IF(ISBLANK('Raw - Sessions'!U111),"",'Raw - Sessions'!T111)</f>
        <v>0.4</v>
      </c>
      <c r="D137" s="38" t="n">
        <f aca="false">'Raw - Sessions'!E111</f>
        <v>37.706402</v>
      </c>
      <c r="E137" s="42" t="n">
        <f aca="false">IF(ISBLANK('Raw - Sessions'!U111),"",'Raw - Sessions'!U111)</f>
        <v>22.24</v>
      </c>
      <c r="F137" s="42" t="n">
        <f aca="false">IF(ISBLANK('Raw - Sessions'!U111),"",'Raw - Sessions'!Z111)</f>
        <v>1.33</v>
      </c>
      <c r="G137" s="42" t="n">
        <f aca="false">IF(ISBLANK('Raw - Sessions'!U111),"",'Raw - Sessions'!AE111)</f>
        <v>0</v>
      </c>
      <c r="H137" s="42" t="n">
        <f aca="false">IF(ISBLANK('Raw - Sessions'!U111),"",'Raw - Sessions'!AD111)</f>
        <v>2.22</v>
      </c>
      <c r="I137" s="42" t="n">
        <f aca="false">IF(ISBLANK('Raw - Sessions'!U111),"",'Raw - Sessions'!P111)</f>
        <v>23.57</v>
      </c>
      <c r="J137" s="42" t="n">
        <f aca="false">IF(E137="","",E137+F137+G137+'Raw - Sessions'!AA111+'Raw - Sessions'!AB111+'Raw - Sessions'!AC111)</f>
        <v>23.57</v>
      </c>
      <c r="K137" s="42" t="n">
        <f aca="false">IF(E137="","",I137-J137)</f>
        <v>0</v>
      </c>
      <c r="L137" s="70" t="str">
        <f aca="false">IF(E137="","",IF(ABS(K137)&gt;0.02,"MISMATCH","OK"))</f>
        <v>OK</v>
      </c>
      <c r="M137" s="42" t="n">
        <f aca="false">IF(ISBLANK('Raw - Sessions'!U111),"",'Raw - Sessions'!Q111)</f>
        <v>20.02</v>
      </c>
      <c r="N137" s="42" t="n">
        <f aca="false">IF(E137="","",I137-G137-H137-F137)</f>
        <v>20.02</v>
      </c>
      <c r="O137" s="42" t="n">
        <f aca="false">IF(E137="","",M137-N137)</f>
        <v>0</v>
      </c>
      <c r="P137" s="70" t="str">
        <f aca="false">IF(E137="","",IF(ABS(O137)&gt;0.02,"MISMATCH","OK"))</f>
        <v>OK</v>
      </c>
    </row>
    <row r="138" customFormat="false" ht="15" hidden="false" customHeight="false" outlineLevel="0" collapsed="false">
      <c r="A138" s="72" t="n">
        <f aca="false">'Raw - Sessions'!A112</f>
        <v>4843380231</v>
      </c>
      <c r="B138" s="72" t="str">
        <f aca="false">'Raw - Sessions'!K112</f>
        <v>BARBOURVILLE / CITY HALL</v>
      </c>
      <c r="C138" s="73" t="n">
        <f aca="false">IF(ISBLANK('Raw - Sessions'!U112),"",'Raw - Sessions'!T112)</f>
        <v>0.4</v>
      </c>
      <c r="D138" s="39" t="n">
        <f aca="false">'Raw - Sessions'!E112</f>
        <v>44.549</v>
      </c>
      <c r="E138" s="44" t="n">
        <f aca="false">IF(ISBLANK('Raw - Sessions'!U112),"",'Raw - Sessions'!U112)</f>
        <v>26.39</v>
      </c>
      <c r="F138" s="44" t="n">
        <f aca="false">IF(ISBLANK('Raw - Sessions'!U112),"",'Raw - Sessions'!Z112)</f>
        <v>1.59</v>
      </c>
      <c r="G138" s="44" t="n">
        <f aca="false">IF(ISBLANK('Raw - Sessions'!U112),"",'Raw - Sessions'!AE112)</f>
        <v>0</v>
      </c>
      <c r="H138" s="44" t="n">
        <f aca="false">IF(ISBLANK('Raw - Sessions'!U112),"",'Raw - Sessions'!AD112)</f>
        <v>2.64</v>
      </c>
      <c r="I138" s="44" t="n">
        <f aca="false">IF(ISBLANK('Raw - Sessions'!U112),"",'Raw - Sessions'!P112)</f>
        <v>27.98</v>
      </c>
      <c r="J138" s="44" t="n">
        <f aca="false">IF(E138="","",E138+F138+G138+'Raw - Sessions'!AA112+'Raw - Sessions'!AB112+'Raw - Sessions'!AC112)</f>
        <v>27.98</v>
      </c>
      <c r="K138" s="44" t="n">
        <f aca="false">IF(E138="","",I138-J138)</f>
        <v>0</v>
      </c>
      <c r="L138" s="72" t="str">
        <f aca="false">IF(E138="","",IF(ABS(K138)&gt;0.02,"MISMATCH","OK"))</f>
        <v>OK</v>
      </c>
      <c r="M138" s="44" t="n">
        <f aca="false">IF(ISBLANK('Raw - Sessions'!U112),"",'Raw - Sessions'!Q112)</f>
        <v>23.75</v>
      </c>
      <c r="N138" s="44" t="n">
        <f aca="false">IF(E138="","",I138-G138-H138-F138)</f>
        <v>23.75</v>
      </c>
      <c r="O138" s="44" t="n">
        <f aca="false">IF(E138="","",M138-N138)</f>
        <v>0</v>
      </c>
      <c r="P138" s="72" t="str">
        <f aca="false">IF(E138="","",IF(ABS(O138)&gt;0.02,"MISMATCH","OK"))</f>
        <v>OK</v>
      </c>
    </row>
    <row r="139" customFormat="false" ht="15" hidden="false" customHeight="false" outlineLevel="0" collapsed="false">
      <c r="A139" s="70" t="n">
        <f aca="false">'Raw - Sessions'!A113</f>
        <v>4844065361</v>
      </c>
      <c r="B139" s="70" t="str">
        <f aca="false">'Raw - Sessions'!K113</f>
        <v>BARBOURVILLE / CITY HALL</v>
      </c>
      <c r="C139" s="71" t="n">
        <f aca="false">IF(ISBLANK('Raw - Sessions'!U113),"",'Raw - Sessions'!T113)</f>
        <v>0.4</v>
      </c>
      <c r="D139" s="38" t="n">
        <f aca="false">'Raw - Sessions'!E113</f>
        <v>27.820801</v>
      </c>
      <c r="E139" s="42" t="n">
        <f aca="false">IF(ISBLANK('Raw - Sessions'!U113),"",'Raw - Sessions'!U113)</f>
        <v>17.02</v>
      </c>
      <c r="F139" s="42" t="n">
        <f aca="false">IF(ISBLANK('Raw - Sessions'!U113),"",'Raw - Sessions'!Z113)</f>
        <v>1.02</v>
      </c>
      <c r="G139" s="42" t="n">
        <f aca="false">IF(ISBLANK('Raw - Sessions'!U113),"",'Raw - Sessions'!AE113)</f>
        <v>0</v>
      </c>
      <c r="H139" s="42" t="n">
        <f aca="false">IF(ISBLANK('Raw - Sessions'!U113),"",'Raw - Sessions'!AD113)</f>
        <v>1.7</v>
      </c>
      <c r="I139" s="42" t="n">
        <f aca="false">IF(ISBLANK('Raw - Sessions'!U113),"",'Raw - Sessions'!P113)</f>
        <v>18.04</v>
      </c>
      <c r="J139" s="42" t="n">
        <f aca="false">IF(E139="","",E139+F139+G139+'Raw - Sessions'!AA113+'Raw - Sessions'!AB113+'Raw - Sessions'!AC113)</f>
        <v>18.04</v>
      </c>
      <c r="K139" s="42" t="n">
        <f aca="false">IF(E139="","",I139-J139)</f>
        <v>0</v>
      </c>
      <c r="L139" s="70" t="str">
        <f aca="false">IF(E139="","",IF(ABS(K139)&gt;0.02,"MISMATCH","OK"))</f>
        <v>OK</v>
      </c>
      <c r="M139" s="42" t="n">
        <f aca="false">IF(ISBLANK('Raw - Sessions'!U113),"",'Raw - Sessions'!Q113)</f>
        <v>15.32</v>
      </c>
      <c r="N139" s="42" t="n">
        <f aca="false">IF(E139="","",I139-G139-H139-F139)</f>
        <v>15.32</v>
      </c>
      <c r="O139" s="42" t="n">
        <f aca="false">IF(E139="","",M139-N139)</f>
        <v>0</v>
      </c>
      <c r="P139" s="70" t="str">
        <f aca="false">IF(E139="","",IF(ABS(O139)&gt;0.02,"MISMATCH","OK"))</f>
        <v>OK</v>
      </c>
    </row>
    <row r="140" customFormat="false" ht="15" hidden="false" customHeight="false" outlineLevel="0" collapsed="false">
      <c r="A140" s="72" t="n">
        <f aca="false">'Raw - Sessions'!A114</f>
        <v>4847266781</v>
      </c>
      <c r="B140" s="72" t="str">
        <f aca="false">'Raw - Sessions'!K114</f>
        <v>BARBOURVILLE / CITY HALL</v>
      </c>
      <c r="C140" s="73" t="n">
        <f aca="false">IF(ISBLANK('Raw - Sessions'!U114),"",'Raw - Sessions'!T114)</f>
        <v>0.4</v>
      </c>
      <c r="D140" s="39" t="n">
        <f aca="false">'Raw - Sessions'!E114</f>
        <v>55.450699</v>
      </c>
      <c r="E140" s="44" t="n">
        <f aca="false">IF(ISBLANK('Raw - Sessions'!U114),"",'Raw - Sessions'!U114)</f>
        <v>34.05</v>
      </c>
      <c r="F140" s="44" t="n">
        <f aca="false">IF(ISBLANK('Raw - Sessions'!U114),"",'Raw - Sessions'!Z114)</f>
        <v>2.04</v>
      </c>
      <c r="G140" s="44" t="n">
        <f aca="false">IF(ISBLANK('Raw - Sessions'!U114),"",'Raw - Sessions'!AE114)</f>
        <v>0</v>
      </c>
      <c r="H140" s="44" t="n">
        <f aca="false">IF(ISBLANK('Raw - Sessions'!U114),"",'Raw - Sessions'!AD114)</f>
        <v>3.4</v>
      </c>
      <c r="I140" s="44" t="n">
        <f aca="false">IF(ISBLANK('Raw - Sessions'!U114),"",'Raw - Sessions'!P114)</f>
        <v>36.09</v>
      </c>
      <c r="J140" s="44" t="n">
        <f aca="false">IF(E140="","",E140+F140+G140+'Raw - Sessions'!AA114+'Raw - Sessions'!AB114+'Raw - Sessions'!AC114)</f>
        <v>36.09</v>
      </c>
      <c r="K140" s="44" t="n">
        <f aca="false">IF(E140="","",I140-J140)</f>
        <v>0</v>
      </c>
      <c r="L140" s="72" t="str">
        <f aca="false">IF(E140="","",IF(ABS(K140)&gt;0.02,"MISMATCH","OK"))</f>
        <v>OK</v>
      </c>
      <c r="M140" s="44" t="n">
        <f aca="false">IF(ISBLANK('Raw - Sessions'!U114),"",'Raw - Sessions'!Q114)</f>
        <v>30.65</v>
      </c>
      <c r="N140" s="44" t="n">
        <f aca="false">IF(E140="","",I140-G140-H140-F140)</f>
        <v>30.65</v>
      </c>
      <c r="O140" s="44" t="n">
        <f aca="false">IF(E140="","",M140-N140)</f>
        <v>0</v>
      </c>
      <c r="P140" s="72" t="str">
        <f aca="false">IF(E140="","",IF(ABS(O140)&gt;0.02,"MISMATCH","OK"))</f>
        <v>OK</v>
      </c>
    </row>
    <row r="141" customFormat="false" ht="15" hidden="false" customHeight="false" outlineLevel="0" collapsed="false">
      <c r="A141" s="70" t="n">
        <f aca="false">'Raw - Sessions'!A115</f>
        <v>4850779931</v>
      </c>
      <c r="B141" s="70" t="str">
        <f aca="false">'Raw - Sessions'!K115</f>
        <v>BARBOURVILLE / CITY HALL</v>
      </c>
      <c r="C141" s="71" t="n">
        <f aca="false">IF(ISBLANK('Raw - Sessions'!U115),"",'Raw - Sessions'!T115)</f>
        <v>0.4</v>
      </c>
      <c r="D141" s="38" t="n">
        <f aca="false">'Raw - Sessions'!E115</f>
        <v>22.3647</v>
      </c>
      <c r="E141" s="42" t="n">
        <f aca="false">IF(ISBLANK('Raw - Sessions'!U115),"",'Raw - Sessions'!U115)</f>
        <v>13.33</v>
      </c>
      <c r="F141" s="42" t="n">
        <f aca="false">IF(ISBLANK('Raw - Sessions'!U115),"",'Raw - Sessions'!Z115)</f>
        <v>0.8</v>
      </c>
      <c r="G141" s="42" t="n">
        <f aca="false">IF(ISBLANK('Raw - Sessions'!U115),"",'Raw - Sessions'!AE115)</f>
        <v>0</v>
      </c>
      <c r="H141" s="42" t="n">
        <f aca="false">IF(ISBLANK('Raw - Sessions'!U115),"",'Raw - Sessions'!AD115)</f>
        <v>1.33</v>
      </c>
      <c r="I141" s="42" t="n">
        <f aca="false">IF(ISBLANK('Raw - Sessions'!U115),"",'Raw - Sessions'!P115)</f>
        <v>14.13</v>
      </c>
      <c r="J141" s="42" t="n">
        <f aca="false">IF(E141="","",E141+F141+G141+'Raw - Sessions'!AA115+'Raw - Sessions'!AB115+'Raw - Sessions'!AC115)</f>
        <v>14.13</v>
      </c>
      <c r="K141" s="42" t="n">
        <f aca="false">IF(E141="","",I141-J141)</f>
        <v>0</v>
      </c>
      <c r="L141" s="70" t="str">
        <f aca="false">IF(E141="","",IF(ABS(K141)&gt;0.02,"MISMATCH","OK"))</f>
        <v>OK</v>
      </c>
      <c r="M141" s="42" t="n">
        <f aca="false">IF(ISBLANK('Raw - Sessions'!U115),"",'Raw - Sessions'!Q115)</f>
        <v>12</v>
      </c>
      <c r="N141" s="42" t="n">
        <f aca="false">IF(E141="","",I141-G141-H141-F141)</f>
        <v>12</v>
      </c>
      <c r="O141" s="42" t="n">
        <f aca="false">IF(E141="","",M141-N141)</f>
        <v>0</v>
      </c>
      <c r="P141" s="70" t="str">
        <f aca="false">IF(E141="","",IF(ABS(O141)&gt;0.02,"MISMATCH","OK"))</f>
        <v>OK</v>
      </c>
    </row>
    <row r="142" customFormat="false" ht="15" hidden="false" customHeight="false" outlineLevel="0" collapsed="false">
      <c r="A142" s="72" t="n">
        <f aca="false">'Raw - Sessions'!A116</f>
        <v>4867334471</v>
      </c>
      <c r="B142" s="72" t="str">
        <f aca="false">'Raw - Sessions'!K116</f>
        <v>BARBOURVILLE / CITY HALL</v>
      </c>
      <c r="C142" s="73" t="n">
        <f aca="false">IF(ISBLANK('Raw - Sessions'!U116),"",'Raw - Sessions'!T116)</f>
        <v>0.4</v>
      </c>
      <c r="D142" s="39" t="n">
        <f aca="false">'Raw - Sessions'!E116</f>
        <v>89.408302</v>
      </c>
      <c r="E142" s="44" t="n">
        <f aca="false">IF(ISBLANK('Raw - Sessions'!U116),"",'Raw - Sessions'!U116)</f>
        <v>56.38</v>
      </c>
      <c r="F142" s="44" t="n">
        <f aca="false">IF(ISBLANK('Raw - Sessions'!U116),"",'Raw - Sessions'!Z116)</f>
        <v>3.38</v>
      </c>
      <c r="G142" s="44" t="n">
        <f aca="false">IF(ISBLANK('Raw - Sessions'!U116),"",'Raw - Sessions'!AE116)</f>
        <v>0</v>
      </c>
      <c r="H142" s="44" t="n">
        <f aca="false">IF(ISBLANK('Raw - Sessions'!U116),"",'Raw - Sessions'!AD116)</f>
        <v>5.64</v>
      </c>
      <c r="I142" s="44" t="n">
        <f aca="false">IF(ISBLANK('Raw - Sessions'!U116),"",'Raw - Sessions'!P116)</f>
        <v>59.76</v>
      </c>
      <c r="J142" s="44" t="n">
        <f aca="false">IF(E142="","",E142+F142+G142+'Raw - Sessions'!AA116+'Raw - Sessions'!AB116+'Raw - Sessions'!AC116)</f>
        <v>59.76</v>
      </c>
      <c r="K142" s="44" t="n">
        <f aca="false">IF(E142="","",I142-J142)</f>
        <v>0</v>
      </c>
      <c r="L142" s="72" t="str">
        <f aca="false">IF(E142="","",IF(ABS(K142)&gt;0.02,"MISMATCH","OK"))</f>
        <v>OK</v>
      </c>
      <c r="M142" s="44" t="n">
        <f aca="false">IF(ISBLANK('Raw - Sessions'!U116),"",'Raw - Sessions'!Q116)</f>
        <v>50.74</v>
      </c>
      <c r="N142" s="44" t="n">
        <f aca="false">IF(E142="","",I142-G142-H142-F142)</f>
        <v>50.74</v>
      </c>
      <c r="O142" s="44" t="n">
        <f aca="false">IF(E142="","",M142-N142)</f>
        <v>0</v>
      </c>
      <c r="P142" s="72" t="str">
        <f aca="false">IF(E142="","",IF(ABS(O142)&gt;0.02,"MISMATCH","OK"))</f>
        <v>OK</v>
      </c>
    </row>
    <row r="143" customFormat="false" ht="15" hidden="false" customHeight="false" outlineLevel="0" collapsed="false">
      <c r="A143" s="70" t="n">
        <f aca="false">'Raw - Sessions'!A117</f>
        <v>4875087351</v>
      </c>
      <c r="B143" s="70" t="str">
        <f aca="false">'Raw - Sessions'!K117</f>
        <v>BARBOURVILLE / TOURISM</v>
      </c>
      <c r="C143" s="71" t="n">
        <f aca="false">IF(ISBLANK('Raw - Sessions'!U117),"",'Raw - Sessions'!T117)</f>
        <v>0.4</v>
      </c>
      <c r="D143" s="38" t="n">
        <f aca="false">'Raw - Sessions'!E117</f>
        <v>14.536746</v>
      </c>
      <c r="E143" s="42" t="n">
        <f aca="false">IF(ISBLANK('Raw - Sessions'!U117),"",'Raw - Sessions'!U117)</f>
        <v>23.56</v>
      </c>
      <c r="F143" s="42" t="n">
        <f aca="false">IF(ISBLANK('Raw - Sessions'!U117),"",'Raw - Sessions'!Z117)</f>
        <v>1.42</v>
      </c>
      <c r="G143" s="42" t="n">
        <f aca="false">IF(ISBLANK('Raw - Sessions'!U117),"",'Raw - Sessions'!AE117)</f>
        <v>0</v>
      </c>
      <c r="H143" s="42" t="n">
        <f aca="false">IF(ISBLANK('Raw - Sessions'!U117),"",'Raw - Sessions'!AD117)</f>
        <v>2.36</v>
      </c>
      <c r="I143" s="42" t="n">
        <f aca="false">IF(ISBLANK('Raw - Sessions'!U117),"",'Raw - Sessions'!P117)</f>
        <v>24.98</v>
      </c>
      <c r="J143" s="42" t="n">
        <f aca="false">IF(E143="","",E143+F143+G143+'Raw - Sessions'!AA117+'Raw - Sessions'!AB117+'Raw - Sessions'!AC117)</f>
        <v>24.98</v>
      </c>
      <c r="K143" s="42" t="n">
        <f aca="false">IF(E143="","",I143-J143)</f>
        <v>0</v>
      </c>
      <c r="L143" s="70" t="str">
        <f aca="false">IF(E143="","",IF(ABS(K143)&gt;0.02,"MISMATCH","OK"))</f>
        <v>OK</v>
      </c>
      <c r="M143" s="42" t="n">
        <f aca="false">IF(ISBLANK('Raw - Sessions'!U117),"",'Raw - Sessions'!Q117)</f>
        <v>21.2</v>
      </c>
      <c r="N143" s="42" t="n">
        <f aca="false">IF(E143="","",I143-G143-H143-F143)</f>
        <v>21.2</v>
      </c>
      <c r="O143" s="42" t="n">
        <f aca="false">IF(E143="","",M143-N143)</f>
        <v>0</v>
      </c>
      <c r="P143" s="70" t="str">
        <f aca="false">IF(E143="","",IF(ABS(O143)&gt;0.02,"MISMATCH","OK"))</f>
        <v>OK</v>
      </c>
    </row>
    <row r="144" customFormat="false" ht="15" hidden="false" customHeight="false" outlineLevel="0" collapsed="false">
      <c r="A144" s="72" t="n">
        <f aca="false">'Raw - Sessions'!A118</f>
        <v>4876786981</v>
      </c>
      <c r="B144" s="72" t="str">
        <f aca="false">'Raw - Sessions'!K118</f>
        <v>BARBOURVILLE / CITY HALL</v>
      </c>
      <c r="C144" s="73" t="n">
        <f aca="false">IF(ISBLANK('Raw - Sessions'!U118),"",'Raw - Sessions'!T118)</f>
        <v>0.4</v>
      </c>
      <c r="D144" s="39" t="n">
        <f aca="false">'Raw - Sessions'!E118</f>
        <v>31.8365</v>
      </c>
      <c r="E144" s="44" t="n">
        <f aca="false">IF(ISBLANK('Raw - Sessions'!U118),"",'Raw - Sessions'!U118)</f>
        <v>18.81</v>
      </c>
      <c r="F144" s="44" t="n">
        <f aca="false">IF(ISBLANK('Raw - Sessions'!U118),"",'Raw - Sessions'!Z118)</f>
        <v>1.13</v>
      </c>
      <c r="G144" s="44" t="n">
        <f aca="false">IF(ISBLANK('Raw - Sessions'!U118),"",'Raw - Sessions'!AE118)</f>
        <v>0</v>
      </c>
      <c r="H144" s="44" t="n">
        <f aca="false">IF(ISBLANK('Raw - Sessions'!U118),"",'Raw - Sessions'!AD118)</f>
        <v>1.88</v>
      </c>
      <c r="I144" s="44" t="n">
        <f aca="false">IF(ISBLANK('Raw - Sessions'!U118),"",'Raw - Sessions'!P118)</f>
        <v>19.94</v>
      </c>
      <c r="J144" s="44" t="n">
        <f aca="false">IF(E144="","",E144+F144+G144+'Raw - Sessions'!AA118+'Raw - Sessions'!AB118+'Raw - Sessions'!AC118)</f>
        <v>19.94</v>
      </c>
      <c r="K144" s="44" t="n">
        <f aca="false">IF(E144="","",I144-J144)</f>
        <v>0</v>
      </c>
      <c r="L144" s="72" t="str">
        <f aca="false">IF(E144="","",IF(ABS(K144)&gt;0.02,"MISMATCH","OK"))</f>
        <v>OK</v>
      </c>
      <c r="M144" s="44" t="n">
        <f aca="false">IF(ISBLANK('Raw - Sessions'!U118),"",'Raw - Sessions'!Q118)</f>
        <v>16.93</v>
      </c>
      <c r="N144" s="44" t="n">
        <f aca="false">IF(E144="","",I144-G144-H144-F144)</f>
        <v>16.93</v>
      </c>
      <c r="O144" s="44" t="n">
        <f aca="false">IF(E144="","",M144-N144)</f>
        <v>0</v>
      </c>
      <c r="P144" s="72" t="str">
        <f aca="false">IF(E144="","",IF(ABS(O144)&gt;0.02,"MISMATCH","OK"))</f>
        <v>OK</v>
      </c>
    </row>
    <row r="145" customFormat="false" ht="15" hidden="false" customHeight="false" outlineLevel="0" collapsed="false">
      <c r="A145" s="70" t="n">
        <f aca="false">'Raw - Sessions'!A119</f>
        <v>4883142921</v>
      </c>
      <c r="B145" s="70" t="str">
        <f aca="false">'Raw - Sessions'!K119</f>
        <v>BARBOURVILLE / CITY HALL</v>
      </c>
      <c r="C145" s="71" t="str">
        <f aca="false">IF(ISBLANK('Raw - Sessions'!U119),"",'Raw - Sessions'!T119)</f>
        <v/>
      </c>
      <c r="D145" s="38" t="n">
        <f aca="false">'Raw - Sessions'!E119</f>
        <v>0</v>
      </c>
      <c r="E145" s="42" t="str">
        <f aca="false">IF(ISBLANK('Raw - Sessions'!U119),"",'Raw - Sessions'!U119)</f>
        <v/>
      </c>
      <c r="F145" s="42" t="str">
        <f aca="false">IF(ISBLANK('Raw - Sessions'!U119),"",'Raw - Sessions'!Z119)</f>
        <v/>
      </c>
      <c r="G145" s="42" t="str">
        <f aca="false">IF(ISBLANK('Raw - Sessions'!U119),"",'Raw - Sessions'!AE119)</f>
        <v/>
      </c>
      <c r="H145" s="42" t="str">
        <f aca="false">IF(ISBLANK('Raw - Sessions'!U119),"",'Raw - Sessions'!AD119)</f>
        <v/>
      </c>
      <c r="I145" s="42" t="str">
        <f aca="false">IF(ISBLANK('Raw - Sessions'!U119),"",'Raw - Sessions'!P119)</f>
        <v/>
      </c>
      <c r="J145" s="42" t="str">
        <f aca="false">IF(E145="","",E145+F145+G145+'Raw - Sessions'!AA119+'Raw - Sessions'!AB119+'Raw - Sessions'!AC119)</f>
        <v/>
      </c>
      <c r="K145" s="42" t="str">
        <f aca="false">IF(E145="","",I145-J145)</f>
        <v/>
      </c>
      <c r="L145" s="70" t="str">
        <f aca="false">IF(E145="","",IF(ABS(K145)&gt;0.02,"MISMATCH","OK"))</f>
        <v/>
      </c>
      <c r="M145" s="42" t="str">
        <f aca="false">IF(ISBLANK('Raw - Sessions'!U119),"",'Raw - Sessions'!Q119)</f>
        <v/>
      </c>
      <c r="N145" s="42" t="str">
        <f aca="false">IF(E145="","",I145-G145-H145-F145)</f>
        <v/>
      </c>
      <c r="O145" s="42" t="str">
        <f aca="false">IF(E145="","",M145-N145)</f>
        <v/>
      </c>
      <c r="P145" s="70" t="str">
        <f aca="false">IF(E145="","",IF(ABS(O145)&gt;0.02,"MISMATCH","OK"))</f>
        <v/>
      </c>
    </row>
    <row r="146" customFormat="false" ht="15" hidden="false" customHeight="false" outlineLevel="0" collapsed="false">
      <c r="A146" s="72" t="n">
        <f aca="false">'Raw - Sessions'!A120</f>
        <v>4883146261</v>
      </c>
      <c r="B146" s="72" t="str">
        <f aca="false">'Raw - Sessions'!K120</f>
        <v>BARBOURVILLE / CITY HALL</v>
      </c>
      <c r="C146" s="73" t="n">
        <f aca="false">IF(ISBLANK('Raw - Sessions'!U120),"",'Raw - Sessions'!T120)</f>
        <v>0.4</v>
      </c>
      <c r="D146" s="39" t="n">
        <f aca="false">'Raw - Sessions'!E120</f>
        <v>17.5867</v>
      </c>
      <c r="E146" s="44" t="n">
        <f aca="false">IF(ISBLANK('Raw - Sessions'!U120),"",'Raw - Sessions'!U120)</f>
        <v>10.32</v>
      </c>
      <c r="F146" s="44" t="n">
        <f aca="false">IF(ISBLANK('Raw - Sessions'!U120),"",'Raw - Sessions'!Z120)</f>
        <v>0.62</v>
      </c>
      <c r="G146" s="44" t="n">
        <f aca="false">IF(ISBLANK('Raw - Sessions'!U120),"",'Raw - Sessions'!AE120)</f>
        <v>0</v>
      </c>
      <c r="H146" s="44" t="n">
        <f aca="false">IF(ISBLANK('Raw - Sessions'!U120),"",'Raw - Sessions'!AD120)</f>
        <v>1.03</v>
      </c>
      <c r="I146" s="44" t="n">
        <f aca="false">IF(ISBLANK('Raw - Sessions'!U120),"",'Raw - Sessions'!P120)</f>
        <v>10.94</v>
      </c>
      <c r="J146" s="44" t="n">
        <f aca="false">IF(E146="","",E146+F146+G146+'Raw - Sessions'!AA120+'Raw - Sessions'!AB120+'Raw - Sessions'!AC120)</f>
        <v>10.94</v>
      </c>
      <c r="K146" s="44" t="n">
        <f aca="false">IF(E146="","",I146-J146)</f>
        <v>0</v>
      </c>
      <c r="L146" s="72" t="str">
        <f aca="false">IF(E146="","",IF(ABS(K146)&gt;0.02,"MISMATCH","OK"))</f>
        <v>OK</v>
      </c>
      <c r="M146" s="44" t="n">
        <f aca="false">IF(ISBLANK('Raw - Sessions'!U120),"",'Raw - Sessions'!Q120)</f>
        <v>9.29</v>
      </c>
      <c r="N146" s="44" t="n">
        <f aca="false">IF(E146="","",I146-G146-H146-F146)</f>
        <v>9.29</v>
      </c>
      <c r="O146" s="44" t="n">
        <f aca="false">IF(E146="","",M146-N146)</f>
        <v>0</v>
      </c>
      <c r="P146" s="72" t="str">
        <f aca="false">IF(E146="","",IF(ABS(O146)&gt;0.02,"MISMATCH","OK"))</f>
        <v>OK</v>
      </c>
    </row>
    <row r="147" customFormat="false" ht="15" hidden="false" customHeight="false" outlineLevel="0" collapsed="false">
      <c r="A147" s="70" t="n">
        <f aca="false">'Raw - Sessions'!A121</f>
        <v>4884695201</v>
      </c>
      <c r="B147" s="70" t="str">
        <f aca="false">'Raw - Sessions'!K121</f>
        <v>BARBOURVILLE / CITY HALL</v>
      </c>
      <c r="C147" s="71" t="str">
        <f aca="false">IF(ISBLANK('Raw - Sessions'!U121),"",'Raw - Sessions'!T121)</f>
        <v/>
      </c>
      <c r="D147" s="38" t="n">
        <f aca="false">'Raw - Sessions'!E121</f>
        <v>0</v>
      </c>
      <c r="E147" s="42" t="str">
        <f aca="false">IF(ISBLANK('Raw - Sessions'!U121),"",'Raw - Sessions'!U121)</f>
        <v/>
      </c>
      <c r="F147" s="42" t="str">
        <f aca="false">IF(ISBLANK('Raw - Sessions'!U121),"",'Raw - Sessions'!Z121)</f>
        <v/>
      </c>
      <c r="G147" s="42" t="str">
        <f aca="false">IF(ISBLANK('Raw - Sessions'!U121),"",'Raw - Sessions'!AE121)</f>
        <v/>
      </c>
      <c r="H147" s="42" t="str">
        <f aca="false">IF(ISBLANK('Raw - Sessions'!U121),"",'Raw - Sessions'!AD121)</f>
        <v/>
      </c>
      <c r="I147" s="42" t="str">
        <f aca="false">IF(ISBLANK('Raw - Sessions'!U121),"",'Raw - Sessions'!P121)</f>
        <v/>
      </c>
      <c r="J147" s="42" t="str">
        <f aca="false">IF(E147="","",E147+F147+G147+'Raw - Sessions'!AA121+'Raw - Sessions'!AB121+'Raw - Sessions'!AC121)</f>
        <v/>
      </c>
      <c r="K147" s="42" t="str">
        <f aca="false">IF(E147="","",I147-J147)</f>
        <v/>
      </c>
      <c r="L147" s="70" t="str">
        <f aca="false">IF(E147="","",IF(ABS(K147)&gt;0.02,"MISMATCH","OK"))</f>
        <v/>
      </c>
      <c r="M147" s="42" t="str">
        <f aca="false">IF(ISBLANK('Raw - Sessions'!U121),"",'Raw - Sessions'!Q121)</f>
        <v/>
      </c>
      <c r="N147" s="42" t="str">
        <f aca="false">IF(E147="","",I147-G147-H147-F147)</f>
        <v/>
      </c>
      <c r="O147" s="42" t="str">
        <f aca="false">IF(E147="","",M147-N147)</f>
        <v/>
      </c>
      <c r="P147" s="70" t="str">
        <f aca="false">IF(E147="","",IF(ABS(O147)&gt;0.02,"MISMATCH","OK"))</f>
        <v/>
      </c>
    </row>
    <row r="148" customFormat="false" ht="15" hidden="false" customHeight="false" outlineLevel="0" collapsed="false">
      <c r="A148" s="72" t="n">
        <f aca="false">'Raw - Sessions'!A122</f>
        <v>4884702511</v>
      </c>
      <c r="B148" s="72" t="str">
        <f aca="false">'Raw - Sessions'!K122</f>
        <v>BARBOURVILLE / CITY HALL</v>
      </c>
      <c r="C148" s="73" t="n">
        <f aca="false">IF(ISBLANK('Raw - Sessions'!U122),"",'Raw - Sessions'!T122)</f>
        <v>0.4</v>
      </c>
      <c r="D148" s="39" t="n">
        <f aca="false">'Raw - Sessions'!E122</f>
        <v>11.6388</v>
      </c>
      <c r="E148" s="44" t="n">
        <f aca="false">IF(ISBLANK('Raw - Sessions'!U122),"",'Raw - Sessions'!U122)</f>
        <v>6.96</v>
      </c>
      <c r="F148" s="44" t="n">
        <f aca="false">IF(ISBLANK('Raw - Sessions'!U122),"",'Raw - Sessions'!Z122)</f>
        <v>0.42</v>
      </c>
      <c r="G148" s="44" t="n">
        <f aca="false">IF(ISBLANK('Raw - Sessions'!U122),"",'Raw - Sessions'!AE122)</f>
        <v>0</v>
      </c>
      <c r="H148" s="44" t="n">
        <f aca="false">IF(ISBLANK('Raw - Sessions'!U122),"",'Raw - Sessions'!AD122)</f>
        <v>0.7</v>
      </c>
      <c r="I148" s="44" t="n">
        <f aca="false">IF(ISBLANK('Raw - Sessions'!U122),"",'Raw - Sessions'!P122)</f>
        <v>7.38</v>
      </c>
      <c r="J148" s="44" t="n">
        <f aca="false">IF(E148="","",E148+F148+G148+'Raw - Sessions'!AA122+'Raw - Sessions'!AB122+'Raw - Sessions'!AC122)</f>
        <v>7.38</v>
      </c>
      <c r="K148" s="44" t="n">
        <f aca="false">IF(E148="","",I148-J148)</f>
        <v>0</v>
      </c>
      <c r="L148" s="72" t="str">
        <f aca="false">IF(E148="","",IF(ABS(K148)&gt;0.02,"MISMATCH","OK"))</f>
        <v>OK</v>
      </c>
      <c r="M148" s="44" t="n">
        <f aca="false">IF(ISBLANK('Raw - Sessions'!U122),"",'Raw - Sessions'!Q122)</f>
        <v>6.26</v>
      </c>
      <c r="N148" s="44" t="n">
        <f aca="false">IF(E148="","",I148-G148-H148-F148)</f>
        <v>6.26</v>
      </c>
      <c r="O148" s="44" t="n">
        <f aca="false">IF(E148="","",M148-N148)</f>
        <v>0</v>
      </c>
      <c r="P148" s="72" t="str">
        <f aca="false">IF(E148="","",IF(ABS(O148)&gt;0.02,"MISMATCH","OK"))</f>
        <v>OK</v>
      </c>
    </row>
    <row r="149" customFormat="false" ht="15" hidden="false" customHeight="false" outlineLevel="0" collapsed="false">
      <c r="A149" s="70" t="n">
        <f aca="false">'Raw - Sessions'!A123</f>
        <v>4886409211</v>
      </c>
      <c r="B149" s="70" t="str">
        <f aca="false">'Raw - Sessions'!K123</f>
        <v>BARBOURVILLE / TOURISM</v>
      </c>
      <c r="C149" s="71" t="n">
        <f aca="false">IF(ISBLANK('Raw - Sessions'!U123),"",'Raw - Sessions'!T123)</f>
        <v>0.4</v>
      </c>
      <c r="D149" s="38" t="n">
        <f aca="false">'Raw - Sessions'!E123</f>
        <v>8.101705</v>
      </c>
      <c r="E149" s="42" t="n">
        <f aca="false">IF(ISBLANK('Raw - Sessions'!U123),"",'Raw - Sessions'!U123)</f>
        <v>9.89</v>
      </c>
      <c r="F149" s="42" t="n">
        <f aca="false">IF(ISBLANK('Raw - Sessions'!U123),"",'Raw - Sessions'!Z123)</f>
        <v>0.59</v>
      </c>
      <c r="G149" s="42" t="n">
        <f aca="false">IF(ISBLANK('Raw - Sessions'!U123),"",'Raw - Sessions'!AE123)</f>
        <v>0</v>
      </c>
      <c r="H149" s="42" t="n">
        <f aca="false">IF(ISBLANK('Raw - Sessions'!U123),"",'Raw - Sessions'!AD123)</f>
        <v>0.99</v>
      </c>
      <c r="I149" s="42" t="n">
        <f aca="false">IF(ISBLANK('Raw - Sessions'!U123),"",'Raw - Sessions'!P123)</f>
        <v>10.48</v>
      </c>
      <c r="J149" s="42" t="n">
        <f aca="false">IF(E149="","",E149+F149+G149+'Raw - Sessions'!AA123+'Raw - Sessions'!AB123+'Raw - Sessions'!AC123)</f>
        <v>10.48</v>
      </c>
      <c r="K149" s="42" t="n">
        <f aca="false">IF(E149="","",I149-J149)</f>
        <v>0</v>
      </c>
      <c r="L149" s="70" t="str">
        <f aca="false">IF(E149="","",IF(ABS(K149)&gt;0.02,"MISMATCH","OK"))</f>
        <v>OK</v>
      </c>
      <c r="M149" s="42" t="n">
        <f aca="false">IF(ISBLANK('Raw - Sessions'!U123),"",'Raw - Sessions'!Q123)</f>
        <v>8.9</v>
      </c>
      <c r="N149" s="42" t="n">
        <f aca="false">IF(E149="","",I149-G149-H149-F149)</f>
        <v>8.9</v>
      </c>
      <c r="O149" s="42" t="n">
        <f aca="false">IF(E149="","",M149-N149)</f>
        <v>0</v>
      </c>
      <c r="P149" s="70" t="str">
        <f aca="false">IF(E149="","",IF(ABS(O149)&gt;0.02,"MISMATCH","OK"))</f>
        <v>OK</v>
      </c>
    </row>
    <row r="150" customFormat="false" ht="15" hidden="false" customHeight="false" outlineLevel="0" collapsed="false">
      <c r="A150" s="72" t="n">
        <f aca="false">'Raw - Sessions'!A124</f>
        <v>4888019241</v>
      </c>
      <c r="B150" s="72" t="str">
        <f aca="false">'Raw - Sessions'!K124</f>
        <v>BARBOURVILLE / CITY HALL</v>
      </c>
      <c r="C150" s="73" t="n">
        <f aca="false">IF(ISBLANK('Raw - Sessions'!U124),"",'Raw - Sessions'!T124)</f>
        <v>0.4</v>
      </c>
      <c r="D150" s="39" t="n">
        <f aca="false">'Raw - Sessions'!E124</f>
        <v>11.6894</v>
      </c>
      <c r="E150" s="44" t="n">
        <f aca="false">IF(ISBLANK('Raw - Sessions'!U124),"",'Raw - Sessions'!U124)</f>
        <v>7.02</v>
      </c>
      <c r="F150" s="44" t="n">
        <f aca="false">IF(ISBLANK('Raw - Sessions'!U124),"",'Raw - Sessions'!Z124)</f>
        <v>0.42</v>
      </c>
      <c r="G150" s="44" t="n">
        <f aca="false">IF(ISBLANK('Raw - Sessions'!U124),"",'Raw - Sessions'!AE124)</f>
        <v>0</v>
      </c>
      <c r="H150" s="44" t="n">
        <f aca="false">IF(ISBLANK('Raw - Sessions'!U124),"",'Raw - Sessions'!AD124)</f>
        <v>0.7</v>
      </c>
      <c r="I150" s="44" t="n">
        <f aca="false">IF(ISBLANK('Raw - Sessions'!U124),"",'Raw - Sessions'!P124)</f>
        <v>7.44</v>
      </c>
      <c r="J150" s="44" t="n">
        <f aca="false">IF(E150="","",E150+F150+G150+'Raw - Sessions'!AA124+'Raw - Sessions'!AB124+'Raw - Sessions'!AC124)</f>
        <v>7.44</v>
      </c>
      <c r="K150" s="44" t="n">
        <f aca="false">IF(E150="","",I150-J150)</f>
        <v>0</v>
      </c>
      <c r="L150" s="72" t="str">
        <f aca="false">IF(E150="","",IF(ABS(K150)&gt;0.02,"MISMATCH","OK"))</f>
        <v>OK</v>
      </c>
      <c r="M150" s="44" t="n">
        <f aca="false">IF(ISBLANK('Raw - Sessions'!U124),"",'Raw - Sessions'!Q124)</f>
        <v>6.32</v>
      </c>
      <c r="N150" s="44" t="n">
        <f aca="false">IF(E150="","",I150-G150-H150-F150)</f>
        <v>6.32</v>
      </c>
      <c r="O150" s="44" t="n">
        <f aca="false">IF(E150="","",M150-N150)</f>
        <v>0</v>
      </c>
      <c r="P150" s="72" t="str">
        <f aca="false">IF(E150="","",IF(ABS(O150)&gt;0.02,"MISMATCH","OK"))</f>
        <v>OK</v>
      </c>
    </row>
    <row r="151" customFormat="false" ht="15" hidden="false" customHeight="false" outlineLevel="0" collapsed="false">
      <c r="A151" s="70" t="n">
        <f aca="false">'Raw - Sessions'!A125</f>
        <v>4889971981</v>
      </c>
      <c r="B151" s="70" t="str">
        <f aca="false">'Raw - Sessions'!K125</f>
        <v>BARBOURVILLE / CITY HALL</v>
      </c>
      <c r="C151" s="71" t="n">
        <f aca="false">IF(ISBLANK('Raw - Sessions'!U125),"",'Raw - Sessions'!T125)</f>
        <v>0.4</v>
      </c>
      <c r="D151" s="38" t="n">
        <f aca="false">'Raw - Sessions'!E125</f>
        <v>16.996799</v>
      </c>
      <c r="E151" s="42" t="n">
        <f aca="false">IF(ISBLANK('Raw - Sessions'!U125),"",'Raw - Sessions'!U125)</f>
        <v>10.05</v>
      </c>
      <c r="F151" s="42" t="n">
        <f aca="false">IF(ISBLANK('Raw - Sessions'!U125),"",'Raw - Sessions'!Z125)</f>
        <v>0.6</v>
      </c>
      <c r="G151" s="42" t="n">
        <f aca="false">IF(ISBLANK('Raw - Sessions'!U125),"",'Raw - Sessions'!AE125)</f>
        <v>0</v>
      </c>
      <c r="H151" s="42" t="n">
        <f aca="false">IF(ISBLANK('Raw - Sessions'!U125),"",'Raw - Sessions'!AD125)</f>
        <v>1</v>
      </c>
      <c r="I151" s="42" t="n">
        <f aca="false">IF(ISBLANK('Raw - Sessions'!U125),"",'Raw - Sessions'!P125)</f>
        <v>10.65</v>
      </c>
      <c r="J151" s="42" t="n">
        <f aca="false">IF(E151="","",E151+F151+G151+'Raw - Sessions'!AA125+'Raw - Sessions'!AB125+'Raw - Sessions'!AC125)</f>
        <v>10.65</v>
      </c>
      <c r="K151" s="42" t="n">
        <f aca="false">IF(E151="","",I151-J151)</f>
        <v>0</v>
      </c>
      <c r="L151" s="70" t="str">
        <f aca="false">IF(E151="","",IF(ABS(K151)&gt;0.02,"MISMATCH","OK"))</f>
        <v>OK</v>
      </c>
      <c r="M151" s="42" t="n">
        <f aca="false">IF(ISBLANK('Raw - Sessions'!U125),"",'Raw - Sessions'!Q125)</f>
        <v>9.05</v>
      </c>
      <c r="N151" s="42" t="n">
        <f aca="false">IF(E151="","",I151-G151-H151-F151)</f>
        <v>9.05</v>
      </c>
      <c r="O151" s="42" t="n">
        <f aca="false">IF(E151="","",M151-N151)</f>
        <v>0</v>
      </c>
      <c r="P151" s="70" t="str">
        <f aca="false">IF(E151="","",IF(ABS(O151)&gt;0.02,"MISMATCH","OK"))</f>
        <v>OK</v>
      </c>
    </row>
    <row r="152" customFormat="false" ht="15" hidden="false" customHeight="false" outlineLevel="0" collapsed="false">
      <c r="A152" s="72" t="n">
        <f aca="false">'Raw - Sessions'!A126</f>
        <v>4890382581</v>
      </c>
      <c r="B152" s="72" t="str">
        <f aca="false">'Raw - Sessions'!K126</f>
        <v>BARBOURVILLE / CITY HALL</v>
      </c>
      <c r="C152" s="73" t="n">
        <f aca="false">IF(ISBLANK('Raw - Sessions'!U126),"",'Raw - Sessions'!T126)</f>
        <v>0.4</v>
      </c>
      <c r="D152" s="39" t="n">
        <f aca="false">'Raw - Sessions'!E126</f>
        <v>45.560398</v>
      </c>
      <c r="E152" s="44" t="n">
        <f aca="false">IF(ISBLANK('Raw - Sessions'!U126),"",'Raw - Sessions'!U126)</f>
        <v>26.96</v>
      </c>
      <c r="F152" s="44" t="n">
        <f aca="false">IF(ISBLANK('Raw - Sessions'!U126),"",'Raw - Sessions'!Z126)</f>
        <v>1.62</v>
      </c>
      <c r="G152" s="44" t="n">
        <f aca="false">IF(ISBLANK('Raw - Sessions'!U126),"",'Raw - Sessions'!AE126)</f>
        <v>0</v>
      </c>
      <c r="H152" s="44" t="n">
        <f aca="false">IF(ISBLANK('Raw - Sessions'!U126),"",'Raw - Sessions'!AD126)</f>
        <v>2.7</v>
      </c>
      <c r="I152" s="44" t="n">
        <f aca="false">IF(ISBLANK('Raw - Sessions'!U126),"",'Raw - Sessions'!P126)</f>
        <v>28.58</v>
      </c>
      <c r="J152" s="44" t="n">
        <f aca="false">IF(E152="","",E152+F152+G152+'Raw - Sessions'!AA126+'Raw - Sessions'!AB126+'Raw - Sessions'!AC126)</f>
        <v>28.58</v>
      </c>
      <c r="K152" s="44" t="n">
        <f aca="false">IF(E152="","",I152-J152)</f>
        <v>0</v>
      </c>
      <c r="L152" s="72" t="str">
        <f aca="false">IF(E152="","",IF(ABS(K152)&gt;0.02,"MISMATCH","OK"))</f>
        <v>OK</v>
      </c>
      <c r="M152" s="44" t="n">
        <f aca="false">IF(ISBLANK('Raw - Sessions'!U126),"",'Raw - Sessions'!Q126)</f>
        <v>24.26</v>
      </c>
      <c r="N152" s="44" t="n">
        <f aca="false">IF(E152="","",I152-G152-H152-F152)</f>
        <v>24.26</v>
      </c>
      <c r="O152" s="44" t="n">
        <f aca="false">IF(E152="","",M152-N152)</f>
        <v>0</v>
      </c>
      <c r="P152" s="72" t="str">
        <f aca="false">IF(E152="","",IF(ABS(O152)&gt;0.02,"MISMATCH","OK"))</f>
        <v>OK</v>
      </c>
    </row>
    <row r="153" customFormat="false" ht="15" hidden="false" customHeight="false" outlineLevel="0" collapsed="false">
      <c r="A153" s="70" t="n">
        <f aca="false">'Raw - Sessions'!A127</f>
        <v>4900441001</v>
      </c>
      <c r="B153" s="70" t="str">
        <f aca="false">'Raw - Sessions'!K127</f>
        <v>BARBOURVILLE / TOURISM</v>
      </c>
      <c r="C153" s="71" t="str">
        <f aca="false">IF(ISBLANK('Raw - Sessions'!U127),"",'Raw - Sessions'!T127)</f>
        <v/>
      </c>
      <c r="D153" s="38" t="n">
        <f aca="false">'Raw - Sessions'!E127</f>
        <v>0</v>
      </c>
      <c r="E153" s="42" t="str">
        <f aca="false">IF(ISBLANK('Raw - Sessions'!U127),"",'Raw - Sessions'!U127)</f>
        <v/>
      </c>
      <c r="F153" s="42" t="str">
        <f aca="false">IF(ISBLANK('Raw - Sessions'!U127),"",'Raw - Sessions'!Z127)</f>
        <v/>
      </c>
      <c r="G153" s="42" t="str">
        <f aca="false">IF(ISBLANK('Raw - Sessions'!U127),"",'Raw - Sessions'!AE127)</f>
        <v/>
      </c>
      <c r="H153" s="42" t="str">
        <f aca="false">IF(ISBLANK('Raw - Sessions'!U127),"",'Raw - Sessions'!AD127)</f>
        <v/>
      </c>
      <c r="I153" s="42" t="str">
        <f aca="false">IF(ISBLANK('Raw - Sessions'!U127),"",'Raw - Sessions'!P127)</f>
        <v/>
      </c>
      <c r="J153" s="42" t="str">
        <f aca="false">IF(E153="","",E153+F153+G153+'Raw - Sessions'!AA127+'Raw - Sessions'!AB127+'Raw - Sessions'!AC127)</f>
        <v/>
      </c>
      <c r="K153" s="42" t="str">
        <f aca="false">IF(E153="","",I153-J153)</f>
        <v/>
      </c>
      <c r="L153" s="70" t="str">
        <f aca="false">IF(E153="","",IF(ABS(K153)&gt;0.02,"MISMATCH","OK"))</f>
        <v/>
      </c>
      <c r="M153" s="42" t="str">
        <f aca="false">IF(ISBLANK('Raw - Sessions'!U127),"",'Raw - Sessions'!Q127)</f>
        <v/>
      </c>
      <c r="N153" s="42" t="str">
        <f aca="false">IF(E153="","",I153-G153-H153-F153)</f>
        <v/>
      </c>
      <c r="O153" s="42" t="str">
        <f aca="false">IF(E153="","",M153-N153)</f>
        <v/>
      </c>
      <c r="P153" s="70" t="str">
        <f aca="false">IF(E153="","",IF(ABS(O153)&gt;0.02,"MISMATCH","OK"))</f>
        <v/>
      </c>
    </row>
    <row r="154" customFormat="false" ht="15" hidden="false" customHeight="false" outlineLevel="0" collapsed="false">
      <c r="A154" s="72" t="n">
        <f aca="false">'Raw - Sessions'!A128</f>
        <v>4900439591</v>
      </c>
      <c r="B154" s="72" t="str">
        <f aca="false">'Raw - Sessions'!K128</f>
        <v>BARBOURVILLE / CITY HALL</v>
      </c>
      <c r="C154" s="73" t="n">
        <f aca="false">IF(ISBLANK('Raw - Sessions'!U128),"",'Raw - Sessions'!T128)</f>
        <v>0.4</v>
      </c>
      <c r="D154" s="39" t="n">
        <f aca="false">'Raw - Sessions'!E128</f>
        <v>14.9908</v>
      </c>
      <c r="E154" s="44" t="n">
        <f aca="false">IF(ISBLANK('Raw - Sessions'!U128),"",'Raw - Sessions'!U128)</f>
        <v>8.91</v>
      </c>
      <c r="F154" s="44" t="n">
        <f aca="false">IF(ISBLANK('Raw - Sessions'!U128),"",'Raw - Sessions'!Z128)</f>
        <v>0.53</v>
      </c>
      <c r="G154" s="44" t="n">
        <f aca="false">IF(ISBLANK('Raw - Sessions'!U128),"",'Raw - Sessions'!AE128)</f>
        <v>0</v>
      </c>
      <c r="H154" s="44" t="n">
        <f aca="false">IF(ISBLANK('Raw - Sessions'!U128),"",'Raw - Sessions'!AD128)</f>
        <v>0.89</v>
      </c>
      <c r="I154" s="44" t="n">
        <f aca="false">IF(ISBLANK('Raw - Sessions'!U128),"",'Raw - Sessions'!P128)</f>
        <v>9.44</v>
      </c>
      <c r="J154" s="44" t="n">
        <f aca="false">IF(E154="","",E154+F154+G154+'Raw - Sessions'!AA128+'Raw - Sessions'!AB128+'Raw - Sessions'!AC128)</f>
        <v>9.44</v>
      </c>
      <c r="K154" s="44" t="n">
        <f aca="false">IF(E154="","",I154-J154)</f>
        <v>0</v>
      </c>
      <c r="L154" s="72" t="str">
        <f aca="false">IF(E154="","",IF(ABS(K154)&gt;0.02,"MISMATCH","OK"))</f>
        <v>OK</v>
      </c>
      <c r="M154" s="44" t="n">
        <f aca="false">IF(ISBLANK('Raw - Sessions'!U128),"",'Raw - Sessions'!Q128)</f>
        <v>8.02</v>
      </c>
      <c r="N154" s="44" t="n">
        <f aca="false">IF(E154="","",I154-G154-H154-F154)</f>
        <v>8.02</v>
      </c>
      <c r="O154" s="44" t="n">
        <f aca="false">IF(E154="","",M154-N154)</f>
        <v>0</v>
      </c>
      <c r="P154" s="72" t="str">
        <f aca="false">IF(E154="","",IF(ABS(O154)&gt;0.02,"MISMATCH","OK"))</f>
        <v>OK</v>
      </c>
    </row>
    <row r="155" customFormat="false" ht="15" hidden="false" customHeight="false" outlineLevel="0" collapsed="false">
      <c r="A155" s="70" t="n">
        <f aca="false">'Raw - Sessions'!A129</f>
        <v>4900744161</v>
      </c>
      <c r="B155" s="70" t="str">
        <f aca="false">'Raw - Sessions'!K129</f>
        <v>BARBOURVILLE / CITY HALL</v>
      </c>
      <c r="C155" s="71" t="n">
        <f aca="false">IF(ISBLANK('Raw - Sessions'!U129),"",'Raw - Sessions'!T129)</f>
        <v>0.4</v>
      </c>
      <c r="D155" s="38" t="n">
        <f aca="false">'Raw - Sessions'!E129</f>
        <v>62.445</v>
      </c>
      <c r="E155" s="42" t="n">
        <f aca="false">IF(ISBLANK('Raw - Sessions'!U129),"",'Raw - Sessions'!U129)</f>
        <v>37.17</v>
      </c>
      <c r="F155" s="42" t="n">
        <f aca="false">IF(ISBLANK('Raw - Sessions'!U129),"",'Raw - Sessions'!Z129)</f>
        <v>2.23</v>
      </c>
      <c r="G155" s="42" t="n">
        <f aca="false">IF(ISBLANK('Raw - Sessions'!U129),"",'Raw - Sessions'!AE129)</f>
        <v>0</v>
      </c>
      <c r="H155" s="42" t="n">
        <f aca="false">IF(ISBLANK('Raw - Sessions'!U129),"",'Raw - Sessions'!AD129)</f>
        <v>3.72</v>
      </c>
      <c r="I155" s="42" t="n">
        <f aca="false">IF(ISBLANK('Raw - Sessions'!U129),"",'Raw - Sessions'!P129)</f>
        <v>39.4</v>
      </c>
      <c r="J155" s="42" t="n">
        <f aca="false">IF(E155="","",E155+F155+G155+'Raw - Sessions'!AA129+'Raw - Sessions'!AB129+'Raw - Sessions'!AC129)</f>
        <v>39.4</v>
      </c>
      <c r="K155" s="42" t="n">
        <f aca="false">IF(E155="","",I155-J155)</f>
        <v>0</v>
      </c>
      <c r="L155" s="70" t="str">
        <f aca="false">IF(E155="","",IF(ABS(K155)&gt;0.02,"MISMATCH","OK"))</f>
        <v>OK</v>
      </c>
      <c r="M155" s="42" t="n">
        <f aca="false">IF(ISBLANK('Raw - Sessions'!U129),"",'Raw - Sessions'!Q129)</f>
        <v>33.45</v>
      </c>
      <c r="N155" s="42" t="n">
        <f aca="false">IF(E155="","",I155-G155-H155-F155)</f>
        <v>33.45</v>
      </c>
      <c r="O155" s="42" t="n">
        <f aca="false">IF(E155="","",M155-N155)</f>
        <v>0</v>
      </c>
      <c r="P155" s="70" t="str">
        <f aca="false">IF(E155="","",IF(ABS(O155)&gt;0.02,"MISMATCH","OK"))</f>
        <v>OK</v>
      </c>
    </row>
    <row r="156" customFormat="false" ht="15" hidden="false" customHeight="false" outlineLevel="0" collapsed="false">
      <c r="A156" s="72" t="n">
        <f aca="false">'Raw - Sessions'!A130</f>
        <v>4902145451</v>
      </c>
      <c r="B156" s="72" t="str">
        <f aca="false">'Raw - Sessions'!K130</f>
        <v>BARBOURVILLE / CITY HALL</v>
      </c>
      <c r="C156" s="73" t="n">
        <f aca="false">IF(ISBLANK('Raw - Sessions'!U130),"",'Raw - Sessions'!T130)</f>
        <v>0.4</v>
      </c>
      <c r="D156" s="39" t="n">
        <f aca="false">'Raw - Sessions'!E130</f>
        <v>37.776299</v>
      </c>
      <c r="E156" s="44" t="n">
        <f aca="false">IF(ISBLANK('Raw - Sessions'!U130),"",'Raw - Sessions'!U130)</f>
        <v>22.13</v>
      </c>
      <c r="F156" s="44" t="n">
        <f aca="false">IF(ISBLANK('Raw - Sessions'!U130),"",'Raw - Sessions'!Z130)</f>
        <v>1.32</v>
      </c>
      <c r="G156" s="44" t="n">
        <f aca="false">IF(ISBLANK('Raw - Sessions'!U130),"",'Raw - Sessions'!AE130)</f>
        <v>0</v>
      </c>
      <c r="H156" s="44" t="n">
        <f aca="false">IF(ISBLANK('Raw - Sessions'!U130),"",'Raw - Sessions'!AD130)</f>
        <v>2.21</v>
      </c>
      <c r="I156" s="44" t="n">
        <f aca="false">IF(ISBLANK('Raw - Sessions'!U130),"",'Raw - Sessions'!P130)</f>
        <v>23.45</v>
      </c>
      <c r="J156" s="44" t="n">
        <f aca="false">IF(E156="","",E156+F156+G156+'Raw - Sessions'!AA130+'Raw - Sessions'!AB130+'Raw - Sessions'!AC130)</f>
        <v>23.45</v>
      </c>
      <c r="K156" s="44" t="n">
        <f aca="false">IF(E156="","",I156-J156)</f>
        <v>0</v>
      </c>
      <c r="L156" s="72" t="str">
        <f aca="false">IF(E156="","",IF(ABS(K156)&gt;0.02,"MISMATCH","OK"))</f>
        <v>OK</v>
      </c>
      <c r="M156" s="44" t="n">
        <f aca="false">IF(ISBLANK('Raw - Sessions'!U130),"",'Raw - Sessions'!Q130)</f>
        <v>19.92</v>
      </c>
      <c r="N156" s="44" t="n">
        <f aca="false">IF(E156="","",I156-G156-H156-F156)</f>
        <v>19.92</v>
      </c>
      <c r="O156" s="44" t="n">
        <f aca="false">IF(E156="","",M156-N156)</f>
        <v>0</v>
      </c>
      <c r="P156" s="72" t="str">
        <f aca="false">IF(E156="","",IF(ABS(O156)&gt;0.02,"MISMATCH","OK"))</f>
        <v>OK</v>
      </c>
    </row>
    <row r="157" customFormat="false" ht="15" hidden="false" customHeight="false" outlineLevel="0" collapsed="false">
      <c r="A157" s="70" t="n">
        <f aca="false">'Raw - Sessions'!A131</f>
        <v>4902368671</v>
      </c>
      <c r="B157" s="70" t="str">
        <f aca="false">'Raw - Sessions'!K131</f>
        <v>BARBOURVILLE / CITY HALL</v>
      </c>
      <c r="C157" s="71" t="n">
        <f aca="false">IF(ISBLANK('Raw - Sessions'!U131),"",'Raw - Sessions'!T131)</f>
        <v>0.4</v>
      </c>
      <c r="D157" s="38" t="n">
        <f aca="false">'Raw - Sessions'!E131</f>
        <v>0.7749</v>
      </c>
      <c r="E157" s="42" t="n">
        <f aca="false">IF(ISBLANK('Raw - Sessions'!U131),"",'Raw - Sessions'!U131)</f>
        <v>0.39</v>
      </c>
      <c r="F157" s="42" t="n">
        <f aca="false">IF(ISBLANK('Raw - Sessions'!U131),"",'Raw - Sessions'!Z131)</f>
        <v>0.02</v>
      </c>
      <c r="G157" s="42" t="n">
        <f aca="false">IF(ISBLANK('Raw - Sessions'!U131),"",'Raw - Sessions'!AE131)</f>
        <v>0</v>
      </c>
      <c r="H157" s="42" t="n">
        <f aca="false">IF(ISBLANK('Raw - Sessions'!U131),"",'Raw - Sessions'!AD131)</f>
        <v>0.04</v>
      </c>
      <c r="I157" s="42" t="n">
        <f aca="false">IF(ISBLANK('Raw - Sessions'!U131),"",'Raw - Sessions'!P131)</f>
        <v>0.41</v>
      </c>
      <c r="J157" s="42" t="n">
        <f aca="false">IF(E157="","",E157+F157+G157+'Raw - Sessions'!AA131+'Raw - Sessions'!AB131+'Raw - Sessions'!AC131)</f>
        <v>0.41</v>
      </c>
      <c r="K157" s="42" t="n">
        <f aca="false">IF(E157="","",I157-J157)</f>
        <v>0</v>
      </c>
      <c r="L157" s="70" t="str">
        <f aca="false">IF(E157="","",IF(ABS(K157)&gt;0.02,"MISMATCH","OK"))</f>
        <v>OK</v>
      </c>
      <c r="M157" s="42" t="n">
        <f aca="false">IF(ISBLANK('Raw - Sessions'!U131),"",'Raw - Sessions'!Q131)</f>
        <v>0.35</v>
      </c>
      <c r="N157" s="42" t="n">
        <f aca="false">IF(E157="","",I157-G157-H157-F157)</f>
        <v>0.35</v>
      </c>
      <c r="O157" s="42" t="n">
        <f aca="false">IF(E157="","",M157-N157)</f>
        <v>0</v>
      </c>
      <c r="P157" s="70" t="str">
        <f aca="false">IF(E157="","",IF(ABS(O157)&gt;0.02,"MISMATCH","OK"))</f>
        <v>OK</v>
      </c>
    </row>
    <row r="158" customFormat="false" ht="15" hidden="false" customHeight="false" outlineLevel="0" collapsed="false">
      <c r="A158" s="72" t="n">
        <f aca="false">'Raw - Sessions'!A132</f>
        <v>4908614761</v>
      </c>
      <c r="B158" s="72" t="str">
        <f aca="false">'Raw - Sessions'!K132</f>
        <v>BARBOURVILLE / CITY HALL</v>
      </c>
      <c r="C158" s="73" t="n">
        <f aca="false">IF(ISBLANK('Raw - Sessions'!U132),"",'Raw - Sessions'!T132)</f>
        <v>0.4</v>
      </c>
      <c r="D158" s="39" t="n">
        <f aca="false">'Raw - Sessions'!E132</f>
        <v>67.7453</v>
      </c>
      <c r="E158" s="44" t="n">
        <f aca="false">IF(ISBLANK('Raw - Sessions'!U132),"",'Raw - Sessions'!U132)</f>
        <v>41.25</v>
      </c>
      <c r="F158" s="44" t="n">
        <f aca="false">IF(ISBLANK('Raw - Sessions'!U132),"",'Raw - Sessions'!Z132)</f>
        <v>2.47</v>
      </c>
      <c r="G158" s="44" t="n">
        <f aca="false">IF(ISBLANK('Raw - Sessions'!U132),"",'Raw - Sessions'!AE132)</f>
        <v>0</v>
      </c>
      <c r="H158" s="44" t="n">
        <f aca="false">IF(ISBLANK('Raw - Sessions'!U132),"",'Raw - Sessions'!AD132)</f>
        <v>4.12</v>
      </c>
      <c r="I158" s="44" t="n">
        <f aca="false">IF(ISBLANK('Raw - Sessions'!U132),"",'Raw - Sessions'!P132)</f>
        <v>43.72</v>
      </c>
      <c r="J158" s="44" t="n">
        <f aca="false">IF(E158="","",E158+F158+G158+'Raw - Sessions'!AA132+'Raw - Sessions'!AB132+'Raw - Sessions'!AC132)</f>
        <v>43.72</v>
      </c>
      <c r="K158" s="44" t="n">
        <f aca="false">IF(E158="","",I158-J158)</f>
        <v>0</v>
      </c>
      <c r="L158" s="72" t="str">
        <f aca="false">IF(E158="","",IF(ABS(K158)&gt;0.02,"MISMATCH","OK"))</f>
        <v>OK</v>
      </c>
      <c r="M158" s="44" t="n">
        <f aca="false">IF(ISBLANK('Raw - Sessions'!U132),"",'Raw - Sessions'!Q132)</f>
        <v>37.13</v>
      </c>
      <c r="N158" s="44" t="n">
        <f aca="false">IF(E158="","",I158-G158-H158-F158)</f>
        <v>37.13</v>
      </c>
      <c r="O158" s="44" t="n">
        <f aca="false">IF(E158="","",M158-N158)</f>
        <v>0</v>
      </c>
      <c r="P158" s="72" t="str">
        <f aca="false">IF(E158="","",IF(ABS(O158)&gt;0.02,"MISMATCH","OK"))</f>
        <v>OK</v>
      </c>
    </row>
    <row r="159" customFormat="false" ht="15" hidden="false" customHeight="false" outlineLevel="0" collapsed="false">
      <c r="A159" s="70" t="n">
        <f aca="false">'Raw - Sessions'!A133</f>
        <v>4925318501</v>
      </c>
      <c r="B159" s="70" t="str">
        <f aca="false">'Raw - Sessions'!K133</f>
        <v>BARBOURVILLE / TOURISM</v>
      </c>
      <c r="C159" s="71" t="n">
        <f aca="false">IF(ISBLANK('Raw - Sessions'!U133),"",'Raw - Sessions'!T133)</f>
        <v>0.4</v>
      </c>
      <c r="D159" s="38" t="n">
        <f aca="false">'Raw - Sessions'!E133</f>
        <v>1.655707</v>
      </c>
      <c r="E159" s="42" t="n">
        <f aca="false">IF(ISBLANK('Raw - Sessions'!U133),"",'Raw - Sessions'!U133)</f>
        <v>2.2</v>
      </c>
      <c r="F159" s="42" t="n">
        <f aca="false">IF(ISBLANK('Raw - Sessions'!U133),"",'Raw - Sessions'!Z133)</f>
        <v>0.13</v>
      </c>
      <c r="G159" s="42" t="n">
        <f aca="false">IF(ISBLANK('Raw - Sessions'!U133),"",'Raw - Sessions'!AE133)</f>
        <v>0</v>
      </c>
      <c r="H159" s="42" t="n">
        <f aca="false">IF(ISBLANK('Raw - Sessions'!U133),"",'Raw - Sessions'!AD133)</f>
        <v>0.22</v>
      </c>
      <c r="I159" s="42" t="n">
        <f aca="false">IF(ISBLANK('Raw - Sessions'!U133),"",'Raw - Sessions'!P133)</f>
        <v>2.33</v>
      </c>
      <c r="J159" s="42" t="n">
        <f aca="false">IF(E159="","",E159+F159+G159+'Raw - Sessions'!AA133+'Raw - Sessions'!AB133+'Raw - Sessions'!AC133)</f>
        <v>2.33</v>
      </c>
      <c r="K159" s="42" t="n">
        <f aca="false">IF(E159="","",I159-J159)</f>
        <v>0</v>
      </c>
      <c r="L159" s="70" t="str">
        <f aca="false">IF(E159="","",IF(ABS(K159)&gt;0.02,"MISMATCH","OK"))</f>
        <v>OK</v>
      </c>
      <c r="M159" s="42" t="n">
        <f aca="false">IF(ISBLANK('Raw - Sessions'!U133),"",'Raw - Sessions'!Q133)</f>
        <v>1.98</v>
      </c>
      <c r="N159" s="42" t="n">
        <f aca="false">IF(E159="","",I159-G159-H159-F159)</f>
        <v>1.98</v>
      </c>
      <c r="O159" s="42" t="n">
        <f aca="false">IF(E159="","",M159-N159)</f>
        <v>0</v>
      </c>
      <c r="P159" s="70" t="str">
        <f aca="false">IF(E159="","",IF(ABS(O159)&gt;0.02,"MISMATCH","OK"))</f>
        <v>OK</v>
      </c>
    </row>
    <row r="160" customFormat="false" ht="15" hidden="false" customHeight="false" outlineLevel="0" collapsed="false">
      <c r="A160" s="72" t="n">
        <f aca="false">'Raw - Sessions'!A134</f>
        <v>4925500661</v>
      </c>
      <c r="B160" s="72" t="str">
        <f aca="false">'Raw - Sessions'!K134</f>
        <v>BARBOURVILLE / CITY HALL</v>
      </c>
      <c r="C160" s="73" t="n">
        <f aca="false">IF(ISBLANK('Raw - Sessions'!U134),"",'Raw - Sessions'!T134)</f>
        <v>0.4</v>
      </c>
      <c r="D160" s="39" t="n">
        <f aca="false">'Raw - Sessions'!E134</f>
        <v>11.6677</v>
      </c>
      <c r="E160" s="44" t="n">
        <f aca="false">IF(ISBLANK('Raw - Sessions'!U134),"",'Raw - Sessions'!U134)</f>
        <v>6.94</v>
      </c>
      <c r="F160" s="44" t="n">
        <f aca="false">IF(ISBLANK('Raw - Sessions'!U134),"",'Raw - Sessions'!Z134)</f>
        <v>0.42</v>
      </c>
      <c r="G160" s="44" t="n">
        <f aca="false">IF(ISBLANK('Raw - Sessions'!U134),"",'Raw - Sessions'!AE134)</f>
        <v>0</v>
      </c>
      <c r="H160" s="44" t="n">
        <f aca="false">IF(ISBLANK('Raw - Sessions'!U134),"",'Raw - Sessions'!AD134)</f>
        <v>0.69</v>
      </c>
      <c r="I160" s="44" t="n">
        <f aca="false">IF(ISBLANK('Raw - Sessions'!U134),"",'Raw - Sessions'!P134)</f>
        <v>7.36</v>
      </c>
      <c r="J160" s="44" t="n">
        <f aca="false">IF(E160="","",E160+F160+G160+'Raw - Sessions'!AA134+'Raw - Sessions'!AB134+'Raw - Sessions'!AC134)</f>
        <v>7.36</v>
      </c>
      <c r="K160" s="44" t="n">
        <f aca="false">IF(E160="","",I160-J160)</f>
        <v>0</v>
      </c>
      <c r="L160" s="72" t="str">
        <f aca="false">IF(E160="","",IF(ABS(K160)&gt;0.02,"MISMATCH","OK"))</f>
        <v>OK</v>
      </c>
      <c r="M160" s="44" t="n">
        <f aca="false">IF(ISBLANK('Raw - Sessions'!U134),"",'Raw - Sessions'!Q134)</f>
        <v>6.25</v>
      </c>
      <c r="N160" s="44" t="n">
        <f aca="false">IF(E160="","",I160-G160-H160-F160)</f>
        <v>6.25</v>
      </c>
      <c r="O160" s="44" t="n">
        <f aca="false">IF(E160="","",M160-N160)</f>
        <v>0</v>
      </c>
      <c r="P160" s="72" t="str">
        <f aca="false">IF(E160="","",IF(ABS(O160)&gt;0.02,"MISMATCH","OK"))</f>
        <v>OK</v>
      </c>
    </row>
    <row r="161" customFormat="false" ht="15" hidden="false" customHeight="false" outlineLevel="0" collapsed="false">
      <c r="A161" s="70" t="n">
        <f aca="false">'Raw - Sessions'!A135</f>
        <v>4926065441</v>
      </c>
      <c r="B161" s="70" t="str">
        <f aca="false">'Raw - Sessions'!K135</f>
        <v>BARBOURVILLE / CITY HALL</v>
      </c>
      <c r="C161" s="71" t="n">
        <f aca="false">IF(ISBLANK('Raw - Sessions'!U135),"",'Raw - Sessions'!T135)</f>
        <v>0.4</v>
      </c>
      <c r="D161" s="38" t="n">
        <f aca="false">'Raw - Sessions'!E135</f>
        <v>26.359501</v>
      </c>
      <c r="E161" s="42" t="n">
        <f aca="false">IF(ISBLANK('Raw - Sessions'!U135),"",'Raw - Sessions'!U135)</f>
        <v>16.69</v>
      </c>
      <c r="F161" s="42" t="n">
        <f aca="false">IF(ISBLANK('Raw - Sessions'!U135),"",'Raw - Sessions'!Z135)</f>
        <v>1</v>
      </c>
      <c r="G161" s="42" t="n">
        <f aca="false">IF(ISBLANK('Raw - Sessions'!U135),"",'Raw - Sessions'!AE135)</f>
        <v>0</v>
      </c>
      <c r="H161" s="42" t="n">
        <f aca="false">IF(ISBLANK('Raw - Sessions'!U135),"",'Raw - Sessions'!AD135)</f>
        <v>1.67</v>
      </c>
      <c r="I161" s="42" t="n">
        <f aca="false">IF(ISBLANK('Raw - Sessions'!U135),"",'Raw - Sessions'!P135)</f>
        <v>17.69</v>
      </c>
      <c r="J161" s="42" t="n">
        <f aca="false">IF(E161="","",E161+F161+G161+'Raw - Sessions'!AA135+'Raw - Sessions'!AB135+'Raw - Sessions'!AC135)</f>
        <v>17.69</v>
      </c>
      <c r="K161" s="42" t="n">
        <f aca="false">IF(E161="","",I161-J161)</f>
        <v>0</v>
      </c>
      <c r="L161" s="70" t="str">
        <f aca="false">IF(E161="","",IF(ABS(K161)&gt;0.02,"MISMATCH","OK"))</f>
        <v>OK</v>
      </c>
      <c r="M161" s="42" t="n">
        <f aca="false">IF(ISBLANK('Raw - Sessions'!U135),"",'Raw - Sessions'!Q135)</f>
        <v>15.02</v>
      </c>
      <c r="N161" s="42" t="n">
        <f aca="false">IF(E161="","",I161-G161-H161-F161)</f>
        <v>15.02</v>
      </c>
      <c r="O161" s="42" t="n">
        <f aca="false">IF(E161="","",M161-N161)</f>
        <v>0</v>
      </c>
      <c r="P161" s="70" t="str">
        <f aca="false">IF(E161="","",IF(ABS(O161)&gt;0.02,"MISMATCH","OK"))</f>
        <v>OK</v>
      </c>
    </row>
    <row r="162" customFormat="false" ht="15" hidden="false" customHeight="false" outlineLevel="0" collapsed="false">
      <c r="A162" s="72" t="n">
        <f aca="false">'Raw - Sessions'!A136</f>
        <v>4926279751</v>
      </c>
      <c r="B162" s="72" t="str">
        <f aca="false">'Raw - Sessions'!K136</f>
        <v>BARBOURVILLE / CITY HALL</v>
      </c>
      <c r="C162" s="73" t="n">
        <f aca="false">IF(ISBLANK('Raw - Sessions'!U136),"",'Raw - Sessions'!T136)</f>
        <v>0.4</v>
      </c>
      <c r="D162" s="39" t="n">
        <f aca="false">'Raw - Sessions'!E136</f>
        <v>12.4824</v>
      </c>
      <c r="E162" s="44" t="n">
        <f aca="false">IF(ISBLANK('Raw - Sessions'!U136),"",'Raw - Sessions'!U136)</f>
        <v>7.34</v>
      </c>
      <c r="F162" s="44" t="n">
        <f aca="false">IF(ISBLANK('Raw - Sessions'!U136),"",'Raw - Sessions'!Z136)</f>
        <v>0.44</v>
      </c>
      <c r="G162" s="44" t="n">
        <f aca="false">IF(ISBLANK('Raw - Sessions'!U136),"",'Raw - Sessions'!AE136)</f>
        <v>0</v>
      </c>
      <c r="H162" s="44" t="n">
        <f aca="false">IF(ISBLANK('Raw - Sessions'!U136),"",'Raw - Sessions'!AD136)</f>
        <v>0.73</v>
      </c>
      <c r="I162" s="44" t="n">
        <f aca="false">IF(ISBLANK('Raw - Sessions'!U136),"",'Raw - Sessions'!P136)</f>
        <v>7.78</v>
      </c>
      <c r="J162" s="44" t="n">
        <f aca="false">IF(E162="","",E162+F162+G162+'Raw - Sessions'!AA136+'Raw - Sessions'!AB136+'Raw - Sessions'!AC136)</f>
        <v>7.78</v>
      </c>
      <c r="K162" s="44" t="n">
        <f aca="false">IF(E162="","",I162-J162)</f>
        <v>0</v>
      </c>
      <c r="L162" s="72" t="str">
        <f aca="false">IF(E162="","",IF(ABS(K162)&gt;0.02,"MISMATCH","OK"))</f>
        <v>OK</v>
      </c>
      <c r="M162" s="44" t="n">
        <f aca="false">IF(ISBLANK('Raw - Sessions'!U136),"",'Raw - Sessions'!Q136)</f>
        <v>6.61</v>
      </c>
      <c r="N162" s="44" t="n">
        <f aca="false">IF(E162="","",I162-G162-H162-F162)</f>
        <v>6.61</v>
      </c>
      <c r="O162" s="44" t="n">
        <f aca="false">IF(E162="","",M162-N162)</f>
        <v>0</v>
      </c>
      <c r="P162" s="72" t="str">
        <f aca="false">IF(E162="","",IF(ABS(O162)&gt;0.02,"MISMATCH","OK"))</f>
        <v>OK</v>
      </c>
    </row>
    <row r="163" customFormat="false" ht="15" hidden="false" customHeight="false" outlineLevel="0" collapsed="false">
      <c r="A163" s="70" t="n">
        <f aca="false">'Raw - Sessions'!A137</f>
        <v>4935015601</v>
      </c>
      <c r="B163" s="70" t="str">
        <f aca="false">'Raw - Sessions'!K137</f>
        <v>BARBOURVILLE / CITY HALL</v>
      </c>
      <c r="C163" s="71" t="n">
        <f aca="false">IF(ISBLANK('Raw - Sessions'!U137),"",'Raw - Sessions'!T137)</f>
        <v>0.5</v>
      </c>
      <c r="D163" s="38" t="n">
        <f aca="false">'Raw - Sessions'!E137</f>
        <v>60.586899</v>
      </c>
      <c r="E163" s="42" t="n">
        <f aca="false">IF(ISBLANK('Raw - Sessions'!U137),"",'Raw - Sessions'!U137)</f>
        <v>39.43</v>
      </c>
      <c r="F163" s="42" t="n">
        <f aca="false">IF(ISBLANK('Raw - Sessions'!U137),"",'Raw - Sessions'!Z137)</f>
        <v>2.37</v>
      </c>
      <c r="G163" s="42" t="n">
        <f aca="false">IF(ISBLANK('Raw - Sessions'!U137),"",'Raw - Sessions'!AE137)</f>
        <v>0</v>
      </c>
      <c r="H163" s="42" t="n">
        <f aca="false">IF(ISBLANK('Raw - Sessions'!U137),"",'Raw - Sessions'!AD137)</f>
        <v>3.94</v>
      </c>
      <c r="I163" s="42" t="n">
        <f aca="false">IF(ISBLANK('Raw - Sessions'!U137),"",'Raw - Sessions'!P137)</f>
        <v>41.8</v>
      </c>
      <c r="J163" s="42" t="n">
        <f aca="false">IF(E163="","",E163+F163+G163+'Raw - Sessions'!AA137+'Raw - Sessions'!AB137+'Raw - Sessions'!AC137)</f>
        <v>41.8</v>
      </c>
      <c r="K163" s="42" t="n">
        <f aca="false">IF(E163="","",I163-J163)</f>
        <v>0</v>
      </c>
      <c r="L163" s="70" t="str">
        <f aca="false">IF(E163="","",IF(ABS(K163)&gt;0.02,"MISMATCH","OK"))</f>
        <v>OK</v>
      </c>
      <c r="M163" s="42" t="n">
        <f aca="false">IF(ISBLANK('Raw - Sessions'!U137),"",'Raw - Sessions'!Q137)</f>
        <v>35.49</v>
      </c>
      <c r="N163" s="42" t="n">
        <f aca="false">IF(E163="","",I163-G163-H163-F163)</f>
        <v>35.49</v>
      </c>
      <c r="O163" s="42" t="n">
        <f aca="false">IF(E163="","",M163-N163)</f>
        <v>0</v>
      </c>
      <c r="P163" s="70" t="str">
        <f aca="false">IF(E163="","",IF(ABS(O163)&gt;0.02,"MISMATCH","OK"))</f>
        <v>OK</v>
      </c>
    </row>
    <row r="164" customFormat="false" ht="15" hidden="false" customHeight="false" outlineLevel="0" collapsed="false">
      <c r="A164" s="72" t="n">
        <f aca="false">'Raw - Sessions'!A138</f>
        <v>4944129701</v>
      </c>
      <c r="B164" s="72" t="str">
        <f aca="false">'Raw - Sessions'!K138</f>
        <v>BARBOURVILLE / CITY HALL</v>
      </c>
      <c r="C164" s="73" t="n">
        <f aca="false">IF(ISBLANK('Raw - Sessions'!U138),"",'Raw - Sessions'!T138)</f>
        <v>0.5</v>
      </c>
      <c r="D164" s="39" t="n">
        <f aca="false">'Raw - Sessions'!E138</f>
        <v>53.8335</v>
      </c>
      <c r="E164" s="44" t="n">
        <f aca="false">IF(ISBLANK('Raw - Sessions'!U138),"",'Raw - Sessions'!U138)</f>
        <v>31.45</v>
      </c>
      <c r="F164" s="44" t="n">
        <f aca="false">IF(ISBLANK('Raw - Sessions'!U138),"",'Raw - Sessions'!Z138)</f>
        <v>1.89</v>
      </c>
      <c r="G164" s="44" t="n">
        <f aca="false">IF(ISBLANK('Raw - Sessions'!U138),"",'Raw - Sessions'!AE138)</f>
        <v>0</v>
      </c>
      <c r="H164" s="44" t="n">
        <f aca="false">IF(ISBLANK('Raw - Sessions'!U138),"",'Raw - Sessions'!AD138)</f>
        <v>3.14</v>
      </c>
      <c r="I164" s="44" t="n">
        <f aca="false">IF(ISBLANK('Raw - Sessions'!U138),"",'Raw - Sessions'!P138)</f>
        <v>33.34</v>
      </c>
      <c r="J164" s="44" t="n">
        <f aca="false">IF(E164="","",E164+F164+G164+'Raw - Sessions'!AA138+'Raw - Sessions'!AB138+'Raw - Sessions'!AC138)</f>
        <v>33.34</v>
      </c>
      <c r="K164" s="44" t="n">
        <f aca="false">IF(E164="","",I164-J164)</f>
        <v>0</v>
      </c>
      <c r="L164" s="72" t="str">
        <f aca="false">IF(E164="","",IF(ABS(K164)&gt;0.02,"MISMATCH","OK"))</f>
        <v>OK</v>
      </c>
      <c r="M164" s="44" t="n">
        <f aca="false">IF(ISBLANK('Raw - Sessions'!U138),"",'Raw - Sessions'!Q138)</f>
        <v>28.31</v>
      </c>
      <c r="N164" s="44" t="n">
        <f aca="false">IF(E164="","",I164-G164-H164-F164)</f>
        <v>28.31</v>
      </c>
      <c r="O164" s="44" t="n">
        <f aca="false">IF(E164="","",M164-N164)</f>
        <v>0</v>
      </c>
      <c r="P164" s="72" t="str">
        <f aca="false">IF(E164="","",IF(ABS(O164)&gt;0.02,"MISMATCH","OK"))</f>
        <v>OK</v>
      </c>
    </row>
    <row r="165" customFormat="false" ht="15" hidden="false" customHeight="false" outlineLevel="0" collapsed="false">
      <c r="A165" s="70" t="n">
        <f aca="false">'Raw - Sessions'!A139</f>
        <v>4949686711</v>
      </c>
      <c r="B165" s="70" t="str">
        <f aca="false">'Raw - Sessions'!K139</f>
        <v>BARBOURVILLE / CITY HALL</v>
      </c>
      <c r="C165" s="71" t="n">
        <f aca="false">IF(ISBLANK('Raw - Sessions'!U139),"",'Raw - Sessions'!T139)</f>
        <v>0.5</v>
      </c>
      <c r="D165" s="38" t="n">
        <f aca="false">'Raw - Sessions'!E139</f>
        <v>13.1724</v>
      </c>
      <c r="E165" s="42" t="n">
        <f aca="false">IF(ISBLANK('Raw - Sessions'!U139),"",'Raw - Sessions'!U139)</f>
        <v>8.1</v>
      </c>
      <c r="F165" s="42" t="n">
        <f aca="false">IF(ISBLANK('Raw - Sessions'!U139),"",'Raw - Sessions'!Z139)</f>
        <v>0.49</v>
      </c>
      <c r="G165" s="42" t="n">
        <f aca="false">IF(ISBLANK('Raw - Sessions'!U139),"",'Raw - Sessions'!AE139)</f>
        <v>0</v>
      </c>
      <c r="H165" s="42" t="n">
        <f aca="false">IF(ISBLANK('Raw - Sessions'!U139),"",'Raw - Sessions'!AD139)</f>
        <v>0.81</v>
      </c>
      <c r="I165" s="42" t="n">
        <f aca="false">IF(ISBLANK('Raw - Sessions'!U139),"",'Raw - Sessions'!P139)</f>
        <v>8.59</v>
      </c>
      <c r="J165" s="42" t="n">
        <f aca="false">IF(E165="","",E165+F165+G165+'Raw - Sessions'!AA139+'Raw - Sessions'!AB139+'Raw - Sessions'!AC139)</f>
        <v>8.59</v>
      </c>
      <c r="K165" s="42" t="n">
        <f aca="false">IF(E165="","",I165-J165)</f>
        <v>0</v>
      </c>
      <c r="L165" s="70" t="str">
        <f aca="false">IF(E165="","",IF(ABS(K165)&gt;0.02,"MISMATCH","OK"))</f>
        <v>OK</v>
      </c>
      <c r="M165" s="42" t="n">
        <f aca="false">IF(ISBLANK('Raw - Sessions'!U139),"",'Raw - Sessions'!Q139)</f>
        <v>7.29</v>
      </c>
      <c r="N165" s="42" t="n">
        <f aca="false">IF(E165="","",I165-G165-H165-F165)</f>
        <v>7.29</v>
      </c>
      <c r="O165" s="42" t="n">
        <f aca="false">IF(E165="","",M165-N165)</f>
        <v>0</v>
      </c>
      <c r="P165" s="70" t="str">
        <f aca="false">IF(E165="","",IF(ABS(O165)&gt;0.02,"MISMATCH","OK"))</f>
        <v>OK</v>
      </c>
    </row>
    <row r="166" customFormat="false" ht="15" hidden="false" customHeight="false" outlineLevel="0" collapsed="false">
      <c r="A166" s="72" t="n">
        <f aca="false">'Raw - Sessions'!A140</f>
        <v>4951981571</v>
      </c>
      <c r="B166" s="72" t="str">
        <f aca="false">'Raw - Sessions'!K140</f>
        <v>BARBOURVILLE / CITY HALL</v>
      </c>
      <c r="C166" s="73" t="n">
        <f aca="false">IF(ISBLANK('Raw - Sessions'!U140),"",'Raw - Sessions'!T140)</f>
        <v>0.5</v>
      </c>
      <c r="D166" s="39" t="n">
        <f aca="false">'Raw - Sessions'!E140</f>
        <v>40.9562</v>
      </c>
      <c r="E166" s="44" t="n">
        <f aca="false">IF(ISBLANK('Raw - Sessions'!U140),"",'Raw - Sessions'!U140)</f>
        <v>24.88</v>
      </c>
      <c r="F166" s="44" t="n">
        <f aca="false">IF(ISBLANK('Raw - Sessions'!U140),"",'Raw - Sessions'!Z140)</f>
        <v>1.49</v>
      </c>
      <c r="G166" s="44" t="n">
        <f aca="false">IF(ISBLANK('Raw - Sessions'!U140),"",'Raw - Sessions'!AE140)</f>
        <v>0</v>
      </c>
      <c r="H166" s="44" t="n">
        <f aca="false">IF(ISBLANK('Raw - Sessions'!U140),"",'Raw - Sessions'!AD140)</f>
        <v>2.49</v>
      </c>
      <c r="I166" s="44" t="n">
        <f aca="false">IF(ISBLANK('Raw - Sessions'!U140),"",'Raw - Sessions'!P140)</f>
        <v>26.37</v>
      </c>
      <c r="J166" s="44" t="n">
        <f aca="false">IF(E166="","",E166+F166+G166+'Raw - Sessions'!AA140+'Raw - Sessions'!AB140+'Raw - Sessions'!AC140)</f>
        <v>26.37</v>
      </c>
      <c r="K166" s="44" t="n">
        <f aca="false">IF(E166="","",I166-J166)</f>
        <v>0</v>
      </c>
      <c r="L166" s="72" t="str">
        <f aca="false">IF(E166="","",IF(ABS(K166)&gt;0.02,"MISMATCH","OK"))</f>
        <v>OK</v>
      </c>
      <c r="M166" s="44" t="n">
        <f aca="false">IF(ISBLANK('Raw - Sessions'!U140),"",'Raw - Sessions'!Q140)</f>
        <v>22.39</v>
      </c>
      <c r="N166" s="44" t="n">
        <f aca="false">IF(E166="","",I166-G166-H166-F166)</f>
        <v>22.39</v>
      </c>
      <c r="O166" s="44" t="n">
        <f aca="false">IF(E166="","",M166-N166)</f>
        <v>0</v>
      </c>
      <c r="P166" s="72" t="str">
        <f aca="false">IF(E166="","",IF(ABS(O166)&gt;0.02,"MISMATCH","OK"))</f>
        <v>OK</v>
      </c>
    </row>
    <row r="167" customFormat="false" ht="15" hidden="false" customHeight="false" outlineLevel="0" collapsed="false">
      <c r="A167" s="70" t="n">
        <f aca="false">'Raw - Sessions'!A141</f>
        <v>4957293331</v>
      </c>
      <c r="B167" s="70" t="str">
        <f aca="false">'Raw - Sessions'!K141</f>
        <v>BARBOURVILLE / CITY HALL</v>
      </c>
      <c r="C167" s="71" t="n">
        <f aca="false">IF(ISBLANK('Raw - Sessions'!U141),"",'Raw - Sessions'!T141)</f>
        <v>0.5</v>
      </c>
      <c r="D167" s="38" t="n">
        <f aca="false">'Raw - Sessions'!E141</f>
        <v>66.366898</v>
      </c>
      <c r="E167" s="42" t="n">
        <f aca="false">IF(ISBLANK('Raw - Sessions'!U141),"",'Raw - Sessions'!U141)</f>
        <v>38.71</v>
      </c>
      <c r="F167" s="42" t="n">
        <f aca="false">IF(ISBLANK('Raw - Sessions'!U141),"",'Raw - Sessions'!Z141)</f>
        <v>2.32</v>
      </c>
      <c r="G167" s="42" t="n">
        <f aca="false">IF(ISBLANK('Raw - Sessions'!U141),"",'Raw - Sessions'!AE141)</f>
        <v>0</v>
      </c>
      <c r="H167" s="42" t="n">
        <f aca="false">IF(ISBLANK('Raw - Sessions'!U141),"",'Raw - Sessions'!AD141)</f>
        <v>3.87</v>
      </c>
      <c r="I167" s="42" t="n">
        <f aca="false">IF(ISBLANK('Raw - Sessions'!U141),"",'Raw - Sessions'!P141)</f>
        <v>41.03</v>
      </c>
      <c r="J167" s="42" t="n">
        <f aca="false">IF(E167="","",E167+F167+G167+'Raw - Sessions'!AA141+'Raw - Sessions'!AB141+'Raw - Sessions'!AC141)</f>
        <v>41.03</v>
      </c>
      <c r="K167" s="42" t="n">
        <f aca="false">IF(E167="","",I167-J167)</f>
        <v>0</v>
      </c>
      <c r="L167" s="70" t="str">
        <f aca="false">IF(E167="","",IF(ABS(K167)&gt;0.02,"MISMATCH","OK"))</f>
        <v>OK</v>
      </c>
      <c r="M167" s="42" t="n">
        <f aca="false">IF(ISBLANK('Raw - Sessions'!U141),"",'Raw - Sessions'!Q141)</f>
        <v>34.84</v>
      </c>
      <c r="N167" s="42" t="n">
        <f aca="false">IF(E167="","",I167-G167-H167-F167)</f>
        <v>34.84</v>
      </c>
      <c r="O167" s="42" t="n">
        <f aca="false">IF(E167="","",M167-N167)</f>
        <v>0</v>
      </c>
      <c r="P167" s="70" t="str">
        <f aca="false">IF(E167="","",IF(ABS(O167)&gt;0.02,"MISMATCH","OK"))</f>
        <v>OK</v>
      </c>
    </row>
    <row r="168" customFormat="false" ht="15" hidden="false" customHeight="false" outlineLevel="0" collapsed="false">
      <c r="A168" s="72" t="n">
        <f aca="false">'Raw - Sessions'!A142</f>
        <v>4976809861</v>
      </c>
      <c r="B168" s="72" t="str">
        <f aca="false">'Raw - Sessions'!K142</f>
        <v>BARBOURVILLE / CITY HALL</v>
      </c>
      <c r="C168" s="73" t="n">
        <f aca="false">IF(ISBLANK('Raw - Sessions'!U142),"",'Raw - Sessions'!T142)</f>
        <v>0.5</v>
      </c>
      <c r="D168" s="39" t="n">
        <f aca="false">'Raw - Sessions'!E142</f>
        <v>19.178699</v>
      </c>
      <c r="E168" s="44" t="n">
        <f aca="false">IF(ISBLANK('Raw - Sessions'!U142),"",'Raw - Sessions'!U142)</f>
        <v>11.79</v>
      </c>
      <c r="F168" s="44" t="n">
        <f aca="false">IF(ISBLANK('Raw - Sessions'!U142),"",'Raw - Sessions'!Z142)</f>
        <v>0.71</v>
      </c>
      <c r="G168" s="44" t="n">
        <f aca="false">IF(ISBLANK('Raw - Sessions'!U142),"",'Raw - Sessions'!AE142)</f>
        <v>0</v>
      </c>
      <c r="H168" s="44" t="n">
        <f aca="false">IF(ISBLANK('Raw - Sessions'!U142),"",'Raw - Sessions'!AD142)</f>
        <v>1.18</v>
      </c>
      <c r="I168" s="44" t="n">
        <f aca="false">IF(ISBLANK('Raw - Sessions'!U142),"",'Raw - Sessions'!P142)</f>
        <v>12.5</v>
      </c>
      <c r="J168" s="44" t="n">
        <f aca="false">IF(E168="","",E168+F168+G168+'Raw - Sessions'!AA142+'Raw - Sessions'!AB142+'Raw - Sessions'!AC142)</f>
        <v>12.5</v>
      </c>
      <c r="K168" s="44" t="n">
        <f aca="false">IF(E168="","",I168-J168)</f>
        <v>0</v>
      </c>
      <c r="L168" s="72" t="str">
        <f aca="false">IF(E168="","",IF(ABS(K168)&gt;0.02,"MISMATCH","OK"))</f>
        <v>OK</v>
      </c>
      <c r="M168" s="44" t="n">
        <f aca="false">IF(ISBLANK('Raw - Sessions'!U142),"",'Raw - Sessions'!Q142)</f>
        <v>10.61</v>
      </c>
      <c r="N168" s="44" t="n">
        <f aca="false">IF(E168="","",I168-G168-H168-F168)</f>
        <v>10.61</v>
      </c>
      <c r="O168" s="44" t="n">
        <f aca="false">IF(E168="","",M168-N168)</f>
        <v>0</v>
      </c>
      <c r="P168" s="72" t="str">
        <f aca="false">IF(E168="","",IF(ABS(O168)&gt;0.02,"MISMATCH","OK"))</f>
        <v>OK</v>
      </c>
    </row>
    <row r="169" customFormat="false" ht="15" hidden="false" customHeight="false" outlineLevel="0" collapsed="false">
      <c r="A169" s="70" t="n">
        <f aca="false">'Raw - Sessions'!A143</f>
        <v>4983982431</v>
      </c>
      <c r="B169" s="70" t="str">
        <f aca="false">'Raw - Sessions'!K143</f>
        <v>BARBOURVILLE / CITY HALL</v>
      </c>
      <c r="C169" s="71" t="n">
        <f aca="false">IF(ISBLANK('Raw - Sessions'!U143),"",'Raw - Sessions'!T143)</f>
        <v>0.5</v>
      </c>
      <c r="D169" s="38" t="n">
        <f aca="false">'Raw - Sessions'!E143</f>
        <v>43.7174</v>
      </c>
      <c r="E169" s="42" t="n">
        <f aca="false">IF(ISBLANK('Raw - Sessions'!U143),"",'Raw - Sessions'!U143)</f>
        <v>27.49</v>
      </c>
      <c r="F169" s="42" t="n">
        <f aca="false">IF(ISBLANK('Raw - Sessions'!U143),"",'Raw - Sessions'!Z143)</f>
        <v>1.65</v>
      </c>
      <c r="G169" s="42" t="n">
        <f aca="false">IF(ISBLANK('Raw - Sessions'!U143),"",'Raw - Sessions'!AE143)</f>
        <v>0</v>
      </c>
      <c r="H169" s="42" t="n">
        <f aca="false">IF(ISBLANK('Raw - Sessions'!U143),"",'Raw - Sessions'!AD143)</f>
        <v>2.75</v>
      </c>
      <c r="I169" s="42" t="n">
        <f aca="false">IF(ISBLANK('Raw - Sessions'!U143),"",'Raw - Sessions'!P143)</f>
        <v>29.14</v>
      </c>
      <c r="J169" s="42" t="n">
        <f aca="false">IF(E169="","",E169+F169+G169+'Raw - Sessions'!AA143+'Raw - Sessions'!AB143+'Raw - Sessions'!AC143)</f>
        <v>29.14</v>
      </c>
      <c r="K169" s="42" t="n">
        <f aca="false">IF(E169="","",I169-J169)</f>
        <v>0</v>
      </c>
      <c r="L169" s="70" t="str">
        <f aca="false">IF(E169="","",IF(ABS(K169)&gt;0.02,"MISMATCH","OK"))</f>
        <v>OK</v>
      </c>
      <c r="M169" s="42" t="n">
        <f aca="false">IF(ISBLANK('Raw - Sessions'!U143),"",'Raw - Sessions'!Q143)</f>
        <v>24.74</v>
      </c>
      <c r="N169" s="42" t="n">
        <f aca="false">IF(E169="","",I169-G169-H169-F169)</f>
        <v>24.74</v>
      </c>
      <c r="O169" s="42" t="n">
        <f aca="false">IF(E169="","",M169-N169)</f>
        <v>0</v>
      </c>
      <c r="P169" s="70" t="str">
        <f aca="false">IF(E169="","",IF(ABS(O169)&gt;0.02,"MISMATCH","OK"))</f>
        <v>OK</v>
      </c>
    </row>
    <row r="170" customFormat="false" ht="15" hidden="false" customHeight="false" outlineLevel="0" collapsed="false">
      <c r="A170" s="72" t="n">
        <f aca="false">'Raw - Sessions'!A144</f>
        <v>4984669281</v>
      </c>
      <c r="B170" s="72" t="str">
        <f aca="false">'Raw - Sessions'!K144</f>
        <v>BARBOURVILLE / CITY HALL</v>
      </c>
      <c r="C170" s="73" t="n">
        <f aca="false">IF(ISBLANK('Raw - Sessions'!U144),"",'Raw - Sessions'!T144)</f>
        <v>0.5</v>
      </c>
      <c r="D170" s="39" t="n">
        <f aca="false">'Raw - Sessions'!E144</f>
        <v>9.6899</v>
      </c>
      <c r="E170" s="44" t="n">
        <f aca="false">IF(ISBLANK('Raw - Sessions'!U144),"",'Raw - Sessions'!U144)</f>
        <v>5.82</v>
      </c>
      <c r="F170" s="44" t="n">
        <f aca="false">IF(ISBLANK('Raw - Sessions'!U144),"",'Raw - Sessions'!Z144)</f>
        <v>0.35</v>
      </c>
      <c r="G170" s="44" t="n">
        <f aca="false">IF(ISBLANK('Raw - Sessions'!U144),"",'Raw - Sessions'!AE144)</f>
        <v>0</v>
      </c>
      <c r="H170" s="44" t="n">
        <f aca="false">IF(ISBLANK('Raw - Sessions'!U144),"",'Raw - Sessions'!AD144)</f>
        <v>0.58</v>
      </c>
      <c r="I170" s="44" t="n">
        <f aca="false">IF(ISBLANK('Raw - Sessions'!U144),"",'Raw - Sessions'!P144)</f>
        <v>6.17</v>
      </c>
      <c r="J170" s="44" t="n">
        <f aca="false">IF(E170="","",E170+F170+G170+'Raw - Sessions'!AA144+'Raw - Sessions'!AB144+'Raw - Sessions'!AC144)</f>
        <v>6.17</v>
      </c>
      <c r="K170" s="44" t="n">
        <f aca="false">IF(E170="","",I170-J170)</f>
        <v>0</v>
      </c>
      <c r="L170" s="72" t="str">
        <f aca="false">IF(E170="","",IF(ABS(K170)&gt;0.02,"MISMATCH","OK"))</f>
        <v>OK</v>
      </c>
      <c r="M170" s="44" t="n">
        <f aca="false">IF(ISBLANK('Raw - Sessions'!U144),"",'Raw - Sessions'!Q144)</f>
        <v>5.24</v>
      </c>
      <c r="N170" s="44" t="n">
        <f aca="false">IF(E170="","",I170-G170-H170-F170)</f>
        <v>5.24</v>
      </c>
      <c r="O170" s="44" t="n">
        <f aca="false">IF(E170="","",M170-N170)</f>
        <v>0</v>
      </c>
      <c r="P170" s="72" t="str">
        <f aca="false">IF(E170="","",IF(ABS(O170)&gt;0.02,"MISMATCH","OK"))</f>
        <v>OK</v>
      </c>
    </row>
    <row r="171" customFormat="false" ht="15" hidden="false" customHeight="false" outlineLevel="0" collapsed="false">
      <c r="A171" s="70" t="n">
        <f aca="false">'Raw - Sessions'!A145</f>
        <v>4985693971</v>
      </c>
      <c r="B171" s="70" t="str">
        <f aca="false">'Raw - Sessions'!K145</f>
        <v>BARBOURVILLE / CITY HALL</v>
      </c>
      <c r="C171" s="71" t="str">
        <f aca="false">IF(ISBLANK('Raw - Sessions'!U145),"",'Raw - Sessions'!T145)</f>
        <v/>
      </c>
      <c r="D171" s="38" t="n">
        <f aca="false">'Raw - Sessions'!E145</f>
        <v>0</v>
      </c>
      <c r="E171" s="42" t="str">
        <f aca="false">IF(ISBLANK('Raw - Sessions'!U145),"",'Raw - Sessions'!U145)</f>
        <v/>
      </c>
      <c r="F171" s="42" t="str">
        <f aca="false">IF(ISBLANK('Raw - Sessions'!U145),"",'Raw - Sessions'!Z145)</f>
        <v/>
      </c>
      <c r="G171" s="42" t="str">
        <f aca="false">IF(ISBLANK('Raw - Sessions'!U145),"",'Raw - Sessions'!AE145)</f>
        <v/>
      </c>
      <c r="H171" s="42" t="str">
        <f aca="false">IF(ISBLANK('Raw - Sessions'!U145),"",'Raw - Sessions'!AD145)</f>
        <v/>
      </c>
      <c r="I171" s="42" t="str">
        <f aca="false">IF(ISBLANK('Raw - Sessions'!U145),"",'Raw - Sessions'!P145)</f>
        <v/>
      </c>
      <c r="J171" s="42" t="str">
        <f aca="false">IF(E171="","",E171+F171+G171+'Raw - Sessions'!AA145+'Raw - Sessions'!AB145+'Raw - Sessions'!AC145)</f>
        <v/>
      </c>
      <c r="K171" s="42" t="str">
        <f aca="false">IF(E171="","",I171-J171)</f>
        <v/>
      </c>
      <c r="L171" s="70" t="str">
        <f aca="false">IF(E171="","",IF(ABS(K171)&gt;0.02,"MISMATCH","OK"))</f>
        <v/>
      </c>
      <c r="M171" s="42" t="str">
        <f aca="false">IF(ISBLANK('Raw - Sessions'!U145),"",'Raw - Sessions'!Q145)</f>
        <v/>
      </c>
      <c r="N171" s="42" t="str">
        <f aca="false">IF(E171="","",I171-G171-H171-F171)</f>
        <v/>
      </c>
      <c r="O171" s="42" t="str">
        <f aca="false">IF(E171="","",M171-N171)</f>
        <v/>
      </c>
      <c r="P171" s="70" t="str">
        <f aca="false">IF(E171="","",IF(ABS(O171)&gt;0.02,"MISMATCH","OK"))</f>
        <v/>
      </c>
    </row>
    <row r="172" customFormat="false" ht="15" hidden="false" customHeight="false" outlineLevel="0" collapsed="false">
      <c r="A172" s="72" t="n">
        <f aca="false">'Raw - Sessions'!A146</f>
        <v>4985696991</v>
      </c>
      <c r="B172" s="72" t="str">
        <f aca="false">'Raw - Sessions'!K146</f>
        <v>BARBOURVILLE / TOURISM</v>
      </c>
      <c r="C172" s="73" t="n">
        <f aca="false">IF(ISBLANK('Raw - Sessions'!U146),"",'Raw - Sessions'!T146)</f>
        <v>0.5</v>
      </c>
      <c r="D172" s="39" t="n">
        <f aca="false">'Raw - Sessions'!E146</f>
        <v>1.797054</v>
      </c>
      <c r="E172" s="44" t="n">
        <f aca="false">IF(ISBLANK('Raw - Sessions'!U146),"",'Raw - Sessions'!U146)</f>
        <v>2.18</v>
      </c>
      <c r="F172" s="44" t="n">
        <f aca="false">IF(ISBLANK('Raw - Sessions'!U146),"",'Raw - Sessions'!Z146)</f>
        <v>0.13</v>
      </c>
      <c r="G172" s="44" t="n">
        <f aca="false">IF(ISBLANK('Raw - Sessions'!U146),"",'Raw - Sessions'!AE146)</f>
        <v>0</v>
      </c>
      <c r="H172" s="44" t="n">
        <f aca="false">IF(ISBLANK('Raw - Sessions'!U146),"",'Raw - Sessions'!AD146)</f>
        <v>0.22</v>
      </c>
      <c r="I172" s="44" t="n">
        <f aca="false">IF(ISBLANK('Raw - Sessions'!U146),"",'Raw - Sessions'!P146)</f>
        <v>2.31</v>
      </c>
      <c r="J172" s="44" t="n">
        <f aca="false">IF(E172="","",E172+F172+G172+'Raw - Sessions'!AA146+'Raw - Sessions'!AB146+'Raw - Sessions'!AC146)</f>
        <v>2.31</v>
      </c>
      <c r="K172" s="44" t="n">
        <f aca="false">IF(E172="","",I172-J172)</f>
        <v>0</v>
      </c>
      <c r="L172" s="72" t="str">
        <f aca="false">IF(E172="","",IF(ABS(K172)&gt;0.02,"MISMATCH","OK"))</f>
        <v>OK</v>
      </c>
      <c r="M172" s="44" t="n">
        <f aca="false">IF(ISBLANK('Raw - Sessions'!U146),"",'Raw - Sessions'!Q146)</f>
        <v>1.96</v>
      </c>
      <c r="N172" s="44" t="n">
        <f aca="false">IF(E172="","",I172-G172-H172-F172)</f>
        <v>1.96</v>
      </c>
      <c r="O172" s="44" t="n">
        <f aca="false">IF(E172="","",M172-N172)</f>
        <v>0</v>
      </c>
      <c r="P172" s="72" t="str">
        <f aca="false">IF(E172="","",IF(ABS(O172)&gt;0.02,"MISMATCH","OK"))</f>
        <v>OK</v>
      </c>
    </row>
    <row r="173" customFormat="false" ht="15" hidden="false" customHeight="false" outlineLevel="0" collapsed="false">
      <c r="A173" s="70" t="n">
        <f aca="false">'Raw - Sessions'!A147</f>
        <v>4986565491</v>
      </c>
      <c r="B173" s="70" t="str">
        <f aca="false">'Raw - Sessions'!K147</f>
        <v>BARBOURVILLE / CITY HALL</v>
      </c>
      <c r="C173" s="71" t="n">
        <f aca="false">IF(ISBLANK('Raw - Sessions'!U147),"",'Raw - Sessions'!T147)</f>
        <v>0.5</v>
      </c>
      <c r="D173" s="38" t="n">
        <f aca="false">'Raw - Sessions'!E147</f>
        <v>86.0774</v>
      </c>
      <c r="E173" s="42" t="n">
        <f aca="false">IF(ISBLANK('Raw - Sessions'!U147),"",'Raw - Sessions'!U147)</f>
        <v>51.57</v>
      </c>
      <c r="F173" s="42" t="n">
        <f aca="false">IF(ISBLANK('Raw - Sessions'!U147),"",'Raw - Sessions'!Z147)</f>
        <v>3.09</v>
      </c>
      <c r="G173" s="42" t="n">
        <f aca="false">IF(ISBLANK('Raw - Sessions'!U147),"",'Raw - Sessions'!AE147)</f>
        <v>0</v>
      </c>
      <c r="H173" s="42" t="n">
        <f aca="false">IF(ISBLANK('Raw - Sessions'!U147),"",'Raw - Sessions'!AD147)</f>
        <v>5.16</v>
      </c>
      <c r="I173" s="42" t="n">
        <f aca="false">IF(ISBLANK('Raw - Sessions'!U147),"",'Raw - Sessions'!P147)</f>
        <v>54.66</v>
      </c>
      <c r="J173" s="42" t="n">
        <f aca="false">IF(E173="","",E173+F173+G173+'Raw - Sessions'!AA147+'Raw - Sessions'!AB147+'Raw - Sessions'!AC147)</f>
        <v>54.66</v>
      </c>
      <c r="K173" s="42" t="n">
        <f aca="false">IF(E173="","",I173-J173)</f>
        <v>0</v>
      </c>
      <c r="L173" s="70" t="str">
        <f aca="false">IF(E173="","",IF(ABS(K173)&gt;0.02,"MISMATCH","OK"))</f>
        <v>OK</v>
      </c>
      <c r="M173" s="42" t="n">
        <f aca="false">IF(ISBLANK('Raw - Sessions'!U147),"",'Raw - Sessions'!Q147)</f>
        <v>46.41</v>
      </c>
      <c r="N173" s="42" t="n">
        <f aca="false">IF(E173="","",I173-G173-H173-F173)</f>
        <v>46.41</v>
      </c>
      <c r="O173" s="42" t="n">
        <f aca="false">IF(E173="","",M173-N173)</f>
        <v>0</v>
      </c>
      <c r="P173" s="70" t="str">
        <f aca="false">IF(E173="","",IF(ABS(O173)&gt;0.02,"MISMATCH","OK"))</f>
        <v>OK</v>
      </c>
    </row>
    <row r="174" customFormat="false" ht="15" hidden="false" customHeight="false" outlineLevel="0" collapsed="false">
      <c r="A174" s="72" t="n">
        <f aca="false">'Raw - Sessions'!A148</f>
        <v>4986844971</v>
      </c>
      <c r="B174" s="72" t="str">
        <f aca="false">'Raw - Sessions'!K148</f>
        <v>BARBOURVILLE / CITY HALL</v>
      </c>
      <c r="C174" s="73" t="n">
        <f aca="false">IF(ISBLANK('Raw - Sessions'!U148),"",'Raw - Sessions'!T148)</f>
        <v>0.5</v>
      </c>
      <c r="D174" s="39" t="n">
        <f aca="false">'Raw - Sessions'!E148</f>
        <v>12.7405</v>
      </c>
      <c r="E174" s="44" t="n">
        <f aca="false">IF(ISBLANK('Raw - Sessions'!U148),"",'Raw - Sessions'!U148)</f>
        <v>9.02</v>
      </c>
      <c r="F174" s="44" t="n">
        <f aca="false">IF(ISBLANK('Raw - Sessions'!U148),"",'Raw - Sessions'!Z148)</f>
        <v>0.54</v>
      </c>
      <c r="G174" s="44" t="n">
        <f aca="false">IF(ISBLANK('Raw - Sessions'!U148),"",'Raw - Sessions'!AE148)</f>
        <v>0</v>
      </c>
      <c r="H174" s="44" t="n">
        <f aca="false">IF(ISBLANK('Raw - Sessions'!U148),"",'Raw - Sessions'!AD148)</f>
        <v>0.9</v>
      </c>
      <c r="I174" s="44" t="n">
        <f aca="false">IF(ISBLANK('Raw - Sessions'!U148),"",'Raw - Sessions'!P148)</f>
        <v>9.56</v>
      </c>
      <c r="J174" s="44" t="n">
        <f aca="false">IF(E174="","",E174+F174+G174+'Raw - Sessions'!AA148+'Raw - Sessions'!AB148+'Raw - Sessions'!AC148)</f>
        <v>9.56</v>
      </c>
      <c r="K174" s="44" t="n">
        <f aca="false">IF(E174="","",I174-J174)</f>
        <v>0</v>
      </c>
      <c r="L174" s="72" t="str">
        <f aca="false">IF(E174="","",IF(ABS(K174)&gt;0.02,"MISMATCH","OK"))</f>
        <v>OK</v>
      </c>
      <c r="M174" s="44" t="n">
        <f aca="false">IF(ISBLANK('Raw - Sessions'!U148),"",'Raw - Sessions'!Q148)</f>
        <v>8.12</v>
      </c>
      <c r="N174" s="44" t="n">
        <f aca="false">IF(E174="","",I174-G174-H174-F174)</f>
        <v>8.12</v>
      </c>
      <c r="O174" s="44" t="n">
        <f aca="false">IF(E174="","",M174-N174)</f>
        <v>0</v>
      </c>
      <c r="P174" s="72" t="str">
        <f aca="false">IF(E174="","",IF(ABS(O174)&gt;0.02,"MISMATCH","OK"))</f>
        <v>OK</v>
      </c>
    </row>
    <row r="175" customFormat="false" ht="15" hidden="false" customHeight="false" outlineLevel="0" collapsed="false">
      <c r="A175" s="70" t="n">
        <f aca="false">'Raw - Sessions'!A149</f>
        <v>4987734581</v>
      </c>
      <c r="B175" s="70" t="str">
        <f aca="false">'Raw - Sessions'!K149</f>
        <v>BARBOURVILLE / TOURISM</v>
      </c>
      <c r="C175" s="71" t="n">
        <f aca="false">IF(ISBLANK('Raw - Sessions'!U149),"",'Raw - Sessions'!T149)</f>
        <v>0.5</v>
      </c>
      <c r="D175" s="38" t="n">
        <f aca="false">'Raw - Sessions'!E149</f>
        <v>37.759991</v>
      </c>
      <c r="E175" s="42" t="n">
        <f aca="false">IF(ISBLANK('Raw - Sessions'!U149),"",'Raw - Sessions'!U149)</f>
        <v>44.82</v>
      </c>
      <c r="F175" s="42" t="n">
        <f aca="false">IF(ISBLANK('Raw - Sessions'!U149),"",'Raw - Sessions'!Z149)</f>
        <v>2.69</v>
      </c>
      <c r="G175" s="42" t="n">
        <f aca="false">IF(ISBLANK('Raw - Sessions'!U149),"",'Raw - Sessions'!AE149)</f>
        <v>0</v>
      </c>
      <c r="H175" s="42" t="n">
        <f aca="false">IF(ISBLANK('Raw - Sessions'!U149),"",'Raw - Sessions'!AD149)</f>
        <v>4.48</v>
      </c>
      <c r="I175" s="42" t="n">
        <f aca="false">IF(ISBLANK('Raw - Sessions'!U149),"",'Raw - Sessions'!P149)</f>
        <v>47.51</v>
      </c>
      <c r="J175" s="42" t="n">
        <f aca="false">IF(E175="","",E175+F175+G175+'Raw - Sessions'!AA149+'Raw - Sessions'!AB149+'Raw - Sessions'!AC149)</f>
        <v>47.51</v>
      </c>
      <c r="K175" s="42" t="n">
        <f aca="false">IF(E175="","",I175-J175)</f>
        <v>0</v>
      </c>
      <c r="L175" s="70" t="str">
        <f aca="false">IF(E175="","",IF(ABS(K175)&gt;0.02,"MISMATCH","OK"))</f>
        <v>OK</v>
      </c>
      <c r="M175" s="42" t="n">
        <f aca="false">IF(ISBLANK('Raw - Sessions'!U149),"",'Raw - Sessions'!Q149)</f>
        <v>40.34</v>
      </c>
      <c r="N175" s="42" t="n">
        <f aca="false">IF(E175="","",I175-G175-H175-F175)</f>
        <v>40.34</v>
      </c>
      <c r="O175" s="42" t="n">
        <f aca="false">IF(E175="","",M175-N175)</f>
        <v>0</v>
      </c>
      <c r="P175" s="70" t="str">
        <f aca="false">IF(E175="","",IF(ABS(O175)&gt;0.02,"MISMATCH","OK"))</f>
        <v>OK</v>
      </c>
    </row>
    <row r="176" customFormat="false" ht="15" hidden="false" customHeight="false" outlineLevel="0" collapsed="false">
      <c r="A176" s="72" t="n">
        <f aca="false">'Raw - Sessions'!A150</f>
        <v>4988062341</v>
      </c>
      <c r="B176" s="72" t="str">
        <f aca="false">'Raw - Sessions'!K150</f>
        <v>BARBOURVILLE / CITY HALL</v>
      </c>
      <c r="C176" s="73" t="n">
        <f aca="false">IF(ISBLANK('Raw - Sessions'!U150),"",'Raw - Sessions'!T150)</f>
        <v>0.5</v>
      </c>
      <c r="D176" s="39" t="n">
        <f aca="false">'Raw - Sessions'!E150</f>
        <v>11.5198</v>
      </c>
      <c r="E176" s="44" t="n">
        <f aca="false">IF(ISBLANK('Raw - Sessions'!U150),"",'Raw - Sessions'!U150)</f>
        <v>6.78</v>
      </c>
      <c r="F176" s="44" t="n">
        <f aca="false">IF(ISBLANK('Raw - Sessions'!U150),"",'Raw - Sessions'!Z150)</f>
        <v>0.41</v>
      </c>
      <c r="G176" s="44" t="n">
        <f aca="false">IF(ISBLANK('Raw - Sessions'!U150),"",'Raw - Sessions'!AE150)</f>
        <v>0</v>
      </c>
      <c r="H176" s="44" t="n">
        <f aca="false">IF(ISBLANK('Raw - Sessions'!U150),"",'Raw - Sessions'!AD150)</f>
        <v>0.68</v>
      </c>
      <c r="I176" s="44" t="n">
        <f aca="false">IF(ISBLANK('Raw - Sessions'!U150),"",'Raw - Sessions'!P150)</f>
        <v>7.19</v>
      </c>
      <c r="J176" s="44" t="n">
        <f aca="false">IF(E176="","",E176+F176+G176+'Raw - Sessions'!AA150+'Raw - Sessions'!AB150+'Raw - Sessions'!AC150)</f>
        <v>7.19</v>
      </c>
      <c r="K176" s="44" t="n">
        <f aca="false">IF(E176="","",I176-J176)</f>
        <v>0</v>
      </c>
      <c r="L176" s="72" t="str">
        <f aca="false">IF(E176="","",IF(ABS(K176)&gt;0.02,"MISMATCH","OK"))</f>
        <v>OK</v>
      </c>
      <c r="M176" s="44" t="n">
        <f aca="false">IF(ISBLANK('Raw - Sessions'!U150),"",'Raw - Sessions'!Q150)</f>
        <v>6.1</v>
      </c>
      <c r="N176" s="44" t="n">
        <f aca="false">IF(E176="","",I176-G176-H176-F176)</f>
        <v>6.1</v>
      </c>
      <c r="O176" s="44" t="n">
        <f aca="false">IF(E176="","",M176-N176)</f>
        <v>0</v>
      </c>
      <c r="P176" s="72" t="str">
        <f aca="false">IF(E176="","",IF(ABS(O176)&gt;0.02,"MISMATCH","OK"))</f>
        <v>OK</v>
      </c>
    </row>
    <row r="177" customFormat="false" ht="15" hidden="false" customHeight="false" outlineLevel="0" collapsed="false">
      <c r="A177" s="70" t="n">
        <f aca="false">'Raw - Sessions'!A151</f>
        <v>4989170751</v>
      </c>
      <c r="B177" s="70" t="str">
        <f aca="false">'Raw - Sessions'!K151</f>
        <v>BARBOURVILLE / CITY HALL</v>
      </c>
      <c r="C177" s="71" t="n">
        <f aca="false">IF(ISBLANK('Raw - Sessions'!U151),"",'Raw - Sessions'!T151)</f>
        <v>0.5</v>
      </c>
      <c r="D177" s="38" t="n">
        <f aca="false">'Raw - Sessions'!E151</f>
        <v>20.0592</v>
      </c>
      <c r="E177" s="42" t="n">
        <f aca="false">IF(ISBLANK('Raw - Sessions'!U151),"",'Raw - Sessions'!U151)</f>
        <v>17.5</v>
      </c>
      <c r="F177" s="42" t="n">
        <f aca="false">IF(ISBLANK('Raw - Sessions'!U151),"",'Raw - Sessions'!Z151)</f>
        <v>1.05</v>
      </c>
      <c r="G177" s="42" t="n">
        <f aca="false">IF(ISBLANK('Raw - Sessions'!U151),"",'Raw - Sessions'!AE151)</f>
        <v>0</v>
      </c>
      <c r="H177" s="42" t="n">
        <f aca="false">IF(ISBLANK('Raw - Sessions'!U151),"",'Raw - Sessions'!AD151)</f>
        <v>1.75</v>
      </c>
      <c r="I177" s="42" t="n">
        <f aca="false">IF(ISBLANK('Raw - Sessions'!U151),"",'Raw - Sessions'!P151)</f>
        <v>18.55</v>
      </c>
      <c r="J177" s="42" t="n">
        <f aca="false">IF(E177="","",E177+F177+G177+'Raw - Sessions'!AA151+'Raw - Sessions'!AB151+'Raw - Sessions'!AC151)</f>
        <v>18.55</v>
      </c>
      <c r="K177" s="42" t="n">
        <f aca="false">IF(E177="","",I177-J177)</f>
        <v>0</v>
      </c>
      <c r="L177" s="70" t="str">
        <f aca="false">IF(E177="","",IF(ABS(K177)&gt;0.02,"MISMATCH","OK"))</f>
        <v>OK</v>
      </c>
      <c r="M177" s="42" t="n">
        <f aca="false">IF(ISBLANK('Raw - Sessions'!U151),"",'Raw - Sessions'!Q151)</f>
        <v>15.75</v>
      </c>
      <c r="N177" s="42" t="n">
        <f aca="false">IF(E177="","",I177-G177-H177-F177)</f>
        <v>15.75</v>
      </c>
      <c r="O177" s="42" t="n">
        <f aca="false">IF(E177="","",M177-N177)</f>
        <v>0</v>
      </c>
      <c r="P177" s="70" t="str">
        <f aca="false">IF(E177="","",IF(ABS(O177)&gt;0.02,"MISMATCH","OK"))</f>
        <v>OK</v>
      </c>
    </row>
    <row r="178" customFormat="false" ht="15" hidden="false" customHeight="false" outlineLevel="0" collapsed="false">
      <c r="A178" s="72" t="n">
        <f aca="false">'Raw - Sessions'!A152</f>
        <v>4992293321</v>
      </c>
      <c r="B178" s="72" t="str">
        <f aca="false">'Raw - Sessions'!K152</f>
        <v>BARBOURVILLE / CITY HALL</v>
      </c>
      <c r="C178" s="73" t="n">
        <f aca="false">IF(ISBLANK('Raw - Sessions'!U152),"",'Raw - Sessions'!T152)</f>
        <v>0.5</v>
      </c>
      <c r="D178" s="39" t="n">
        <f aca="false">'Raw - Sessions'!E152</f>
        <v>57.816898</v>
      </c>
      <c r="E178" s="44" t="n">
        <f aca="false">IF(ISBLANK('Raw - Sessions'!U152),"",'Raw - Sessions'!U152)</f>
        <v>42.22</v>
      </c>
      <c r="F178" s="44" t="n">
        <f aca="false">IF(ISBLANK('Raw - Sessions'!U152),"",'Raw - Sessions'!Z152)</f>
        <v>2.53</v>
      </c>
      <c r="G178" s="44" t="n">
        <f aca="false">IF(ISBLANK('Raw - Sessions'!U152),"",'Raw - Sessions'!AE152)</f>
        <v>0</v>
      </c>
      <c r="H178" s="44" t="n">
        <f aca="false">IF(ISBLANK('Raw - Sessions'!U152),"",'Raw - Sessions'!AD152)</f>
        <v>4.22</v>
      </c>
      <c r="I178" s="44" t="n">
        <f aca="false">IF(ISBLANK('Raw - Sessions'!U152),"",'Raw - Sessions'!P152)</f>
        <v>44.75</v>
      </c>
      <c r="J178" s="44" t="n">
        <f aca="false">IF(E178="","",E178+F178+G178+'Raw - Sessions'!AA152+'Raw - Sessions'!AB152+'Raw - Sessions'!AC152)</f>
        <v>44.75</v>
      </c>
      <c r="K178" s="44" t="n">
        <f aca="false">IF(E178="","",I178-J178)</f>
        <v>0</v>
      </c>
      <c r="L178" s="72" t="str">
        <f aca="false">IF(E178="","",IF(ABS(K178)&gt;0.02,"MISMATCH","OK"))</f>
        <v>OK</v>
      </c>
      <c r="M178" s="44" t="n">
        <f aca="false">IF(ISBLANK('Raw - Sessions'!U152),"",'Raw - Sessions'!Q152)</f>
        <v>38</v>
      </c>
      <c r="N178" s="44" t="n">
        <f aca="false">IF(E178="","",I178-G178-H178-F178)</f>
        <v>38</v>
      </c>
      <c r="O178" s="44" t="n">
        <f aca="false">IF(E178="","",M178-N178)</f>
        <v>0</v>
      </c>
      <c r="P178" s="72" t="str">
        <f aca="false">IF(E178="","",IF(ABS(O178)&gt;0.02,"MISMATCH","OK"))</f>
        <v>OK</v>
      </c>
    </row>
    <row r="179" customFormat="false" ht="15" hidden="false" customHeight="false" outlineLevel="0" collapsed="false">
      <c r="A179" s="70" t="n">
        <f aca="false">'Raw - Sessions'!A153</f>
        <v>5000972361</v>
      </c>
      <c r="B179" s="70" t="str">
        <f aca="false">'Raw - Sessions'!K153</f>
        <v>BARBOURVILLE / CITY HALL</v>
      </c>
      <c r="C179" s="71" t="n">
        <f aca="false">IF(ISBLANK('Raw - Sessions'!U153),"",'Raw - Sessions'!T153)</f>
        <v>0.5</v>
      </c>
      <c r="D179" s="38" t="n">
        <f aca="false">'Raw - Sessions'!E153</f>
        <v>33.316002</v>
      </c>
      <c r="E179" s="42" t="n">
        <f aca="false">IF(ISBLANK('Raw - Sessions'!U153),"",'Raw - Sessions'!U153)</f>
        <v>20.39</v>
      </c>
      <c r="F179" s="42" t="n">
        <f aca="false">IF(ISBLANK('Raw - Sessions'!U153),"",'Raw - Sessions'!Z153)</f>
        <v>1.22</v>
      </c>
      <c r="G179" s="42" t="n">
        <f aca="false">IF(ISBLANK('Raw - Sessions'!U153),"",'Raw - Sessions'!AE153)</f>
        <v>0</v>
      </c>
      <c r="H179" s="42" t="n">
        <f aca="false">IF(ISBLANK('Raw - Sessions'!U153),"",'Raw - Sessions'!AD153)</f>
        <v>2.04</v>
      </c>
      <c r="I179" s="42" t="n">
        <f aca="false">IF(ISBLANK('Raw - Sessions'!U153),"",'Raw - Sessions'!P153)</f>
        <v>21.61</v>
      </c>
      <c r="J179" s="42" t="n">
        <f aca="false">IF(E179="","",E179+F179+G179+'Raw - Sessions'!AA153+'Raw - Sessions'!AB153+'Raw - Sessions'!AC153)</f>
        <v>21.61</v>
      </c>
      <c r="K179" s="42" t="n">
        <f aca="false">IF(E179="","",I179-J179)</f>
        <v>0</v>
      </c>
      <c r="L179" s="70" t="str">
        <f aca="false">IF(E179="","",IF(ABS(K179)&gt;0.02,"MISMATCH","OK"))</f>
        <v>OK</v>
      </c>
      <c r="M179" s="42" t="n">
        <f aca="false">IF(ISBLANK('Raw - Sessions'!U153),"",'Raw - Sessions'!Q153)</f>
        <v>18.35</v>
      </c>
      <c r="N179" s="42" t="n">
        <f aca="false">IF(E179="","",I179-G179-H179-F179)</f>
        <v>18.35</v>
      </c>
      <c r="O179" s="42" t="n">
        <f aca="false">IF(E179="","",M179-N179)</f>
        <v>0</v>
      </c>
      <c r="P179" s="70" t="str">
        <f aca="false">IF(E179="","",IF(ABS(O179)&gt;0.02,"MISMATCH","OK"))</f>
        <v>OK</v>
      </c>
    </row>
    <row r="180" customFormat="false" ht="15" hidden="false" customHeight="false" outlineLevel="0" collapsed="false">
      <c r="A180" s="72" t="n">
        <f aca="false">'Raw - Sessions'!A154</f>
        <v>5001495271</v>
      </c>
      <c r="B180" s="72" t="str">
        <f aca="false">'Raw - Sessions'!K154</f>
        <v>BARBOURVILLE / TOURISM</v>
      </c>
      <c r="C180" s="73" t="n">
        <f aca="false">IF(ISBLANK('Raw - Sessions'!U154),"",'Raw - Sessions'!T154)</f>
        <v>0.5</v>
      </c>
      <c r="D180" s="39" t="n">
        <f aca="false">'Raw - Sessions'!E154</f>
        <v>20.032721</v>
      </c>
      <c r="E180" s="44" t="n">
        <f aca="false">IF(ISBLANK('Raw - Sessions'!U154),"",'Raw - Sessions'!U154)</f>
        <v>23.88</v>
      </c>
      <c r="F180" s="44" t="n">
        <f aca="false">IF(ISBLANK('Raw - Sessions'!U154),"",'Raw - Sessions'!Z154)</f>
        <v>1.43</v>
      </c>
      <c r="G180" s="44" t="n">
        <f aca="false">IF(ISBLANK('Raw - Sessions'!U154),"",'Raw - Sessions'!AE154)</f>
        <v>0</v>
      </c>
      <c r="H180" s="44" t="n">
        <f aca="false">IF(ISBLANK('Raw - Sessions'!U154),"",'Raw - Sessions'!AD154)</f>
        <v>2.39</v>
      </c>
      <c r="I180" s="44" t="n">
        <f aca="false">IF(ISBLANK('Raw - Sessions'!U154),"",'Raw - Sessions'!P154)</f>
        <v>25.31</v>
      </c>
      <c r="J180" s="44" t="n">
        <f aca="false">IF(E180="","",E180+F180+G180+'Raw - Sessions'!AA154+'Raw - Sessions'!AB154+'Raw - Sessions'!AC154)</f>
        <v>25.31</v>
      </c>
      <c r="K180" s="44" t="n">
        <f aca="false">IF(E180="","",I180-J180)</f>
        <v>0</v>
      </c>
      <c r="L180" s="72" t="str">
        <f aca="false">IF(E180="","",IF(ABS(K180)&gt;0.02,"MISMATCH","OK"))</f>
        <v>OK</v>
      </c>
      <c r="M180" s="44" t="n">
        <f aca="false">IF(ISBLANK('Raw - Sessions'!U154),"",'Raw - Sessions'!Q154)</f>
        <v>21.49</v>
      </c>
      <c r="N180" s="44" t="n">
        <f aca="false">IF(E180="","",I180-G180-H180-F180)</f>
        <v>21.49</v>
      </c>
      <c r="O180" s="44" t="n">
        <f aca="false">IF(E180="","",M180-N180)</f>
        <v>0</v>
      </c>
      <c r="P180" s="72" t="str">
        <f aca="false">IF(E180="","",IF(ABS(O180)&gt;0.02,"MISMATCH","OK"))</f>
        <v>OK</v>
      </c>
    </row>
    <row r="181" customFormat="false" ht="15" hidden="false" customHeight="false" outlineLevel="0" collapsed="false">
      <c r="A181" s="70" t="n">
        <f aca="false">'Raw - Sessions'!A155</f>
        <v>5002321781</v>
      </c>
      <c r="B181" s="70" t="str">
        <f aca="false">'Raw - Sessions'!K155</f>
        <v>BARBOURVILLE / CITY HALL</v>
      </c>
      <c r="C181" s="71" t="n">
        <f aca="false">IF(ISBLANK('Raw - Sessions'!U155),"",'Raw - Sessions'!T155)</f>
        <v>0.5</v>
      </c>
      <c r="D181" s="38" t="n">
        <f aca="false">'Raw - Sessions'!E155</f>
        <v>22.825899</v>
      </c>
      <c r="E181" s="42" t="n">
        <f aca="false">IF(ISBLANK('Raw - Sessions'!U155),"",'Raw - Sessions'!U155)</f>
        <v>13.57</v>
      </c>
      <c r="F181" s="42" t="n">
        <f aca="false">IF(ISBLANK('Raw - Sessions'!U155),"",'Raw - Sessions'!Z155)</f>
        <v>0.81</v>
      </c>
      <c r="G181" s="42" t="n">
        <f aca="false">IF(ISBLANK('Raw - Sessions'!U155),"",'Raw - Sessions'!AE155)</f>
        <v>0</v>
      </c>
      <c r="H181" s="42" t="n">
        <f aca="false">IF(ISBLANK('Raw - Sessions'!U155),"",'Raw - Sessions'!AD155)</f>
        <v>1.36</v>
      </c>
      <c r="I181" s="42" t="n">
        <f aca="false">IF(ISBLANK('Raw - Sessions'!U155),"",'Raw - Sessions'!P155)</f>
        <v>14.38</v>
      </c>
      <c r="J181" s="42" t="n">
        <f aca="false">IF(E181="","",E181+F181+G181+'Raw - Sessions'!AA155+'Raw - Sessions'!AB155+'Raw - Sessions'!AC155)</f>
        <v>14.38</v>
      </c>
      <c r="K181" s="42" t="n">
        <f aca="false">IF(E181="","",I181-J181)</f>
        <v>0</v>
      </c>
      <c r="L181" s="70" t="str">
        <f aca="false">IF(E181="","",IF(ABS(K181)&gt;0.02,"MISMATCH","OK"))</f>
        <v>OK</v>
      </c>
      <c r="M181" s="42" t="n">
        <f aca="false">IF(ISBLANK('Raw - Sessions'!U155),"",'Raw - Sessions'!Q155)</f>
        <v>12.21</v>
      </c>
      <c r="N181" s="42" t="n">
        <f aca="false">IF(E181="","",I181-G181-H181-F181)</f>
        <v>12.21</v>
      </c>
      <c r="O181" s="42" t="n">
        <f aca="false">IF(E181="","",M181-N181)</f>
        <v>0</v>
      </c>
      <c r="P181" s="70" t="str">
        <f aca="false">IF(E181="","",IF(ABS(O181)&gt;0.02,"MISMATCH","OK"))</f>
        <v>OK</v>
      </c>
    </row>
    <row r="182" customFormat="false" ht="15" hidden="false" customHeight="false" outlineLevel="0" collapsed="false">
      <c r="A182" s="72" t="n">
        <f aca="false">'Raw - Sessions'!A156</f>
        <v>5004585191</v>
      </c>
      <c r="B182" s="72" t="str">
        <f aca="false">'Raw - Sessions'!K156</f>
        <v>BARBOURVILLE / CITY HALL</v>
      </c>
      <c r="C182" s="73" t="n">
        <f aca="false">IF(ISBLANK('Raw - Sessions'!U156),"",'Raw - Sessions'!T156)</f>
        <v>0.5</v>
      </c>
      <c r="D182" s="39" t="n">
        <f aca="false">'Raw - Sessions'!E156</f>
        <v>51.890499</v>
      </c>
      <c r="E182" s="44" t="n">
        <f aca="false">IF(ISBLANK('Raw - Sessions'!U156),"",'Raw - Sessions'!U156)</f>
        <v>38.5</v>
      </c>
      <c r="F182" s="44" t="n">
        <f aca="false">IF(ISBLANK('Raw - Sessions'!U156),"",'Raw - Sessions'!Z156)</f>
        <v>2.31</v>
      </c>
      <c r="G182" s="44" t="n">
        <f aca="false">IF(ISBLANK('Raw - Sessions'!U156),"",'Raw - Sessions'!AE156)</f>
        <v>0</v>
      </c>
      <c r="H182" s="44" t="n">
        <f aca="false">IF(ISBLANK('Raw - Sessions'!U156),"",'Raw - Sessions'!AD156)</f>
        <v>3.85</v>
      </c>
      <c r="I182" s="44" t="n">
        <f aca="false">IF(ISBLANK('Raw - Sessions'!U156),"",'Raw - Sessions'!P156)</f>
        <v>40.81</v>
      </c>
      <c r="J182" s="44" t="n">
        <f aca="false">IF(E182="","",E182+F182+G182+'Raw - Sessions'!AA156+'Raw - Sessions'!AB156+'Raw - Sessions'!AC156)</f>
        <v>40.81</v>
      </c>
      <c r="K182" s="44" t="n">
        <f aca="false">IF(E182="","",I182-J182)</f>
        <v>0</v>
      </c>
      <c r="L182" s="72" t="str">
        <f aca="false">IF(E182="","",IF(ABS(K182)&gt;0.02,"MISMATCH","OK"))</f>
        <v>OK</v>
      </c>
      <c r="M182" s="44" t="n">
        <f aca="false">IF(ISBLANK('Raw - Sessions'!U156),"",'Raw - Sessions'!Q156)</f>
        <v>34.65</v>
      </c>
      <c r="N182" s="44" t="n">
        <f aca="false">IF(E182="","",I182-G182-H182-F182)</f>
        <v>34.65</v>
      </c>
      <c r="O182" s="44" t="n">
        <f aca="false">IF(E182="","",M182-N182)</f>
        <v>0</v>
      </c>
      <c r="P182" s="72" t="str">
        <f aca="false">IF(E182="","",IF(ABS(O182)&gt;0.02,"MISMATCH","OK"))</f>
        <v>OK</v>
      </c>
    </row>
    <row r="183" customFormat="false" ht="15" hidden="false" customHeight="false" outlineLevel="0" collapsed="false">
      <c r="A183" s="70" t="n">
        <f aca="false">'Raw - Sessions'!A157</f>
        <v>5006411571</v>
      </c>
      <c r="B183" s="70" t="str">
        <f aca="false">'Raw - Sessions'!K157</f>
        <v>BARBOURVILLE / CITY HALL</v>
      </c>
      <c r="C183" s="71" t="n">
        <f aca="false">IF(ISBLANK('Raw - Sessions'!U157),"",'Raw - Sessions'!T157)</f>
        <v>0.5</v>
      </c>
      <c r="D183" s="38" t="n">
        <f aca="false">'Raw - Sessions'!E157</f>
        <v>13.3721</v>
      </c>
      <c r="E183" s="42" t="n">
        <f aca="false">IF(ISBLANK('Raw - Sessions'!U157),"",'Raw - Sessions'!U157)</f>
        <v>7.97</v>
      </c>
      <c r="F183" s="42" t="n">
        <f aca="false">IF(ISBLANK('Raw - Sessions'!U157),"",'Raw - Sessions'!Z157)</f>
        <v>0.48</v>
      </c>
      <c r="G183" s="42" t="n">
        <f aca="false">IF(ISBLANK('Raw - Sessions'!U157),"",'Raw - Sessions'!AE157)</f>
        <v>0</v>
      </c>
      <c r="H183" s="42" t="n">
        <f aca="false">IF(ISBLANK('Raw - Sessions'!U157),"",'Raw - Sessions'!AD157)</f>
        <v>0.8</v>
      </c>
      <c r="I183" s="42" t="n">
        <f aca="false">IF(ISBLANK('Raw - Sessions'!U157),"",'Raw - Sessions'!P157)</f>
        <v>8.45</v>
      </c>
      <c r="J183" s="42" t="n">
        <f aca="false">IF(E183="","",E183+F183+G183+'Raw - Sessions'!AA157+'Raw - Sessions'!AB157+'Raw - Sessions'!AC157)</f>
        <v>8.45</v>
      </c>
      <c r="K183" s="42" t="n">
        <f aca="false">IF(E183="","",I183-J183)</f>
        <v>0</v>
      </c>
      <c r="L183" s="70" t="str">
        <f aca="false">IF(E183="","",IF(ABS(K183)&gt;0.02,"MISMATCH","OK"))</f>
        <v>OK</v>
      </c>
      <c r="M183" s="42" t="n">
        <f aca="false">IF(ISBLANK('Raw - Sessions'!U157),"",'Raw - Sessions'!Q157)</f>
        <v>7.17</v>
      </c>
      <c r="N183" s="42" t="n">
        <f aca="false">IF(E183="","",I183-G183-H183-F183)</f>
        <v>7.17</v>
      </c>
      <c r="O183" s="42" t="n">
        <f aca="false">IF(E183="","",M183-N183)</f>
        <v>0</v>
      </c>
      <c r="P183" s="70" t="str">
        <f aca="false">IF(E183="","",IF(ABS(O183)&gt;0.02,"MISMATCH","OK"))</f>
        <v>OK</v>
      </c>
    </row>
    <row r="184" customFormat="false" ht="15" hidden="false" customHeight="false" outlineLevel="0" collapsed="false">
      <c r="A184" s="72" t="n">
        <f aca="false">'Raw - Sessions'!A158</f>
        <v>5006660271</v>
      </c>
      <c r="B184" s="72" t="str">
        <f aca="false">'Raw - Sessions'!K158</f>
        <v>BARBOURVILLE / TOURISM</v>
      </c>
      <c r="C184" s="73" t="n">
        <f aca="false">IF(ISBLANK('Raw - Sessions'!U158),"",'Raw - Sessions'!T158)</f>
        <v>0.5</v>
      </c>
      <c r="D184" s="39" t="n">
        <f aca="false">'Raw - Sessions'!E158</f>
        <v>2.873975</v>
      </c>
      <c r="E184" s="44" t="n">
        <f aca="false">IF(ISBLANK('Raw - Sessions'!U158),"",'Raw - Sessions'!U158)</f>
        <v>3.43</v>
      </c>
      <c r="F184" s="44" t="n">
        <f aca="false">IF(ISBLANK('Raw - Sessions'!U158),"",'Raw - Sessions'!Z158)</f>
        <v>0.21</v>
      </c>
      <c r="G184" s="44" t="n">
        <f aca="false">IF(ISBLANK('Raw - Sessions'!U158),"",'Raw - Sessions'!AE158)</f>
        <v>0</v>
      </c>
      <c r="H184" s="44" t="n">
        <f aca="false">IF(ISBLANK('Raw - Sessions'!U158),"",'Raw - Sessions'!AD158)</f>
        <v>0.34</v>
      </c>
      <c r="I184" s="44" t="n">
        <f aca="false">IF(ISBLANK('Raw - Sessions'!U158),"",'Raw - Sessions'!P158)</f>
        <v>3.64</v>
      </c>
      <c r="J184" s="44" t="n">
        <f aca="false">IF(E184="","",E184+F184+G184+'Raw - Sessions'!AA158+'Raw - Sessions'!AB158+'Raw - Sessions'!AC158)</f>
        <v>3.64</v>
      </c>
      <c r="K184" s="44" t="n">
        <f aca="false">IF(E184="","",I184-J184)</f>
        <v>0</v>
      </c>
      <c r="L184" s="72" t="str">
        <f aca="false">IF(E184="","",IF(ABS(K184)&gt;0.02,"MISMATCH","OK"))</f>
        <v>OK</v>
      </c>
      <c r="M184" s="44" t="n">
        <f aca="false">IF(ISBLANK('Raw - Sessions'!U158),"",'Raw - Sessions'!Q158)</f>
        <v>3.09</v>
      </c>
      <c r="N184" s="44" t="n">
        <f aca="false">IF(E184="","",I184-G184-H184-F184)</f>
        <v>3.09</v>
      </c>
      <c r="O184" s="44" t="n">
        <f aca="false">IF(E184="","",M184-N184)</f>
        <v>0</v>
      </c>
      <c r="P184" s="72" t="str">
        <f aca="false">IF(E184="","",IF(ABS(O184)&gt;0.02,"MISMATCH","OK"))</f>
        <v>OK</v>
      </c>
    </row>
    <row r="185" customFormat="false" ht="15" hidden="false" customHeight="false" outlineLevel="0" collapsed="false">
      <c r="A185" s="70" t="n">
        <f aca="false">'Raw - Sessions'!A159</f>
        <v>5007280631</v>
      </c>
      <c r="B185" s="70" t="str">
        <f aca="false">'Raw - Sessions'!K159</f>
        <v>BARBOURVILLE / TOURISM</v>
      </c>
      <c r="C185" s="71" t="str">
        <f aca="false">IF(ISBLANK('Raw - Sessions'!U159),"",'Raw - Sessions'!T159)</f>
        <v/>
      </c>
      <c r="D185" s="38" t="n">
        <f aca="false">'Raw - Sessions'!E159</f>
        <v>0</v>
      </c>
      <c r="E185" s="42" t="str">
        <f aca="false">IF(ISBLANK('Raw - Sessions'!U159),"",'Raw - Sessions'!U159)</f>
        <v/>
      </c>
      <c r="F185" s="42" t="str">
        <f aca="false">IF(ISBLANK('Raw - Sessions'!U159),"",'Raw - Sessions'!Z159)</f>
        <v/>
      </c>
      <c r="G185" s="42" t="str">
        <f aca="false">IF(ISBLANK('Raw - Sessions'!U159),"",'Raw - Sessions'!AE159)</f>
        <v/>
      </c>
      <c r="H185" s="42" t="str">
        <f aca="false">IF(ISBLANK('Raw - Sessions'!U159),"",'Raw - Sessions'!AD159)</f>
        <v/>
      </c>
      <c r="I185" s="42" t="str">
        <f aca="false">IF(ISBLANK('Raw - Sessions'!U159),"",'Raw - Sessions'!P159)</f>
        <v/>
      </c>
      <c r="J185" s="42" t="str">
        <f aca="false">IF(E185="","",E185+F185+G185+'Raw - Sessions'!AA159+'Raw - Sessions'!AB159+'Raw - Sessions'!AC159)</f>
        <v/>
      </c>
      <c r="K185" s="42" t="str">
        <f aca="false">IF(E185="","",I185-J185)</f>
        <v/>
      </c>
      <c r="L185" s="70" t="str">
        <f aca="false">IF(E185="","",IF(ABS(K185)&gt;0.02,"MISMATCH","OK"))</f>
        <v/>
      </c>
      <c r="M185" s="42" t="str">
        <f aca="false">IF(ISBLANK('Raw - Sessions'!U159),"",'Raw - Sessions'!Q159)</f>
        <v/>
      </c>
      <c r="N185" s="42" t="str">
        <f aca="false">IF(E185="","",I185-G185-H185-F185)</f>
        <v/>
      </c>
      <c r="O185" s="42" t="str">
        <f aca="false">IF(E185="","",M185-N185)</f>
        <v/>
      </c>
      <c r="P185" s="70" t="str">
        <f aca="false">IF(E185="","",IF(ABS(O185)&gt;0.02,"MISMATCH","OK"))</f>
        <v/>
      </c>
    </row>
    <row r="186" customFormat="false" ht="15" hidden="false" customHeight="false" outlineLevel="0" collapsed="false">
      <c r="A186" s="72" t="n">
        <f aca="false">'Raw - Sessions'!A160</f>
        <v>5007282311</v>
      </c>
      <c r="B186" s="72" t="str">
        <f aca="false">'Raw - Sessions'!K160</f>
        <v>BARBOURVILLE / TOURISM</v>
      </c>
      <c r="C186" s="73" t="n">
        <f aca="false">IF(ISBLANK('Raw - Sessions'!U160),"",'Raw - Sessions'!T160)</f>
        <v>0.5</v>
      </c>
      <c r="D186" s="39" t="n">
        <f aca="false">'Raw - Sessions'!E160</f>
        <v>15.52428</v>
      </c>
      <c r="E186" s="44" t="n">
        <f aca="false">IF(ISBLANK('Raw - Sessions'!U160),"",'Raw - Sessions'!U160)</f>
        <v>18.54</v>
      </c>
      <c r="F186" s="44" t="n">
        <f aca="false">IF(ISBLANK('Raw - Sessions'!U160),"",'Raw - Sessions'!Z160)</f>
        <v>1.12</v>
      </c>
      <c r="G186" s="44" t="n">
        <f aca="false">IF(ISBLANK('Raw - Sessions'!U160),"",'Raw - Sessions'!AE160)</f>
        <v>0</v>
      </c>
      <c r="H186" s="44" t="n">
        <f aca="false">IF(ISBLANK('Raw - Sessions'!U160),"",'Raw - Sessions'!AD160)</f>
        <v>1.85</v>
      </c>
      <c r="I186" s="44" t="n">
        <f aca="false">IF(ISBLANK('Raw - Sessions'!U160),"",'Raw - Sessions'!P160)</f>
        <v>19.66</v>
      </c>
      <c r="J186" s="44" t="n">
        <f aca="false">IF(E186="","",E186+F186+G186+'Raw - Sessions'!AA160+'Raw - Sessions'!AB160+'Raw - Sessions'!AC160)</f>
        <v>19.66</v>
      </c>
      <c r="K186" s="44" t="n">
        <f aca="false">IF(E186="","",I186-J186)</f>
        <v>0</v>
      </c>
      <c r="L186" s="72" t="str">
        <f aca="false">IF(E186="","",IF(ABS(K186)&gt;0.02,"MISMATCH","OK"))</f>
        <v>OK</v>
      </c>
      <c r="M186" s="44" t="n">
        <f aca="false">IF(ISBLANK('Raw - Sessions'!U160),"",'Raw - Sessions'!Q160)</f>
        <v>16.69</v>
      </c>
      <c r="N186" s="44" t="n">
        <f aca="false">IF(E186="","",I186-G186-H186-F186)</f>
        <v>16.69</v>
      </c>
      <c r="O186" s="44" t="n">
        <f aca="false">IF(E186="","",M186-N186)</f>
        <v>0</v>
      </c>
      <c r="P186" s="72" t="str">
        <f aca="false">IF(E186="","",IF(ABS(O186)&gt;0.02,"MISMATCH","OK"))</f>
        <v>OK</v>
      </c>
    </row>
    <row r="187" customFormat="false" ht="15" hidden="false" customHeight="false" outlineLevel="0" collapsed="false">
      <c r="A187" s="70" t="n">
        <f aca="false">'Raw - Sessions'!A161</f>
        <v>5007294811</v>
      </c>
      <c r="B187" s="70" t="str">
        <f aca="false">'Raw - Sessions'!K161</f>
        <v>BARBOURVILLE / CITY HALL</v>
      </c>
      <c r="C187" s="71" t="n">
        <f aca="false">IF(ISBLANK('Raw - Sessions'!U161),"",'Raw - Sessions'!T161)</f>
        <v>0.5</v>
      </c>
      <c r="D187" s="38" t="n">
        <f aca="false">'Raw - Sessions'!E161</f>
        <v>39.7188</v>
      </c>
      <c r="E187" s="42" t="n">
        <f aca="false">IF(ISBLANK('Raw - Sessions'!U161),"",'Raw - Sessions'!U161)</f>
        <v>23.95</v>
      </c>
      <c r="F187" s="42" t="n">
        <f aca="false">IF(ISBLANK('Raw - Sessions'!U161),"",'Raw - Sessions'!Z161)</f>
        <v>1.44</v>
      </c>
      <c r="G187" s="42" t="n">
        <f aca="false">IF(ISBLANK('Raw - Sessions'!U161),"",'Raw - Sessions'!AE161)</f>
        <v>0</v>
      </c>
      <c r="H187" s="42" t="n">
        <f aca="false">IF(ISBLANK('Raw - Sessions'!U161),"",'Raw - Sessions'!AD161)</f>
        <v>2.39</v>
      </c>
      <c r="I187" s="42" t="n">
        <f aca="false">IF(ISBLANK('Raw - Sessions'!U161),"",'Raw - Sessions'!P161)</f>
        <v>25.39</v>
      </c>
      <c r="J187" s="42" t="n">
        <f aca="false">IF(E187="","",E187+F187+G187+'Raw - Sessions'!AA161+'Raw - Sessions'!AB161+'Raw - Sessions'!AC161)</f>
        <v>25.39</v>
      </c>
      <c r="K187" s="42" t="n">
        <f aca="false">IF(E187="","",I187-J187)</f>
        <v>0</v>
      </c>
      <c r="L187" s="70" t="str">
        <f aca="false">IF(E187="","",IF(ABS(K187)&gt;0.02,"MISMATCH","OK"))</f>
        <v>OK</v>
      </c>
      <c r="M187" s="42" t="n">
        <f aca="false">IF(ISBLANK('Raw - Sessions'!U161),"",'Raw - Sessions'!Q161)</f>
        <v>21.56</v>
      </c>
      <c r="N187" s="42" t="n">
        <f aca="false">IF(E187="","",I187-G187-H187-F187)</f>
        <v>21.56</v>
      </c>
      <c r="O187" s="42" t="n">
        <f aca="false">IF(E187="","",M187-N187)</f>
        <v>0</v>
      </c>
      <c r="P187" s="70" t="str">
        <f aca="false">IF(E187="","",IF(ABS(O187)&gt;0.02,"MISMATCH","OK"))</f>
        <v>OK</v>
      </c>
    </row>
    <row r="188" customFormat="false" ht="15" hidden="false" customHeight="false" outlineLevel="0" collapsed="false">
      <c r="A188" s="72" t="n">
        <f aca="false">'Raw - Sessions'!A162</f>
        <v>5009597461</v>
      </c>
      <c r="B188" s="72" t="str">
        <f aca="false">'Raw - Sessions'!K162</f>
        <v>BARBOURVILLE / CITY HALL</v>
      </c>
      <c r="C188" s="73" t="n">
        <f aca="false">IF(ISBLANK('Raw - Sessions'!U162),"",'Raw - Sessions'!T162)</f>
        <v>0.5</v>
      </c>
      <c r="D188" s="39" t="n">
        <f aca="false">'Raw - Sessions'!E162</f>
        <v>41.103699</v>
      </c>
      <c r="E188" s="44" t="n">
        <f aca="false">IF(ISBLANK('Raw - Sessions'!U162),"",'Raw - Sessions'!U162)</f>
        <v>24.21</v>
      </c>
      <c r="F188" s="44" t="n">
        <f aca="false">IF(ISBLANK('Raw - Sessions'!U162),"",'Raw - Sessions'!Z162)</f>
        <v>1.45</v>
      </c>
      <c r="G188" s="44" t="n">
        <f aca="false">IF(ISBLANK('Raw - Sessions'!U162),"",'Raw - Sessions'!AE162)</f>
        <v>0</v>
      </c>
      <c r="H188" s="44" t="n">
        <f aca="false">IF(ISBLANK('Raw - Sessions'!U162),"",'Raw - Sessions'!AD162)</f>
        <v>2.42</v>
      </c>
      <c r="I188" s="44" t="n">
        <f aca="false">IF(ISBLANK('Raw - Sessions'!U162),"",'Raw - Sessions'!P162)</f>
        <v>25.66</v>
      </c>
      <c r="J188" s="44" t="n">
        <f aca="false">IF(E188="","",E188+F188+G188+'Raw - Sessions'!AA162+'Raw - Sessions'!AB162+'Raw - Sessions'!AC162)</f>
        <v>25.66</v>
      </c>
      <c r="K188" s="44" t="n">
        <f aca="false">IF(E188="","",I188-J188)</f>
        <v>0</v>
      </c>
      <c r="L188" s="72" t="str">
        <f aca="false">IF(E188="","",IF(ABS(K188)&gt;0.02,"MISMATCH","OK"))</f>
        <v>OK</v>
      </c>
      <c r="M188" s="44" t="n">
        <f aca="false">IF(ISBLANK('Raw - Sessions'!U162),"",'Raw - Sessions'!Q162)</f>
        <v>21.79</v>
      </c>
      <c r="N188" s="44" t="n">
        <f aca="false">IF(E188="","",I188-G188-H188-F188)</f>
        <v>21.79</v>
      </c>
      <c r="O188" s="44" t="n">
        <f aca="false">IF(E188="","",M188-N188)</f>
        <v>0</v>
      </c>
      <c r="P188" s="72" t="str">
        <f aca="false">IF(E188="","",IF(ABS(O188)&gt;0.02,"MISMATCH","OK"))</f>
        <v>OK</v>
      </c>
    </row>
    <row r="189" customFormat="false" ht="15" hidden="false" customHeight="false" outlineLevel="0" collapsed="false">
      <c r="A189" s="70" t="n">
        <f aca="false">'Raw - Sessions'!A163</f>
        <v>5013948291</v>
      </c>
      <c r="B189" s="70" t="str">
        <f aca="false">'Raw - Sessions'!K163</f>
        <v>BARBOURVILLE / CITY HALL</v>
      </c>
      <c r="C189" s="71" t="n">
        <f aca="false">IF(ISBLANK('Raw - Sessions'!U163),"",'Raw - Sessions'!T163)</f>
        <v>0.5</v>
      </c>
      <c r="D189" s="38" t="n">
        <f aca="false">'Raw - Sessions'!E163</f>
        <v>36.236801</v>
      </c>
      <c r="E189" s="42" t="n">
        <f aca="false">IF(ISBLANK('Raw - Sessions'!U163),"",'Raw - Sessions'!U163)</f>
        <v>21.15</v>
      </c>
      <c r="F189" s="42" t="n">
        <f aca="false">IF(ISBLANK('Raw - Sessions'!U163),"",'Raw - Sessions'!Z163)</f>
        <v>1.27</v>
      </c>
      <c r="G189" s="42" t="n">
        <f aca="false">IF(ISBLANK('Raw - Sessions'!U163),"",'Raw - Sessions'!AE163)</f>
        <v>0</v>
      </c>
      <c r="H189" s="42" t="n">
        <f aca="false">IF(ISBLANK('Raw - Sessions'!U163),"",'Raw - Sessions'!AD163)</f>
        <v>2.11</v>
      </c>
      <c r="I189" s="42" t="n">
        <f aca="false">IF(ISBLANK('Raw - Sessions'!U163),"",'Raw - Sessions'!P163)</f>
        <v>22.42</v>
      </c>
      <c r="J189" s="42" t="n">
        <f aca="false">IF(E189="","",E189+F189+G189+'Raw - Sessions'!AA163+'Raw - Sessions'!AB163+'Raw - Sessions'!AC163)</f>
        <v>22.42</v>
      </c>
      <c r="K189" s="42" t="n">
        <f aca="false">IF(E189="","",I189-J189)</f>
        <v>0</v>
      </c>
      <c r="L189" s="70" t="str">
        <f aca="false">IF(E189="","",IF(ABS(K189)&gt;0.02,"MISMATCH","OK"))</f>
        <v>OK</v>
      </c>
      <c r="M189" s="42" t="n">
        <f aca="false">IF(ISBLANK('Raw - Sessions'!U163),"",'Raw - Sessions'!Q163)</f>
        <v>19.04</v>
      </c>
      <c r="N189" s="42" t="n">
        <f aca="false">IF(E189="","",I189-G189-H189-F189)</f>
        <v>19.04</v>
      </c>
      <c r="O189" s="42" t="n">
        <f aca="false">IF(E189="","",M189-N189)</f>
        <v>0</v>
      </c>
      <c r="P189" s="70" t="str">
        <f aca="false">IF(E189="","",IF(ABS(O189)&gt;0.02,"MISMATCH","OK"))</f>
        <v>OK</v>
      </c>
    </row>
    <row r="190" customFormat="false" ht="15" hidden="false" customHeight="false" outlineLevel="0" collapsed="false">
      <c r="A190" s="72" t="n">
        <f aca="false">'Raw - Sessions'!A164</f>
        <v>5015391051</v>
      </c>
      <c r="B190" s="72" t="str">
        <f aca="false">'Raw - Sessions'!K164</f>
        <v>BARBOURVILLE / CITY HALL</v>
      </c>
      <c r="C190" s="73" t="n">
        <f aca="false">IF(ISBLANK('Raw - Sessions'!U164),"",'Raw - Sessions'!T164)</f>
        <v>0.5</v>
      </c>
      <c r="D190" s="39" t="n">
        <f aca="false">'Raw - Sessions'!E164</f>
        <v>36.759499</v>
      </c>
      <c r="E190" s="44" t="n">
        <f aca="false">IF(ISBLANK('Raw - Sessions'!U164),"",'Raw - Sessions'!U164)</f>
        <v>24.35</v>
      </c>
      <c r="F190" s="44" t="n">
        <f aca="false">IF(ISBLANK('Raw - Sessions'!U164),"",'Raw - Sessions'!Z164)</f>
        <v>1.46</v>
      </c>
      <c r="G190" s="44" t="n">
        <f aca="false">IF(ISBLANK('Raw - Sessions'!U164),"",'Raw - Sessions'!AE164)</f>
        <v>0</v>
      </c>
      <c r="H190" s="44" t="n">
        <f aca="false">IF(ISBLANK('Raw - Sessions'!U164),"",'Raw - Sessions'!AD164)</f>
        <v>2.43</v>
      </c>
      <c r="I190" s="44" t="n">
        <f aca="false">IF(ISBLANK('Raw - Sessions'!U164),"",'Raw - Sessions'!P164)</f>
        <v>25.81</v>
      </c>
      <c r="J190" s="44" t="n">
        <f aca="false">IF(E190="","",E190+F190+G190+'Raw - Sessions'!AA164+'Raw - Sessions'!AB164+'Raw - Sessions'!AC164)</f>
        <v>25.81</v>
      </c>
      <c r="K190" s="44" t="n">
        <f aca="false">IF(E190="","",I190-J190)</f>
        <v>0</v>
      </c>
      <c r="L190" s="72" t="str">
        <f aca="false">IF(E190="","",IF(ABS(K190)&gt;0.02,"MISMATCH","OK"))</f>
        <v>OK</v>
      </c>
      <c r="M190" s="44" t="n">
        <f aca="false">IF(ISBLANK('Raw - Sessions'!U164),"",'Raw - Sessions'!Q164)</f>
        <v>21.92</v>
      </c>
      <c r="N190" s="44" t="n">
        <f aca="false">IF(E190="","",I190-G190-H190-F190)</f>
        <v>21.92</v>
      </c>
      <c r="O190" s="44" t="n">
        <f aca="false">IF(E190="","",M190-N190)</f>
        <v>0</v>
      </c>
      <c r="P190" s="72" t="str">
        <f aca="false">IF(E190="","",IF(ABS(O190)&gt;0.02,"MISMATCH","OK"))</f>
        <v>OK</v>
      </c>
    </row>
    <row r="191" customFormat="false" ht="15" hidden="false" customHeight="false" outlineLevel="0" collapsed="false">
      <c r="A191" s="70" t="n">
        <f aca="false">'Raw - Sessions'!A165</f>
        <v>5016297551</v>
      </c>
      <c r="B191" s="70" t="str">
        <f aca="false">'Raw - Sessions'!K165</f>
        <v>BARBOURVILLE / CITY HALL</v>
      </c>
      <c r="C191" s="71" t="str">
        <f aca="false">IF(ISBLANK('Raw - Sessions'!U165),"",'Raw - Sessions'!T165)</f>
        <v/>
      </c>
      <c r="D191" s="38" t="n">
        <f aca="false">'Raw - Sessions'!E165</f>
        <v>0</v>
      </c>
      <c r="E191" s="42" t="str">
        <f aca="false">IF(ISBLANK('Raw - Sessions'!U165),"",'Raw - Sessions'!U165)</f>
        <v/>
      </c>
      <c r="F191" s="42" t="str">
        <f aca="false">IF(ISBLANK('Raw - Sessions'!U165),"",'Raw - Sessions'!Z165)</f>
        <v/>
      </c>
      <c r="G191" s="42" t="str">
        <f aca="false">IF(ISBLANK('Raw - Sessions'!U165),"",'Raw - Sessions'!AE165)</f>
        <v/>
      </c>
      <c r="H191" s="42" t="str">
        <f aca="false">IF(ISBLANK('Raw - Sessions'!U165),"",'Raw - Sessions'!AD165)</f>
        <v/>
      </c>
      <c r="I191" s="42" t="str">
        <f aca="false">IF(ISBLANK('Raw - Sessions'!U165),"",'Raw - Sessions'!P165)</f>
        <v/>
      </c>
      <c r="J191" s="42" t="str">
        <f aca="false">IF(E191="","",E191+F191+G191+'Raw - Sessions'!AA165+'Raw - Sessions'!AB165+'Raw - Sessions'!AC165)</f>
        <v/>
      </c>
      <c r="K191" s="42" t="str">
        <f aca="false">IF(E191="","",I191-J191)</f>
        <v/>
      </c>
      <c r="L191" s="70" t="str">
        <f aca="false">IF(E191="","",IF(ABS(K191)&gt;0.02,"MISMATCH","OK"))</f>
        <v/>
      </c>
      <c r="M191" s="42" t="str">
        <f aca="false">IF(ISBLANK('Raw - Sessions'!U165),"",'Raw - Sessions'!Q165)</f>
        <v/>
      </c>
      <c r="N191" s="42" t="str">
        <f aca="false">IF(E191="","",I191-G191-H191-F191)</f>
        <v/>
      </c>
      <c r="O191" s="42" t="str">
        <f aca="false">IF(E191="","",M191-N191)</f>
        <v/>
      </c>
      <c r="P191" s="70" t="str">
        <f aca="false">IF(E191="","",IF(ABS(O191)&gt;0.02,"MISMATCH","OK"))</f>
        <v/>
      </c>
    </row>
    <row r="192" customFormat="false" ht="15" hidden="false" customHeight="false" outlineLevel="0" collapsed="false">
      <c r="A192" s="72" t="n">
        <f aca="false">'Raw - Sessions'!A166</f>
        <v>5016300511</v>
      </c>
      <c r="B192" s="72" t="str">
        <f aca="false">'Raw - Sessions'!K166</f>
        <v>BARBOURVILLE / CITY HALL</v>
      </c>
      <c r="C192" s="73" t="n">
        <f aca="false">IF(ISBLANK('Raw - Sessions'!U166),"",'Raw - Sessions'!T166)</f>
        <v>0.5</v>
      </c>
      <c r="D192" s="39" t="n">
        <f aca="false">'Raw - Sessions'!E166</f>
        <v>14.9744</v>
      </c>
      <c r="E192" s="44" t="n">
        <f aca="false">IF(ISBLANK('Raw - Sessions'!U166),"",'Raw - Sessions'!U166)</f>
        <v>9.19</v>
      </c>
      <c r="F192" s="44" t="n">
        <f aca="false">IF(ISBLANK('Raw - Sessions'!U166),"",'Raw - Sessions'!Z166)</f>
        <v>0.55</v>
      </c>
      <c r="G192" s="44" t="n">
        <f aca="false">IF(ISBLANK('Raw - Sessions'!U166),"",'Raw - Sessions'!AE166)</f>
        <v>0</v>
      </c>
      <c r="H192" s="44" t="n">
        <f aca="false">IF(ISBLANK('Raw - Sessions'!U166),"",'Raw - Sessions'!AD166)</f>
        <v>0.92</v>
      </c>
      <c r="I192" s="44" t="n">
        <f aca="false">IF(ISBLANK('Raw - Sessions'!U166),"",'Raw - Sessions'!P166)</f>
        <v>9.74</v>
      </c>
      <c r="J192" s="44" t="n">
        <f aca="false">IF(E192="","",E192+F192+G192+'Raw - Sessions'!AA166+'Raw - Sessions'!AB166+'Raw - Sessions'!AC166)</f>
        <v>9.74</v>
      </c>
      <c r="K192" s="44" t="n">
        <f aca="false">IF(E192="","",I192-J192)</f>
        <v>0</v>
      </c>
      <c r="L192" s="72" t="str">
        <f aca="false">IF(E192="","",IF(ABS(K192)&gt;0.02,"MISMATCH","OK"))</f>
        <v>OK</v>
      </c>
      <c r="M192" s="44" t="n">
        <f aca="false">IF(ISBLANK('Raw - Sessions'!U166),"",'Raw - Sessions'!Q166)</f>
        <v>8.27</v>
      </c>
      <c r="N192" s="44" t="n">
        <f aca="false">IF(E192="","",I192-G192-H192-F192)</f>
        <v>8.27</v>
      </c>
      <c r="O192" s="44" t="n">
        <f aca="false">IF(E192="","",M192-N192)</f>
        <v>0</v>
      </c>
      <c r="P192" s="72" t="str">
        <f aca="false">IF(E192="","",IF(ABS(O192)&gt;0.02,"MISMATCH","OK"))</f>
        <v>OK</v>
      </c>
    </row>
    <row r="193" customFormat="false" ht="15" hidden="false" customHeight="false" outlineLevel="0" collapsed="false">
      <c r="A193" s="70" t="n">
        <f aca="false">'Raw - Sessions'!A167</f>
        <v>5018498521</v>
      </c>
      <c r="B193" s="70" t="str">
        <f aca="false">'Raw - Sessions'!K167</f>
        <v>BARBOURVILLE / CITY HALL</v>
      </c>
      <c r="C193" s="71" t="n">
        <f aca="false">IF(ISBLANK('Raw - Sessions'!U167),"",'Raw - Sessions'!T167)</f>
        <v>0.5</v>
      </c>
      <c r="D193" s="38" t="n">
        <f aca="false">'Raw - Sessions'!E167</f>
        <v>31.748699</v>
      </c>
      <c r="E193" s="42" t="n">
        <f aca="false">IF(ISBLANK('Raw - Sessions'!U167),"",'Raw - Sessions'!U167)</f>
        <v>18.99</v>
      </c>
      <c r="F193" s="42" t="n">
        <f aca="false">IF(ISBLANK('Raw - Sessions'!U167),"",'Raw - Sessions'!Z167)</f>
        <v>1.14</v>
      </c>
      <c r="G193" s="42" t="n">
        <f aca="false">IF(ISBLANK('Raw - Sessions'!U167),"",'Raw - Sessions'!AE167)</f>
        <v>0</v>
      </c>
      <c r="H193" s="42" t="n">
        <f aca="false">IF(ISBLANK('Raw - Sessions'!U167),"",'Raw - Sessions'!AD167)</f>
        <v>1.9</v>
      </c>
      <c r="I193" s="42" t="n">
        <f aca="false">IF(ISBLANK('Raw - Sessions'!U167),"",'Raw - Sessions'!P167)</f>
        <v>20.13</v>
      </c>
      <c r="J193" s="42" t="n">
        <f aca="false">IF(E193="","",E193+F193+G193+'Raw - Sessions'!AA167+'Raw - Sessions'!AB167+'Raw - Sessions'!AC167)</f>
        <v>20.13</v>
      </c>
      <c r="K193" s="42" t="n">
        <f aca="false">IF(E193="","",I193-J193)</f>
        <v>0</v>
      </c>
      <c r="L193" s="70" t="str">
        <f aca="false">IF(E193="","",IF(ABS(K193)&gt;0.02,"MISMATCH","OK"))</f>
        <v>OK</v>
      </c>
      <c r="M193" s="42" t="n">
        <f aca="false">IF(ISBLANK('Raw - Sessions'!U167),"",'Raw - Sessions'!Q167)</f>
        <v>17.09</v>
      </c>
      <c r="N193" s="42" t="n">
        <f aca="false">IF(E193="","",I193-G193-H193-F193)</f>
        <v>17.09</v>
      </c>
      <c r="O193" s="42" t="n">
        <f aca="false">IF(E193="","",M193-N193)</f>
        <v>0</v>
      </c>
      <c r="P193" s="70" t="str">
        <f aca="false">IF(E193="","",IF(ABS(O193)&gt;0.02,"MISMATCH","OK"))</f>
        <v>OK</v>
      </c>
    </row>
    <row r="194" customFormat="false" ht="15" hidden="false" customHeight="false" outlineLevel="0" collapsed="false">
      <c r="A194" s="72" t="n">
        <f aca="false">'Raw - Sessions'!A168</f>
        <v>5020281831</v>
      </c>
      <c r="B194" s="72" t="str">
        <f aca="false">'Raw - Sessions'!K168</f>
        <v>BARBOURVILLE / CITY HALL</v>
      </c>
      <c r="C194" s="73" t="n">
        <f aca="false">IF(ISBLANK('Raw - Sessions'!U168),"",'Raw - Sessions'!T168)</f>
        <v>0.5</v>
      </c>
      <c r="D194" s="39" t="n">
        <f aca="false">'Raw - Sessions'!E168</f>
        <v>65.881104</v>
      </c>
      <c r="E194" s="44" t="n">
        <f aca="false">IF(ISBLANK('Raw - Sessions'!U168),"",'Raw - Sessions'!U168)</f>
        <v>39.08</v>
      </c>
      <c r="F194" s="44" t="n">
        <f aca="false">IF(ISBLANK('Raw - Sessions'!U168),"",'Raw - Sessions'!Z168)</f>
        <v>2.35</v>
      </c>
      <c r="G194" s="44" t="n">
        <f aca="false">IF(ISBLANK('Raw - Sessions'!U168),"",'Raw - Sessions'!AE168)</f>
        <v>0</v>
      </c>
      <c r="H194" s="44" t="n">
        <f aca="false">IF(ISBLANK('Raw - Sessions'!U168),"",'Raw - Sessions'!AD168)</f>
        <v>3.91</v>
      </c>
      <c r="I194" s="44" t="n">
        <f aca="false">IF(ISBLANK('Raw - Sessions'!U168),"",'Raw - Sessions'!P168)</f>
        <v>41.43</v>
      </c>
      <c r="J194" s="44" t="n">
        <f aca="false">IF(E194="","",E194+F194+G194+'Raw - Sessions'!AA168+'Raw - Sessions'!AB168+'Raw - Sessions'!AC168)</f>
        <v>41.43</v>
      </c>
      <c r="K194" s="44" t="n">
        <f aca="false">IF(E194="","",I194-J194)</f>
        <v>0</v>
      </c>
      <c r="L194" s="72" t="str">
        <f aca="false">IF(E194="","",IF(ABS(K194)&gt;0.02,"MISMATCH","OK"))</f>
        <v>OK</v>
      </c>
      <c r="M194" s="44" t="n">
        <f aca="false">IF(ISBLANK('Raw - Sessions'!U168),"",'Raw - Sessions'!Q168)</f>
        <v>35.17</v>
      </c>
      <c r="N194" s="44" t="n">
        <f aca="false">IF(E194="","",I194-G194-H194-F194)</f>
        <v>35.17</v>
      </c>
      <c r="O194" s="44" t="n">
        <f aca="false">IF(E194="","",M194-N194)</f>
        <v>0</v>
      </c>
      <c r="P194" s="72" t="str">
        <f aca="false">IF(E194="","",IF(ABS(O194)&gt;0.02,"MISMATCH","OK"))</f>
        <v>OK</v>
      </c>
    </row>
    <row r="195" customFormat="false" ht="15" hidden="false" customHeight="false" outlineLevel="0" collapsed="false">
      <c r="A195" s="70" t="n">
        <f aca="false">'Raw - Sessions'!A169</f>
        <v>5025598461</v>
      </c>
      <c r="B195" s="70" t="str">
        <f aca="false">'Raw - Sessions'!K169</f>
        <v>BARBOURVILLE / CITY HALL</v>
      </c>
      <c r="C195" s="71" t="n">
        <f aca="false">IF(ISBLANK('Raw - Sessions'!U169),"",'Raw - Sessions'!T169)</f>
        <v>0.5</v>
      </c>
      <c r="D195" s="38" t="n">
        <f aca="false">'Raw - Sessions'!E169</f>
        <v>31.3939</v>
      </c>
      <c r="E195" s="42" t="n">
        <f aca="false">IF(ISBLANK('Raw - Sessions'!U169),"",'Raw - Sessions'!U169)</f>
        <v>18.97</v>
      </c>
      <c r="F195" s="42" t="n">
        <f aca="false">IF(ISBLANK('Raw - Sessions'!U169),"",'Raw - Sessions'!Z169)</f>
        <v>1.14</v>
      </c>
      <c r="G195" s="42" t="n">
        <f aca="false">IF(ISBLANK('Raw - Sessions'!U169),"",'Raw - Sessions'!AE169)</f>
        <v>0</v>
      </c>
      <c r="H195" s="42" t="n">
        <f aca="false">IF(ISBLANK('Raw - Sessions'!U169),"",'Raw - Sessions'!AD169)</f>
        <v>1.9</v>
      </c>
      <c r="I195" s="42" t="n">
        <f aca="false">IF(ISBLANK('Raw - Sessions'!U169),"",'Raw - Sessions'!P169)</f>
        <v>20.11</v>
      </c>
      <c r="J195" s="42" t="n">
        <f aca="false">IF(E195="","",E195+F195+G195+'Raw - Sessions'!AA169+'Raw - Sessions'!AB169+'Raw - Sessions'!AC169)</f>
        <v>20.11</v>
      </c>
      <c r="K195" s="42" t="n">
        <f aca="false">IF(E195="","",I195-J195)</f>
        <v>0</v>
      </c>
      <c r="L195" s="70" t="str">
        <f aca="false">IF(E195="","",IF(ABS(K195)&gt;0.02,"MISMATCH","OK"))</f>
        <v>OK</v>
      </c>
      <c r="M195" s="42" t="n">
        <f aca="false">IF(ISBLANK('Raw - Sessions'!U169),"",'Raw - Sessions'!Q169)</f>
        <v>17.07</v>
      </c>
      <c r="N195" s="42" t="n">
        <f aca="false">IF(E195="","",I195-G195-H195-F195)</f>
        <v>17.07</v>
      </c>
      <c r="O195" s="42" t="n">
        <f aca="false">IF(E195="","",M195-N195)</f>
        <v>0</v>
      </c>
      <c r="P195" s="70" t="str">
        <f aca="false">IF(E195="","",IF(ABS(O195)&gt;0.02,"MISMATCH","OK"))</f>
        <v>OK</v>
      </c>
    </row>
    <row r="196" customFormat="false" ht="15" hidden="false" customHeight="false" outlineLevel="0" collapsed="false">
      <c r="A196" s="72" t="n">
        <f aca="false">'Raw - Sessions'!A170</f>
        <v>5025845291</v>
      </c>
      <c r="B196" s="72" t="str">
        <f aca="false">'Raw - Sessions'!K170</f>
        <v>BARBOURVILLE / CITY HALL</v>
      </c>
      <c r="C196" s="73" t="n">
        <f aca="false">IF(ISBLANK('Raw - Sessions'!U170),"",'Raw - Sessions'!T170)</f>
        <v>0.5</v>
      </c>
      <c r="D196" s="39" t="n">
        <f aca="false">'Raw - Sessions'!E170</f>
        <v>2.6384</v>
      </c>
      <c r="E196" s="44" t="n">
        <f aca="false">IF(ISBLANK('Raw - Sessions'!U170),"",'Raw - Sessions'!U170)</f>
        <v>1.6</v>
      </c>
      <c r="F196" s="44" t="n">
        <f aca="false">IF(ISBLANK('Raw - Sessions'!U170),"",'Raw - Sessions'!Z170)</f>
        <v>0.1</v>
      </c>
      <c r="G196" s="44" t="n">
        <f aca="false">IF(ISBLANK('Raw - Sessions'!U170),"",'Raw - Sessions'!AE170)</f>
        <v>0</v>
      </c>
      <c r="H196" s="44" t="n">
        <f aca="false">IF(ISBLANK('Raw - Sessions'!U170),"",'Raw - Sessions'!AD170)</f>
        <v>0.16</v>
      </c>
      <c r="I196" s="44" t="n">
        <f aca="false">IF(ISBLANK('Raw - Sessions'!U170),"",'Raw - Sessions'!P170)</f>
        <v>1.7</v>
      </c>
      <c r="J196" s="44" t="n">
        <f aca="false">IF(E196="","",E196+F196+G196+'Raw - Sessions'!AA170+'Raw - Sessions'!AB170+'Raw - Sessions'!AC170)</f>
        <v>1.7</v>
      </c>
      <c r="K196" s="44" t="n">
        <f aca="false">IF(E196="","",I196-J196)</f>
        <v>0</v>
      </c>
      <c r="L196" s="72" t="str">
        <f aca="false">IF(E196="","",IF(ABS(K196)&gt;0.02,"MISMATCH","OK"))</f>
        <v>OK</v>
      </c>
      <c r="M196" s="44" t="n">
        <f aca="false">IF(ISBLANK('Raw - Sessions'!U170),"",'Raw - Sessions'!Q170)</f>
        <v>1.44</v>
      </c>
      <c r="N196" s="44" t="n">
        <f aca="false">IF(E196="","",I196-G196-H196-F196)</f>
        <v>1.44</v>
      </c>
      <c r="O196" s="44" t="n">
        <f aca="false">IF(E196="","",M196-N196)</f>
        <v>0</v>
      </c>
      <c r="P196" s="72" t="str">
        <f aca="false">IF(E196="","",IF(ABS(O196)&gt;0.02,"MISMATCH","OK"))</f>
        <v>OK</v>
      </c>
    </row>
    <row r="197" customFormat="false" ht="15" hidden="false" customHeight="false" outlineLevel="0" collapsed="false">
      <c r="A197" s="70" t="n">
        <f aca="false">'Raw - Sessions'!A171</f>
        <v>5025857211</v>
      </c>
      <c r="B197" s="70" t="str">
        <f aca="false">'Raw - Sessions'!K171</f>
        <v>BARBOURVILLE / CITY HALL</v>
      </c>
      <c r="C197" s="71" t="n">
        <f aca="false">IF(ISBLANK('Raw - Sessions'!U171),"",'Raw - Sessions'!T171)</f>
        <v>0.5</v>
      </c>
      <c r="D197" s="38" t="n">
        <f aca="false">'Raw - Sessions'!E171</f>
        <v>64.622597</v>
      </c>
      <c r="E197" s="42" t="n">
        <f aca="false">IF(ISBLANK('Raw - Sessions'!U171),"",'Raw - Sessions'!U171)</f>
        <v>39.25</v>
      </c>
      <c r="F197" s="42" t="n">
        <f aca="false">IF(ISBLANK('Raw - Sessions'!U171),"",'Raw - Sessions'!Z171)</f>
        <v>2.36</v>
      </c>
      <c r="G197" s="42" t="n">
        <f aca="false">IF(ISBLANK('Raw - Sessions'!U171),"",'Raw - Sessions'!AE171)</f>
        <v>0</v>
      </c>
      <c r="H197" s="42" t="n">
        <f aca="false">IF(ISBLANK('Raw - Sessions'!U171),"",'Raw - Sessions'!AD171)</f>
        <v>3.92</v>
      </c>
      <c r="I197" s="42" t="n">
        <f aca="false">IF(ISBLANK('Raw - Sessions'!U171),"",'Raw - Sessions'!P171)</f>
        <v>41.61</v>
      </c>
      <c r="J197" s="42" t="n">
        <f aca="false">IF(E197="","",E197+F197+G197+'Raw - Sessions'!AA171+'Raw - Sessions'!AB171+'Raw - Sessions'!AC171)</f>
        <v>41.61</v>
      </c>
      <c r="K197" s="42" t="n">
        <f aca="false">IF(E197="","",I197-J197)</f>
        <v>0</v>
      </c>
      <c r="L197" s="70" t="str">
        <f aca="false">IF(E197="","",IF(ABS(K197)&gt;0.02,"MISMATCH","OK"))</f>
        <v>OK</v>
      </c>
      <c r="M197" s="42" t="n">
        <f aca="false">IF(ISBLANK('Raw - Sessions'!U171),"",'Raw - Sessions'!Q171)</f>
        <v>35.33</v>
      </c>
      <c r="N197" s="42" t="n">
        <f aca="false">IF(E197="","",I197-G197-H197-F197)</f>
        <v>35.33</v>
      </c>
      <c r="O197" s="42" t="n">
        <f aca="false">IF(E197="","",M197-N197)</f>
        <v>0</v>
      </c>
      <c r="P197" s="70" t="str">
        <f aca="false">IF(E197="","",IF(ABS(O197)&gt;0.02,"MISMATCH","OK"))</f>
        <v>OK</v>
      </c>
    </row>
    <row r="198" customFormat="false" ht="15" hidden="false" customHeight="false" outlineLevel="0" collapsed="false">
      <c r="A198" s="72" t="n">
        <f aca="false">'Raw - Sessions'!A172</f>
        <v>5026498581</v>
      </c>
      <c r="B198" s="72" t="str">
        <f aca="false">'Raw - Sessions'!K172</f>
        <v>BARBOURVILLE / CITY HALL</v>
      </c>
      <c r="C198" s="73" t="n">
        <f aca="false">IF(ISBLANK('Raw - Sessions'!U172),"",'Raw - Sessions'!T172)</f>
        <v>0.5</v>
      </c>
      <c r="D198" s="39" t="n">
        <f aca="false">'Raw - Sessions'!E172</f>
        <v>24.4993</v>
      </c>
      <c r="E198" s="44" t="n">
        <f aca="false">IF(ISBLANK('Raw - Sessions'!U172),"",'Raw - Sessions'!U172)</f>
        <v>14.77</v>
      </c>
      <c r="F198" s="44" t="n">
        <f aca="false">IF(ISBLANK('Raw - Sessions'!U172),"",'Raw - Sessions'!Z172)</f>
        <v>0.89</v>
      </c>
      <c r="G198" s="44" t="n">
        <f aca="false">IF(ISBLANK('Raw - Sessions'!U172),"",'Raw - Sessions'!AE172)</f>
        <v>0</v>
      </c>
      <c r="H198" s="44" t="n">
        <f aca="false">IF(ISBLANK('Raw - Sessions'!U172),"",'Raw - Sessions'!AD172)</f>
        <v>1.48</v>
      </c>
      <c r="I198" s="44" t="n">
        <f aca="false">IF(ISBLANK('Raw - Sessions'!U172),"",'Raw - Sessions'!P172)</f>
        <v>15.66</v>
      </c>
      <c r="J198" s="44" t="n">
        <f aca="false">IF(E198="","",E198+F198+G198+'Raw - Sessions'!AA172+'Raw - Sessions'!AB172+'Raw - Sessions'!AC172)</f>
        <v>15.66</v>
      </c>
      <c r="K198" s="44" t="n">
        <f aca="false">IF(E198="","",I198-J198)</f>
        <v>0</v>
      </c>
      <c r="L198" s="72" t="str">
        <f aca="false">IF(E198="","",IF(ABS(K198)&gt;0.02,"MISMATCH","OK"))</f>
        <v>OK</v>
      </c>
      <c r="M198" s="44" t="n">
        <f aca="false">IF(ISBLANK('Raw - Sessions'!U172),"",'Raw - Sessions'!Q172)</f>
        <v>13.29</v>
      </c>
      <c r="N198" s="44" t="n">
        <f aca="false">IF(E198="","",I198-G198-H198-F198)</f>
        <v>13.29</v>
      </c>
      <c r="O198" s="44" t="n">
        <f aca="false">IF(E198="","",M198-N198)</f>
        <v>0</v>
      </c>
      <c r="P198" s="72" t="str">
        <f aca="false">IF(E198="","",IF(ABS(O198)&gt;0.02,"MISMATCH","OK"))</f>
        <v>OK</v>
      </c>
    </row>
    <row r="199" customFormat="false" ht="15" hidden="false" customHeight="false" outlineLevel="0" collapsed="false">
      <c r="A199" s="70" t="n">
        <f aca="false">'Raw - Sessions'!A173</f>
        <v>5028024991</v>
      </c>
      <c r="B199" s="70" t="str">
        <f aca="false">'Raw - Sessions'!K173</f>
        <v>BARBOURVILLE / CITY HALL</v>
      </c>
      <c r="C199" s="71" t="n">
        <f aca="false">IF(ISBLANK('Raw - Sessions'!U173),"",'Raw - Sessions'!T173)</f>
        <v>0.5</v>
      </c>
      <c r="D199" s="38" t="n">
        <f aca="false">'Raw - Sessions'!E173</f>
        <v>19.6896</v>
      </c>
      <c r="E199" s="42" t="n">
        <f aca="false">IF(ISBLANK('Raw - Sessions'!U173),"",'Raw - Sessions'!U173)</f>
        <v>12.01</v>
      </c>
      <c r="F199" s="42" t="n">
        <f aca="false">IF(ISBLANK('Raw - Sessions'!U173),"",'Raw - Sessions'!Z173)</f>
        <v>0.72</v>
      </c>
      <c r="G199" s="42" t="n">
        <f aca="false">IF(ISBLANK('Raw - Sessions'!U173),"",'Raw - Sessions'!AE173)</f>
        <v>0</v>
      </c>
      <c r="H199" s="42" t="n">
        <f aca="false">IF(ISBLANK('Raw - Sessions'!U173),"",'Raw - Sessions'!AD173)</f>
        <v>1.2</v>
      </c>
      <c r="I199" s="42" t="n">
        <f aca="false">IF(ISBLANK('Raw - Sessions'!U173),"",'Raw - Sessions'!P173)</f>
        <v>12.73</v>
      </c>
      <c r="J199" s="42" t="n">
        <f aca="false">IF(E199="","",E199+F199+G199+'Raw - Sessions'!AA173+'Raw - Sessions'!AB173+'Raw - Sessions'!AC173)</f>
        <v>12.73</v>
      </c>
      <c r="K199" s="42" t="n">
        <f aca="false">IF(E199="","",I199-J199)</f>
        <v>0</v>
      </c>
      <c r="L199" s="70" t="str">
        <f aca="false">IF(E199="","",IF(ABS(K199)&gt;0.02,"MISMATCH","OK"))</f>
        <v>OK</v>
      </c>
      <c r="M199" s="42" t="n">
        <f aca="false">IF(ISBLANK('Raw - Sessions'!U173),"",'Raw - Sessions'!Q173)</f>
        <v>10.81</v>
      </c>
      <c r="N199" s="42" t="n">
        <f aca="false">IF(E199="","",I199-G199-H199-F199)</f>
        <v>10.81</v>
      </c>
      <c r="O199" s="42" t="n">
        <f aca="false">IF(E199="","",M199-N199)</f>
        <v>0</v>
      </c>
      <c r="P199" s="70" t="str">
        <f aca="false">IF(E199="","",IF(ABS(O199)&gt;0.02,"MISMATCH","OK"))</f>
        <v>OK</v>
      </c>
    </row>
    <row r="200" customFormat="false" ht="15" hidden="false" customHeight="false" outlineLevel="0" collapsed="false">
      <c r="A200" s="72" t="n">
        <f aca="false">'Raw - Sessions'!A174</f>
        <v>5028658161</v>
      </c>
      <c r="B200" s="72" t="str">
        <f aca="false">'Raw - Sessions'!K174</f>
        <v>BARBOURVILLE / CITY HALL</v>
      </c>
      <c r="C200" s="73" t="n">
        <f aca="false">IF(ISBLANK('Raw - Sessions'!U174),"",'Raw - Sessions'!T174)</f>
        <v>0.5</v>
      </c>
      <c r="D200" s="39" t="n">
        <f aca="false">'Raw - Sessions'!E174</f>
        <v>29.5294</v>
      </c>
      <c r="E200" s="44" t="n">
        <f aca="false">IF(ISBLANK('Raw - Sessions'!U174),"",'Raw - Sessions'!U174)</f>
        <v>18.34</v>
      </c>
      <c r="F200" s="44" t="n">
        <f aca="false">IF(ISBLANK('Raw - Sessions'!U174),"",'Raw - Sessions'!Z174)</f>
        <v>1.1</v>
      </c>
      <c r="G200" s="44" t="n">
        <f aca="false">IF(ISBLANK('Raw - Sessions'!U174),"",'Raw - Sessions'!AE174)</f>
        <v>0</v>
      </c>
      <c r="H200" s="44" t="n">
        <f aca="false">IF(ISBLANK('Raw - Sessions'!U174),"",'Raw - Sessions'!AD174)</f>
        <v>1.83</v>
      </c>
      <c r="I200" s="44" t="n">
        <f aca="false">IF(ISBLANK('Raw - Sessions'!U174),"",'Raw - Sessions'!P174)</f>
        <v>19.44</v>
      </c>
      <c r="J200" s="44" t="n">
        <f aca="false">IF(E200="","",E200+F200+G200+'Raw - Sessions'!AA174+'Raw - Sessions'!AB174+'Raw - Sessions'!AC174)</f>
        <v>19.44</v>
      </c>
      <c r="K200" s="44" t="n">
        <f aca="false">IF(E200="","",I200-J200)</f>
        <v>0</v>
      </c>
      <c r="L200" s="72" t="str">
        <f aca="false">IF(E200="","",IF(ABS(K200)&gt;0.02,"MISMATCH","OK"))</f>
        <v>OK</v>
      </c>
      <c r="M200" s="44" t="n">
        <f aca="false">IF(ISBLANK('Raw - Sessions'!U174),"",'Raw - Sessions'!Q174)</f>
        <v>16.51</v>
      </c>
      <c r="N200" s="44" t="n">
        <f aca="false">IF(E200="","",I200-G200-H200-F200)</f>
        <v>16.51</v>
      </c>
      <c r="O200" s="44" t="n">
        <f aca="false">IF(E200="","",M200-N200)</f>
        <v>0</v>
      </c>
      <c r="P200" s="72" t="str">
        <f aca="false">IF(E200="","",IF(ABS(O200)&gt;0.02,"MISMATCH","OK"))</f>
        <v>OK</v>
      </c>
    </row>
    <row r="201" customFormat="false" ht="15" hidden="false" customHeight="false" outlineLevel="0" collapsed="false">
      <c r="A201" s="70" t="n">
        <f aca="false">'Raw - Sessions'!A175</f>
        <v>5029103421</v>
      </c>
      <c r="B201" s="70" t="str">
        <f aca="false">'Raw - Sessions'!K175</f>
        <v>BARBOURVILLE / CITY HALL</v>
      </c>
      <c r="C201" s="71" t="n">
        <f aca="false">IF(ISBLANK('Raw - Sessions'!U175),"",'Raw - Sessions'!T175)</f>
        <v>0.5</v>
      </c>
      <c r="D201" s="38" t="n">
        <f aca="false">'Raw - Sessions'!E175</f>
        <v>7.4431</v>
      </c>
      <c r="E201" s="42" t="n">
        <f aca="false">IF(ISBLANK('Raw - Sessions'!U175),"",'Raw - Sessions'!U175)</f>
        <v>4.48</v>
      </c>
      <c r="F201" s="42" t="n">
        <f aca="false">IF(ISBLANK('Raw - Sessions'!U175),"",'Raw - Sessions'!Z175)</f>
        <v>0.27</v>
      </c>
      <c r="G201" s="42" t="n">
        <f aca="false">IF(ISBLANK('Raw - Sessions'!U175),"",'Raw - Sessions'!AE175)</f>
        <v>0</v>
      </c>
      <c r="H201" s="42" t="n">
        <f aca="false">IF(ISBLANK('Raw - Sessions'!U175),"",'Raw - Sessions'!AD175)</f>
        <v>0.45</v>
      </c>
      <c r="I201" s="42" t="n">
        <f aca="false">IF(ISBLANK('Raw - Sessions'!U175),"",'Raw - Sessions'!P175)</f>
        <v>4.75</v>
      </c>
      <c r="J201" s="42" t="n">
        <f aca="false">IF(E201="","",E201+F201+G201+'Raw - Sessions'!AA175+'Raw - Sessions'!AB175+'Raw - Sessions'!AC175)</f>
        <v>4.75</v>
      </c>
      <c r="K201" s="42" t="n">
        <f aca="false">IF(E201="","",I201-J201)</f>
        <v>0</v>
      </c>
      <c r="L201" s="70" t="str">
        <f aca="false">IF(E201="","",IF(ABS(K201)&gt;0.02,"MISMATCH","OK"))</f>
        <v>OK</v>
      </c>
      <c r="M201" s="42" t="n">
        <f aca="false">IF(ISBLANK('Raw - Sessions'!U175),"",'Raw - Sessions'!Q175)</f>
        <v>4.03</v>
      </c>
      <c r="N201" s="42" t="n">
        <f aca="false">IF(E201="","",I201-G201-H201-F201)</f>
        <v>4.03</v>
      </c>
      <c r="O201" s="42" t="n">
        <f aca="false">IF(E201="","",M201-N201)</f>
        <v>0</v>
      </c>
      <c r="P201" s="70" t="str">
        <f aca="false">IF(E201="","",IF(ABS(O201)&gt;0.02,"MISMATCH","OK"))</f>
        <v>OK</v>
      </c>
    </row>
    <row r="202" customFormat="false" ht="15" hidden="false" customHeight="false" outlineLevel="0" collapsed="false">
      <c r="A202" s="72" t="n">
        <f aca="false">'Raw - Sessions'!A176</f>
        <v>5030585331</v>
      </c>
      <c r="B202" s="72" t="str">
        <f aca="false">'Raw - Sessions'!K176</f>
        <v>BARBOURVILLE / CITY HALL</v>
      </c>
      <c r="C202" s="73" t="n">
        <f aca="false">IF(ISBLANK('Raw - Sessions'!U176),"",'Raw - Sessions'!T176)</f>
        <v>0.5</v>
      </c>
      <c r="D202" s="39" t="n">
        <f aca="false">'Raw - Sessions'!E176</f>
        <v>45.835899</v>
      </c>
      <c r="E202" s="44" t="n">
        <f aca="false">IF(ISBLANK('Raw - Sessions'!U176),"",'Raw - Sessions'!U176)</f>
        <v>28.58</v>
      </c>
      <c r="F202" s="44" t="n">
        <f aca="false">IF(ISBLANK('Raw - Sessions'!U176),"",'Raw - Sessions'!Z176)</f>
        <v>1.72</v>
      </c>
      <c r="G202" s="44" t="n">
        <f aca="false">IF(ISBLANK('Raw - Sessions'!U176),"",'Raw - Sessions'!AE176)</f>
        <v>0</v>
      </c>
      <c r="H202" s="44" t="n">
        <f aca="false">IF(ISBLANK('Raw - Sessions'!U176),"",'Raw - Sessions'!AD176)</f>
        <v>2.86</v>
      </c>
      <c r="I202" s="44" t="n">
        <f aca="false">IF(ISBLANK('Raw - Sessions'!U176),"",'Raw - Sessions'!P176)</f>
        <v>30.3</v>
      </c>
      <c r="J202" s="44" t="n">
        <f aca="false">IF(E202="","",E202+F202+G202+'Raw - Sessions'!AA176+'Raw - Sessions'!AB176+'Raw - Sessions'!AC176)</f>
        <v>30.3</v>
      </c>
      <c r="K202" s="44" t="n">
        <f aca="false">IF(E202="","",I202-J202)</f>
        <v>0</v>
      </c>
      <c r="L202" s="72" t="str">
        <f aca="false">IF(E202="","",IF(ABS(K202)&gt;0.02,"MISMATCH","OK"))</f>
        <v>OK</v>
      </c>
      <c r="M202" s="44" t="n">
        <f aca="false">IF(ISBLANK('Raw - Sessions'!U176),"",'Raw - Sessions'!Q176)</f>
        <v>25.72</v>
      </c>
      <c r="N202" s="44" t="n">
        <f aca="false">IF(E202="","",I202-G202-H202-F202)</f>
        <v>25.72</v>
      </c>
      <c r="O202" s="44" t="n">
        <f aca="false">IF(E202="","",M202-N202)</f>
        <v>0</v>
      </c>
      <c r="P202" s="72" t="str">
        <f aca="false">IF(E202="","",IF(ABS(O202)&gt;0.02,"MISMATCH","OK"))</f>
        <v>OK</v>
      </c>
    </row>
    <row r="203" customFormat="false" ht="15" hidden="false" customHeight="false" outlineLevel="0" collapsed="false">
      <c r="A203" s="70" t="n">
        <f aca="false">'Raw - Sessions'!A177</f>
        <v>5031194051</v>
      </c>
      <c r="B203" s="70" t="str">
        <f aca="false">'Raw - Sessions'!K177</f>
        <v>BARBOURVILLE / CITY HALL</v>
      </c>
      <c r="C203" s="71" t="n">
        <f aca="false">IF(ISBLANK('Raw - Sessions'!U177),"",'Raw - Sessions'!T177)</f>
        <v>0.5</v>
      </c>
      <c r="D203" s="38" t="n">
        <f aca="false">'Raw - Sessions'!E177</f>
        <v>33.451698</v>
      </c>
      <c r="E203" s="42" t="n">
        <f aca="false">IF(ISBLANK('Raw - Sessions'!U177),"",'Raw - Sessions'!U177)</f>
        <v>19.71</v>
      </c>
      <c r="F203" s="42" t="n">
        <f aca="false">IF(ISBLANK('Raw - Sessions'!U177),"",'Raw - Sessions'!Z177)</f>
        <v>1.18</v>
      </c>
      <c r="G203" s="42" t="n">
        <f aca="false">IF(ISBLANK('Raw - Sessions'!U177),"",'Raw - Sessions'!AE177)</f>
        <v>0</v>
      </c>
      <c r="H203" s="42" t="n">
        <f aca="false">IF(ISBLANK('Raw - Sessions'!U177),"",'Raw - Sessions'!AD177)</f>
        <v>1.97</v>
      </c>
      <c r="I203" s="42" t="n">
        <f aca="false">IF(ISBLANK('Raw - Sessions'!U177),"",'Raw - Sessions'!P177)</f>
        <v>20.89</v>
      </c>
      <c r="J203" s="42" t="n">
        <f aca="false">IF(E203="","",E203+F203+G203+'Raw - Sessions'!AA177+'Raw - Sessions'!AB177+'Raw - Sessions'!AC177)</f>
        <v>20.89</v>
      </c>
      <c r="K203" s="42" t="n">
        <f aca="false">IF(E203="","",I203-J203)</f>
        <v>0</v>
      </c>
      <c r="L203" s="70" t="str">
        <f aca="false">IF(E203="","",IF(ABS(K203)&gt;0.02,"MISMATCH","OK"))</f>
        <v>OK</v>
      </c>
      <c r="M203" s="42" t="n">
        <f aca="false">IF(ISBLANK('Raw - Sessions'!U177),"",'Raw - Sessions'!Q177)</f>
        <v>17.74</v>
      </c>
      <c r="N203" s="42" t="n">
        <f aca="false">IF(E203="","",I203-G203-H203-F203)</f>
        <v>17.74</v>
      </c>
      <c r="O203" s="42" t="n">
        <f aca="false">IF(E203="","",M203-N203)</f>
        <v>0</v>
      </c>
      <c r="P203" s="70" t="str">
        <f aca="false">IF(E203="","",IF(ABS(O203)&gt;0.02,"MISMATCH","OK"))</f>
        <v>OK</v>
      </c>
    </row>
    <row r="204" customFormat="false" ht="15" hidden="false" customHeight="false" outlineLevel="0" collapsed="false">
      <c r="A204" s="72" t="n">
        <f aca="false">'Raw - Sessions'!A178</f>
        <v>5031508871</v>
      </c>
      <c r="B204" s="72" t="str">
        <f aca="false">'Raw - Sessions'!K178</f>
        <v>BARBOURVILLE / CITY HALL</v>
      </c>
      <c r="C204" s="73" t="n">
        <f aca="false">IF(ISBLANK('Raw - Sessions'!U178),"",'Raw - Sessions'!T178)</f>
        <v>0.5</v>
      </c>
      <c r="D204" s="39" t="n">
        <f aca="false">'Raw - Sessions'!E178</f>
        <v>22.333099</v>
      </c>
      <c r="E204" s="44" t="n">
        <f aca="false">IF(ISBLANK('Raw - Sessions'!U178),"",'Raw - Sessions'!U178)</f>
        <v>13.33</v>
      </c>
      <c r="F204" s="44" t="n">
        <f aca="false">IF(ISBLANK('Raw - Sessions'!U178),"",'Raw - Sessions'!Z178)</f>
        <v>0.8</v>
      </c>
      <c r="G204" s="44" t="n">
        <f aca="false">IF(ISBLANK('Raw - Sessions'!U178),"",'Raw - Sessions'!AE178)</f>
        <v>0</v>
      </c>
      <c r="H204" s="44" t="n">
        <f aca="false">IF(ISBLANK('Raw - Sessions'!U178),"",'Raw - Sessions'!AD178)</f>
        <v>1.33</v>
      </c>
      <c r="I204" s="44" t="n">
        <f aca="false">IF(ISBLANK('Raw - Sessions'!U178),"",'Raw - Sessions'!P178)</f>
        <v>14.13</v>
      </c>
      <c r="J204" s="44" t="n">
        <f aca="false">IF(E204="","",E204+F204+G204+'Raw - Sessions'!AA178+'Raw - Sessions'!AB178+'Raw - Sessions'!AC178)</f>
        <v>14.13</v>
      </c>
      <c r="K204" s="44" t="n">
        <f aca="false">IF(E204="","",I204-J204)</f>
        <v>0</v>
      </c>
      <c r="L204" s="72" t="str">
        <f aca="false">IF(E204="","",IF(ABS(K204)&gt;0.02,"MISMATCH","OK"))</f>
        <v>OK</v>
      </c>
      <c r="M204" s="44" t="n">
        <f aca="false">IF(ISBLANK('Raw - Sessions'!U178),"",'Raw - Sessions'!Q178)</f>
        <v>12</v>
      </c>
      <c r="N204" s="44" t="n">
        <f aca="false">IF(E204="","",I204-G204-H204-F204)</f>
        <v>12</v>
      </c>
      <c r="O204" s="44" t="n">
        <f aca="false">IF(E204="","",M204-N204)</f>
        <v>0</v>
      </c>
      <c r="P204" s="72" t="str">
        <f aca="false">IF(E204="","",IF(ABS(O204)&gt;0.02,"MISMATCH","OK"))</f>
        <v>OK</v>
      </c>
    </row>
    <row r="205" customFormat="false" ht="15" hidden="false" customHeight="false" outlineLevel="0" collapsed="false">
      <c r="A205" s="70" t="n">
        <f aca="false">'Raw - Sessions'!A179</f>
        <v>5033803371</v>
      </c>
      <c r="B205" s="70" t="str">
        <f aca="false">'Raw - Sessions'!K179</f>
        <v>BARBOURVILLE / CITY HALL</v>
      </c>
      <c r="C205" s="71" t="n">
        <f aca="false">IF(ISBLANK('Raw - Sessions'!U179),"",'Raw - Sessions'!T179)</f>
        <v>0.5</v>
      </c>
      <c r="D205" s="38" t="n">
        <f aca="false">'Raw - Sessions'!E179</f>
        <v>79.641098</v>
      </c>
      <c r="E205" s="42" t="n">
        <f aca="false">IF(ISBLANK('Raw - Sessions'!U179),"",'Raw - Sessions'!U179)</f>
        <v>48.02</v>
      </c>
      <c r="F205" s="42" t="n">
        <f aca="false">IF(ISBLANK('Raw - Sessions'!U179),"",'Raw - Sessions'!Z179)</f>
        <v>2.88</v>
      </c>
      <c r="G205" s="42" t="n">
        <f aca="false">IF(ISBLANK('Raw - Sessions'!U179),"",'Raw - Sessions'!AE179)</f>
        <v>0</v>
      </c>
      <c r="H205" s="42" t="n">
        <f aca="false">IF(ISBLANK('Raw - Sessions'!U179),"",'Raw - Sessions'!AD179)</f>
        <v>4.8</v>
      </c>
      <c r="I205" s="42" t="n">
        <f aca="false">IF(ISBLANK('Raw - Sessions'!U179),"",'Raw - Sessions'!P179)</f>
        <v>50.9</v>
      </c>
      <c r="J205" s="42" t="n">
        <f aca="false">IF(E205="","",E205+F205+G205+'Raw - Sessions'!AA179+'Raw - Sessions'!AB179+'Raw - Sessions'!AC179)</f>
        <v>50.9</v>
      </c>
      <c r="K205" s="42" t="n">
        <f aca="false">IF(E205="","",I205-J205)</f>
        <v>0</v>
      </c>
      <c r="L205" s="70" t="str">
        <f aca="false">IF(E205="","",IF(ABS(K205)&gt;0.02,"MISMATCH","OK"))</f>
        <v>OK</v>
      </c>
      <c r="M205" s="42" t="n">
        <f aca="false">IF(ISBLANK('Raw - Sessions'!U179),"",'Raw - Sessions'!Q179)</f>
        <v>43.22</v>
      </c>
      <c r="N205" s="42" t="n">
        <f aca="false">IF(E205="","",I205-G205-H205-F205)</f>
        <v>43.22</v>
      </c>
      <c r="O205" s="42" t="n">
        <f aca="false">IF(E205="","",M205-N205)</f>
        <v>0</v>
      </c>
      <c r="P205" s="70" t="str">
        <f aca="false">IF(E205="","",IF(ABS(O205)&gt;0.02,"MISMATCH","OK"))</f>
        <v>OK</v>
      </c>
    </row>
    <row r="206" customFormat="false" ht="15" hidden="false" customHeight="false" outlineLevel="0" collapsed="false">
      <c r="A206" s="72" t="n">
        <f aca="false">'Raw - Sessions'!A180</f>
        <v>5041429431</v>
      </c>
      <c r="B206" s="72" t="str">
        <f aca="false">'Raw - Sessions'!K180</f>
        <v>BARBOURVILLE / CITY HALL</v>
      </c>
      <c r="C206" s="73" t="n">
        <f aca="false">IF(ISBLANK('Raw - Sessions'!U180),"",'Raw - Sessions'!T180)</f>
        <v>0.5</v>
      </c>
      <c r="D206" s="39" t="n">
        <f aca="false">'Raw - Sessions'!E180</f>
        <v>25.6824</v>
      </c>
      <c r="E206" s="44" t="n">
        <f aca="false">IF(ISBLANK('Raw - Sessions'!U180),"",'Raw - Sessions'!U180)</f>
        <v>15.02</v>
      </c>
      <c r="F206" s="44" t="n">
        <f aca="false">IF(ISBLANK('Raw - Sessions'!U180),"",'Raw - Sessions'!Z180)</f>
        <v>0.9</v>
      </c>
      <c r="G206" s="44" t="n">
        <f aca="false">IF(ISBLANK('Raw - Sessions'!U180),"",'Raw - Sessions'!AE180)</f>
        <v>0</v>
      </c>
      <c r="H206" s="44" t="n">
        <f aca="false">IF(ISBLANK('Raw - Sessions'!U180),"",'Raw - Sessions'!AD180)</f>
        <v>1.5</v>
      </c>
      <c r="I206" s="44" t="n">
        <f aca="false">IF(ISBLANK('Raw - Sessions'!U180),"",'Raw - Sessions'!P180)</f>
        <v>15.92</v>
      </c>
      <c r="J206" s="44" t="n">
        <f aca="false">IF(E206="","",E206+F206+G206+'Raw - Sessions'!AA180+'Raw - Sessions'!AB180+'Raw - Sessions'!AC180)</f>
        <v>15.92</v>
      </c>
      <c r="K206" s="44" t="n">
        <f aca="false">IF(E206="","",I206-J206)</f>
        <v>0</v>
      </c>
      <c r="L206" s="72" t="str">
        <f aca="false">IF(E206="","",IF(ABS(K206)&gt;0.02,"MISMATCH","OK"))</f>
        <v>OK</v>
      </c>
      <c r="M206" s="44" t="n">
        <f aca="false">IF(ISBLANK('Raw - Sessions'!U180),"",'Raw - Sessions'!Q180)</f>
        <v>13.52</v>
      </c>
      <c r="N206" s="44" t="n">
        <f aca="false">IF(E206="","",I206-G206-H206-F206)</f>
        <v>13.52</v>
      </c>
      <c r="O206" s="44" t="n">
        <f aca="false">IF(E206="","",M206-N206)</f>
        <v>0</v>
      </c>
      <c r="P206" s="72" t="str">
        <f aca="false">IF(E206="","",IF(ABS(O206)&gt;0.02,"MISMATCH","OK"))</f>
        <v>OK</v>
      </c>
    </row>
    <row r="207" customFormat="false" ht="15" hidden="false" customHeight="false" outlineLevel="0" collapsed="false">
      <c r="A207" s="70" t="n">
        <f aca="false">'Raw - Sessions'!A181</f>
        <v>5048198951</v>
      </c>
      <c r="B207" s="70" t="str">
        <f aca="false">'Raw - Sessions'!K181</f>
        <v>BARBOURVILLE / CITY HALL</v>
      </c>
      <c r="C207" s="71" t="n">
        <f aca="false">IF(ISBLANK('Raw - Sessions'!U181),"",'Raw - Sessions'!T181)</f>
        <v>0.5</v>
      </c>
      <c r="D207" s="38" t="n">
        <f aca="false">'Raw - Sessions'!E181</f>
        <v>14.6061</v>
      </c>
      <c r="E207" s="42" t="n">
        <f aca="false">IF(ISBLANK('Raw - Sessions'!U181),"",'Raw - Sessions'!U181)</f>
        <v>8.89</v>
      </c>
      <c r="F207" s="42" t="n">
        <f aca="false">IF(ISBLANK('Raw - Sessions'!U181),"",'Raw - Sessions'!Z181)</f>
        <v>0.54</v>
      </c>
      <c r="G207" s="42" t="n">
        <f aca="false">IF(ISBLANK('Raw - Sessions'!U181),"",'Raw - Sessions'!AE181)</f>
        <v>0</v>
      </c>
      <c r="H207" s="42" t="n">
        <f aca="false">IF(ISBLANK('Raw - Sessions'!U181),"",'Raw - Sessions'!AD181)</f>
        <v>0.89</v>
      </c>
      <c r="I207" s="42" t="n">
        <f aca="false">IF(ISBLANK('Raw - Sessions'!U181),"",'Raw - Sessions'!P181)</f>
        <v>9.43</v>
      </c>
      <c r="J207" s="42" t="n">
        <f aca="false">IF(E207="","",E207+F207+G207+'Raw - Sessions'!AA181+'Raw - Sessions'!AB181+'Raw - Sessions'!AC181)</f>
        <v>9.43</v>
      </c>
      <c r="K207" s="42" t="n">
        <f aca="false">IF(E207="","",I207-J207)</f>
        <v>0</v>
      </c>
      <c r="L207" s="70" t="str">
        <f aca="false">IF(E207="","",IF(ABS(K207)&gt;0.02,"MISMATCH","OK"))</f>
        <v>OK</v>
      </c>
      <c r="M207" s="42" t="n">
        <f aca="false">IF(ISBLANK('Raw - Sessions'!U181),"",'Raw - Sessions'!Q181)</f>
        <v>8</v>
      </c>
      <c r="N207" s="42" t="n">
        <f aca="false">IF(E207="","",I207-G207-H207-F207)</f>
        <v>8</v>
      </c>
      <c r="O207" s="42" t="n">
        <f aca="false">IF(E207="","",M207-N207)</f>
        <v>0</v>
      </c>
      <c r="P207" s="70" t="str">
        <f aca="false">IF(E207="","",IF(ABS(O207)&gt;0.02,"MISMATCH","OK"))</f>
        <v>OK</v>
      </c>
    </row>
    <row r="208" customFormat="false" ht="15" hidden="false" customHeight="false" outlineLevel="0" collapsed="false">
      <c r="A208" s="72" t="n">
        <f aca="false">'Raw - Sessions'!A182</f>
        <v>5049917011</v>
      </c>
      <c r="B208" s="72" t="str">
        <f aca="false">'Raw - Sessions'!K182</f>
        <v>BARBOURVILLE / CITY HALL</v>
      </c>
      <c r="C208" s="73" t="n">
        <f aca="false">IF(ISBLANK('Raw - Sessions'!U182),"",'Raw - Sessions'!T182)</f>
        <v>0.5</v>
      </c>
      <c r="D208" s="39" t="n">
        <f aca="false">'Raw - Sessions'!E182</f>
        <v>53.255798</v>
      </c>
      <c r="E208" s="44" t="n">
        <f aca="false">IF(ISBLANK('Raw - Sessions'!U182),"",'Raw - Sessions'!U182)</f>
        <v>32.82</v>
      </c>
      <c r="F208" s="44" t="n">
        <f aca="false">IF(ISBLANK('Raw - Sessions'!U182),"",'Raw - Sessions'!Z182)</f>
        <v>1.97</v>
      </c>
      <c r="G208" s="44" t="n">
        <f aca="false">IF(ISBLANK('Raw - Sessions'!U182),"",'Raw - Sessions'!AE182)</f>
        <v>0</v>
      </c>
      <c r="H208" s="44" t="n">
        <f aca="false">IF(ISBLANK('Raw - Sessions'!U182),"",'Raw - Sessions'!AD182)</f>
        <v>3.28</v>
      </c>
      <c r="I208" s="44" t="n">
        <f aca="false">IF(ISBLANK('Raw - Sessions'!U182),"",'Raw - Sessions'!P182)</f>
        <v>34.79</v>
      </c>
      <c r="J208" s="44" t="n">
        <f aca="false">IF(E208="","",E208+F208+G208+'Raw - Sessions'!AA182+'Raw - Sessions'!AB182+'Raw - Sessions'!AC182)</f>
        <v>34.79</v>
      </c>
      <c r="K208" s="44" t="n">
        <f aca="false">IF(E208="","",I208-J208)</f>
        <v>0</v>
      </c>
      <c r="L208" s="72" t="str">
        <f aca="false">IF(E208="","",IF(ABS(K208)&gt;0.02,"MISMATCH","OK"))</f>
        <v>OK</v>
      </c>
      <c r="M208" s="44" t="n">
        <f aca="false">IF(ISBLANK('Raw - Sessions'!U182),"",'Raw - Sessions'!Q182)</f>
        <v>29.54</v>
      </c>
      <c r="N208" s="44" t="n">
        <f aca="false">IF(E208="","",I208-G208-H208-F208)</f>
        <v>29.54</v>
      </c>
      <c r="O208" s="44" t="n">
        <f aca="false">IF(E208="","",M208-N208)</f>
        <v>0</v>
      </c>
      <c r="P208" s="72" t="str">
        <f aca="false">IF(E208="","",IF(ABS(O208)&gt;0.02,"MISMATCH","OK"))</f>
        <v>OK</v>
      </c>
    </row>
    <row r="209" customFormat="false" ht="15" hidden="false" customHeight="false" outlineLevel="0" collapsed="false">
      <c r="A209" s="70" t="n">
        <f aca="false">'Raw - Sessions'!A183</f>
        <v>5050854891</v>
      </c>
      <c r="B209" s="70" t="str">
        <f aca="false">'Raw - Sessions'!K183</f>
        <v>BARBOURVILLE / CITY HALL</v>
      </c>
      <c r="C209" s="71" t="n">
        <f aca="false">IF(ISBLANK('Raw - Sessions'!U183),"",'Raw - Sessions'!T183)</f>
        <v>0.5</v>
      </c>
      <c r="D209" s="38" t="n">
        <f aca="false">'Raw - Sessions'!E183</f>
        <v>26.8976</v>
      </c>
      <c r="E209" s="42" t="n">
        <f aca="false">IF(ISBLANK('Raw - Sessions'!U183),"",'Raw - Sessions'!U183)</f>
        <v>16.04</v>
      </c>
      <c r="F209" s="42" t="n">
        <f aca="false">IF(ISBLANK('Raw - Sessions'!U183),"",'Raw - Sessions'!Z183)</f>
        <v>0.97</v>
      </c>
      <c r="G209" s="42" t="n">
        <f aca="false">IF(ISBLANK('Raw - Sessions'!U183),"",'Raw - Sessions'!AE183)</f>
        <v>0</v>
      </c>
      <c r="H209" s="42" t="n">
        <f aca="false">IF(ISBLANK('Raw - Sessions'!U183),"",'Raw - Sessions'!AD183)</f>
        <v>1.6</v>
      </c>
      <c r="I209" s="42" t="n">
        <f aca="false">IF(ISBLANK('Raw - Sessions'!U183),"",'Raw - Sessions'!P183)</f>
        <v>17.01</v>
      </c>
      <c r="J209" s="42" t="n">
        <f aca="false">IF(E209="","",E209+F209+G209+'Raw - Sessions'!AA183+'Raw - Sessions'!AB183+'Raw - Sessions'!AC183)</f>
        <v>17.01</v>
      </c>
      <c r="K209" s="42" t="n">
        <f aca="false">IF(E209="","",I209-J209)</f>
        <v>0</v>
      </c>
      <c r="L209" s="70" t="str">
        <f aca="false">IF(E209="","",IF(ABS(K209)&gt;0.02,"MISMATCH","OK"))</f>
        <v>OK</v>
      </c>
      <c r="M209" s="42" t="n">
        <f aca="false">IF(ISBLANK('Raw - Sessions'!U183),"",'Raw - Sessions'!Q183)</f>
        <v>14.44</v>
      </c>
      <c r="N209" s="42" t="n">
        <f aca="false">IF(E209="","",I209-G209-H209-F209)</f>
        <v>14.44</v>
      </c>
      <c r="O209" s="42" t="n">
        <f aca="false">IF(E209="","",M209-N209)</f>
        <v>0</v>
      </c>
      <c r="P209" s="70" t="str">
        <f aca="false">IF(E209="","",IF(ABS(O209)&gt;0.02,"MISMATCH","OK"))</f>
        <v>OK</v>
      </c>
    </row>
    <row r="210" customFormat="false" ht="15" hidden="false" customHeight="false" outlineLevel="0" collapsed="false">
      <c r="A210" s="72" t="n">
        <f aca="false">'Raw - Sessions'!A184</f>
        <v>5052659961</v>
      </c>
      <c r="B210" s="72" t="str">
        <f aca="false">'Raw - Sessions'!K184</f>
        <v>BARBOURVILLE / CITY HALL</v>
      </c>
      <c r="C210" s="73" t="n">
        <f aca="false">IF(ISBLANK('Raw - Sessions'!U184),"",'Raw - Sessions'!T184)</f>
        <v>0.5</v>
      </c>
      <c r="D210" s="39" t="n">
        <f aca="false">'Raw - Sessions'!E184</f>
        <v>15.6444</v>
      </c>
      <c r="E210" s="44" t="n">
        <f aca="false">IF(ISBLANK('Raw - Sessions'!U184),"",'Raw - Sessions'!U184)</f>
        <v>9.74</v>
      </c>
      <c r="F210" s="44" t="n">
        <f aca="false">IF(ISBLANK('Raw - Sessions'!U184),"",'Raw - Sessions'!Z184)</f>
        <v>0.59</v>
      </c>
      <c r="G210" s="44" t="n">
        <f aca="false">IF(ISBLANK('Raw - Sessions'!U184),"",'Raw - Sessions'!AE184)</f>
        <v>0</v>
      </c>
      <c r="H210" s="44" t="n">
        <f aca="false">IF(ISBLANK('Raw - Sessions'!U184),"",'Raw - Sessions'!AD184)</f>
        <v>0.97</v>
      </c>
      <c r="I210" s="44" t="n">
        <f aca="false">IF(ISBLANK('Raw - Sessions'!U184),"",'Raw - Sessions'!P184)</f>
        <v>10.33</v>
      </c>
      <c r="J210" s="44" t="n">
        <f aca="false">IF(E210="","",E210+F210+G210+'Raw - Sessions'!AA184+'Raw - Sessions'!AB184+'Raw - Sessions'!AC184)</f>
        <v>10.33</v>
      </c>
      <c r="K210" s="44" t="n">
        <f aca="false">IF(E210="","",I210-J210)</f>
        <v>0</v>
      </c>
      <c r="L210" s="72" t="str">
        <f aca="false">IF(E210="","",IF(ABS(K210)&gt;0.02,"MISMATCH","OK"))</f>
        <v>OK</v>
      </c>
      <c r="M210" s="44" t="n">
        <f aca="false">IF(ISBLANK('Raw - Sessions'!U184),"",'Raw - Sessions'!Q184)</f>
        <v>8.77</v>
      </c>
      <c r="N210" s="44" t="n">
        <f aca="false">IF(E210="","",I210-G210-H210-F210)</f>
        <v>8.77</v>
      </c>
      <c r="O210" s="44" t="n">
        <f aca="false">IF(E210="","",M210-N210)</f>
        <v>0</v>
      </c>
      <c r="P210" s="72" t="str">
        <f aca="false">IF(E210="","",IF(ABS(O210)&gt;0.02,"MISMATCH","OK"))</f>
        <v>OK</v>
      </c>
    </row>
    <row r="211" customFormat="false" ht="15" hidden="false" customHeight="false" outlineLevel="0" collapsed="false">
      <c r="A211" s="70" t="n">
        <f aca="false">'Raw - Sessions'!A185</f>
        <v>5060229571</v>
      </c>
      <c r="B211" s="70" t="str">
        <f aca="false">'Raw - Sessions'!K185</f>
        <v>BARBOURVILLE / CITY HALL</v>
      </c>
      <c r="C211" s="71" t="str">
        <f aca="false">IF(ISBLANK('Raw - Sessions'!U185),"",'Raw - Sessions'!T185)</f>
        <v/>
      </c>
      <c r="D211" s="38" t="n">
        <f aca="false">'Raw - Sessions'!E185</f>
        <v>0</v>
      </c>
      <c r="E211" s="42" t="str">
        <f aca="false">IF(ISBLANK('Raw - Sessions'!U185),"",'Raw - Sessions'!U185)</f>
        <v/>
      </c>
      <c r="F211" s="42" t="str">
        <f aca="false">IF(ISBLANK('Raw - Sessions'!U185),"",'Raw - Sessions'!Z185)</f>
        <v/>
      </c>
      <c r="G211" s="42" t="str">
        <f aca="false">IF(ISBLANK('Raw - Sessions'!U185),"",'Raw - Sessions'!AE185)</f>
        <v/>
      </c>
      <c r="H211" s="42" t="str">
        <f aca="false">IF(ISBLANK('Raw - Sessions'!U185),"",'Raw - Sessions'!AD185)</f>
        <v/>
      </c>
      <c r="I211" s="42" t="str">
        <f aca="false">IF(ISBLANK('Raw - Sessions'!U185),"",'Raw - Sessions'!P185)</f>
        <v/>
      </c>
      <c r="J211" s="42" t="str">
        <f aca="false">IF(E211="","",E211+F211+G211+'Raw - Sessions'!AA185+'Raw - Sessions'!AB185+'Raw - Sessions'!AC185)</f>
        <v/>
      </c>
      <c r="K211" s="42" t="str">
        <f aca="false">IF(E211="","",I211-J211)</f>
        <v/>
      </c>
      <c r="L211" s="70" t="str">
        <f aca="false">IF(E211="","",IF(ABS(K211)&gt;0.02,"MISMATCH","OK"))</f>
        <v/>
      </c>
      <c r="M211" s="42" t="str">
        <f aca="false">IF(ISBLANK('Raw - Sessions'!U185),"",'Raw - Sessions'!Q185)</f>
        <v/>
      </c>
      <c r="N211" s="42" t="str">
        <f aca="false">IF(E211="","",I211-G211-H211-F211)</f>
        <v/>
      </c>
      <c r="O211" s="42" t="str">
        <f aca="false">IF(E211="","",M211-N211)</f>
        <v/>
      </c>
      <c r="P211" s="70" t="str">
        <f aca="false">IF(E211="","",IF(ABS(O211)&gt;0.02,"MISMATCH","OK"))</f>
        <v/>
      </c>
    </row>
    <row r="212" customFormat="false" ht="15" hidden="false" customHeight="false" outlineLevel="0" collapsed="false">
      <c r="A212" s="72" t="n">
        <f aca="false">'Raw - Sessions'!A186</f>
        <v>5060245441</v>
      </c>
      <c r="B212" s="72" t="str">
        <f aca="false">'Raw - Sessions'!K186</f>
        <v>BARBOURVILLE / TOURISM</v>
      </c>
      <c r="C212" s="73" t="str">
        <f aca="false">IF(ISBLANK('Raw - Sessions'!U186),"",'Raw - Sessions'!T186)</f>
        <v/>
      </c>
      <c r="D212" s="39" t="n">
        <f aca="false">'Raw - Sessions'!E186</f>
        <v>0</v>
      </c>
      <c r="E212" s="44" t="str">
        <f aca="false">IF(ISBLANK('Raw - Sessions'!U186),"",'Raw - Sessions'!U186)</f>
        <v/>
      </c>
      <c r="F212" s="44" t="str">
        <f aca="false">IF(ISBLANK('Raw - Sessions'!U186),"",'Raw - Sessions'!Z186)</f>
        <v/>
      </c>
      <c r="G212" s="44" t="str">
        <f aca="false">IF(ISBLANK('Raw - Sessions'!U186),"",'Raw - Sessions'!AE186)</f>
        <v/>
      </c>
      <c r="H212" s="44" t="str">
        <f aca="false">IF(ISBLANK('Raw - Sessions'!U186),"",'Raw - Sessions'!AD186)</f>
        <v/>
      </c>
      <c r="I212" s="44" t="str">
        <f aca="false">IF(ISBLANK('Raw - Sessions'!U186),"",'Raw - Sessions'!P186)</f>
        <v/>
      </c>
      <c r="J212" s="44" t="str">
        <f aca="false">IF(E212="","",E212+F212+G212+'Raw - Sessions'!AA186+'Raw - Sessions'!AB186+'Raw - Sessions'!AC186)</f>
        <v/>
      </c>
      <c r="K212" s="44" t="str">
        <f aca="false">IF(E212="","",I212-J212)</f>
        <v/>
      </c>
      <c r="L212" s="72" t="str">
        <f aca="false">IF(E212="","",IF(ABS(K212)&gt;0.02,"MISMATCH","OK"))</f>
        <v/>
      </c>
      <c r="M212" s="44" t="str">
        <f aca="false">IF(ISBLANK('Raw - Sessions'!U186),"",'Raw - Sessions'!Q186)</f>
        <v/>
      </c>
      <c r="N212" s="44" t="str">
        <f aca="false">IF(E212="","",I212-G212-H212-F212)</f>
        <v/>
      </c>
      <c r="O212" s="44" t="str">
        <f aca="false">IF(E212="","",M212-N212)</f>
        <v/>
      </c>
      <c r="P212" s="72" t="str">
        <f aca="false">IF(E212="","",IF(ABS(O212)&gt;0.02,"MISMATCH","OK"))</f>
        <v/>
      </c>
    </row>
    <row r="213" customFormat="false" ht="15" hidden="false" customHeight="false" outlineLevel="0" collapsed="false">
      <c r="A213" s="70" t="n">
        <f aca="false">'Raw - Sessions'!A187</f>
        <v>5061959491</v>
      </c>
      <c r="B213" s="70" t="str">
        <f aca="false">'Raw - Sessions'!K187</f>
        <v>BARBOURVILLE / CITY HALL</v>
      </c>
      <c r="C213" s="71" t="str">
        <f aca="false">IF(ISBLANK('Raw - Sessions'!U187),"",'Raw - Sessions'!T187)</f>
        <v/>
      </c>
      <c r="D213" s="38" t="n">
        <f aca="false">'Raw - Sessions'!E187</f>
        <v>0</v>
      </c>
      <c r="E213" s="42" t="str">
        <f aca="false">IF(ISBLANK('Raw - Sessions'!U187),"",'Raw - Sessions'!U187)</f>
        <v/>
      </c>
      <c r="F213" s="42" t="str">
        <f aca="false">IF(ISBLANK('Raw - Sessions'!U187),"",'Raw - Sessions'!Z187)</f>
        <v/>
      </c>
      <c r="G213" s="42" t="str">
        <f aca="false">IF(ISBLANK('Raw - Sessions'!U187),"",'Raw - Sessions'!AE187)</f>
        <v/>
      </c>
      <c r="H213" s="42" t="str">
        <f aca="false">IF(ISBLANK('Raw - Sessions'!U187),"",'Raw - Sessions'!AD187)</f>
        <v/>
      </c>
      <c r="I213" s="42" t="str">
        <f aca="false">IF(ISBLANK('Raw - Sessions'!U187),"",'Raw - Sessions'!P187)</f>
        <v/>
      </c>
      <c r="J213" s="42" t="str">
        <f aca="false">IF(E213="","",E213+F213+G213+'Raw - Sessions'!AA187+'Raw - Sessions'!AB187+'Raw - Sessions'!AC187)</f>
        <v/>
      </c>
      <c r="K213" s="42" t="str">
        <f aca="false">IF(E213="","",I213-J213)</f>
        <v/>
      </c>
      <c r="L213" s="70" t="str">
        <f aca="false">IF(E213="","",IF(ABS(K213)&gt;0.02,"MISMATCH","OK"))</f>
        <v/>
      </c>
      <c r="M213" s="42" t="str">
        <f aca="false">IF(ISBLANK('Raw - Sessions'!U187),"",'Raw - Sessions'!Q187)</f>
        <v/>
      </c>
      <c r="N213" s="42" t="str">
        <f aca="false">IF(E213="","",I213-G213-H213-F213)</f>
        <v/>
      </c>
      <c r="O213" s="42" t="str">
        <f aca="false">IF(E213="","",M213-N213)</f>
        <v/>
      </c>
      <c r="P213" s="70" t="str">
        <f aca="false">IF(E213="","",IF(ABS(O213)&gt;0.02,"MISMATCH","OK"))</f>
        <v/>
      </c>
    </row>
    <row r="214" customFormat="false" ht="15" hidden="false" customHeight="false" outlineLevel="0" collapsed="false">
      <c r="A214" s="72" t="n">
        <f aca="false">'Raw - Sessions'!A188</f>
        <v>5061988191</v>
      </c>
      <c r="B214" s="72" t="str">
        <f aca="false">'Raw - Sessions'!K188</f>
        <v>BARBOURVILLE / TOURISM</v>
      </c>
      <c r="C214" s="73" t="n">
        <f aca="false">IF(ISBLANK('Raw - Sessions'!U188),"",'Raw - Sessions'!T188)</f>
        <v>0.5</v>
      </c>
      <c r="D214" s="39" t="n">
        <f aca="false">'Raw - Sessions'!E188</f>
        <v>0.336346</v>
      </c>
      <c r="E214" s="44" t="n">
        <f aca="false">IF(ISBLANK('Raw - Sessions'!U188),"",'Raw - Sessions'!U188)</f>
        <v>0.45</v>
      </c>
      <c r="F214" s="44" t="n">
        <f aca="false">IF(ISBLANK('Raw - Sessions'!U188),"",'Raw - Sessions'!Z188)</f>
        <v>0.03</v>
      </c>
      <c r="G214" s="44" t="n">
        <f aca="false">IF(ISBLANK('Raw - Sessions'!U188),"",'Raw - Sessions'!AE188)</f>
        <v>0</v>
      </c>
      <c r="H214" s="44" t="n">
        <f aca="false">IF(ISBLANK('Raw - Sessions'!U188),"",'Raw - Sessions'!AD188)</f>
        <v>0.04</v>
      </c>
      <c r="I214" s="44" t="n">
        <f aca="false">IF(ISBLANK('Raw - Sessions'!U188),"",'Raw - Sessions'!P188)</f>
        <v>0.48</v>
      </c>
      <c r="J214" s="44" t="n">
        <f aca="false">IF(E214="","",E214+F214+G214+'Raw - Sessions'!AA188+'Raw - Sessions'!AB188+'Raw - Sessions'!AC188)</f>
        <v>0.48</v>
      </c>
      <c r="K214" s="44" t="n">
        <f aca="false">IF(E214="","",I214-J214)</f>
        <v>0</v>
      </c>
      <c r="L214" s="72" t="str">
        <f aca="false">IF(E214="","",IF(ABS(K214)&gt;0.02,"MISMATCH","OK"))</f>
        <v>OK</v>
      </c>
      <c r="M214" s="44" t="n">
        <f aca="false">IF(ISBLANK('Raw - Sessions'!U188),"",'Raw - Sessions'!Q188)</f>
        <v>0.41</v>
      </c>
      <c r="N214" s="44" t="n">
        <f aca="false">IF(E214="","",I214-G214-H214-F214)</f>
        <v>0.41</v>
      </c>
      <c r="O214" s="44" t="n">
        <f aca="false">IF(E214="","",M214-N214)</f>
        <v>0</v>
      </c>
      <c r="P214" s="72" t="str">
        <f aca="false">IF(E214="","",IF(ABS(O214)&gt;0.02,"MISMATCH","OK"))</f>
        <v>OK</v>
      </c>
    </row>
    <row r="215" customFormat="false" ht="15" hidden="false" customHeight="false" outlineLevel="0" collapsed="false">
      <c r="A215" s="70" t="n">
        <f aca="false">'Raw - Sessions'!A189</f>
        <v>5062680061</v>
      </c>
      <c r="B215" s="70" t="str">
        <f aca="false">'Raw - Sessions'!K189</f>
        <v>BARBOURVILLE / TOURISM</v>
      </c>
      <c r="C215" s="71" t="n">
        <f aca="false">IF(ISBLANK('Raw - Sessions'!U189),"",'Raw - Sessions'!T189)</f>
        <v>0.5</v>
      </c>
      <c r="D215" s="38" t="n">
        <f aca="false">'Raw - Sessions'!E189</f>
        <v>2.029098</v>
      </c>
      <c r="E215" s="42" t="n">
        <f aca="false">IF(ISBLANK('Raw - Sessions'!U189),"",'Raw - Sessions'!U189)</f>
        <v>2.46</v>
      </c>
      <c r="F215" s="42" t="n">
        <f aca="false">IF(ISBLANK('Raw - Sessions'!U189),"",'Raw - Sessions'!Z189)</f>
        <v>0.15</v>
      </c>
      <c r="G215" s="42" t="n">
        <f aca="false">IF(ISBLANK('Raw - Sessions'!U189),"",'Raw - Sessions'!AE189)</f>
        <v>0</v>
      </c>
      <c r="H215" s="42" t="n">
        <f aca="false">IF(ISBLANK('Raw - Sessions'!U189),"",'Raw - Sessions'!AD189)</f>
        <v>0.25</v>
      </c>
      <c r="I215" s="42" t="n">
        <f aca="false">IF(ISBLANK('Raw - Sessions'!U189),"",'Raw - Sessions'!P189)</f>
        <v>2.61</v>
      </c>
      <c r="J215" s="42" t="n">
        <f aca="false">IF(E215="","",E215+F215+G215+'Raw - Sessions'!AA189+'Raw - Sessions'!AB189+'Raw - Sessions'!AC189)</f>
        <v>2.61</v>
      </c>
      <c r="K215" s="42" t="n">
        <f aca="false">IF(E215="","",I215-J215)</f>
        <v>0</v>
      </c>
      <c r="L215" s="70" t="str">
        <f aca="false">IF(E215="","",IF(ABS(K215)&gt;0.02,"MISMATCH","OK"))</f>
        <v>OK</v>
      </c>
      <c r="M215" s="42" t="n">
        <f aca="false">IF(ISBLANK('Raw - Sessions'!U189),"",'Raw - Sessions'!Q189)</f>
        <v>2.21</v>
      </c>
      <c r="N215" s="42" t="n">
        <f aca="false">IF(E215="","",I215-G215-H215-F215)</f>
        <v>2.21</v>
      </c>
      <c r="O215" s="42" t="n">
        <f aca="false">IF(E215="","",M215-N215)</f>
        <v>0</v>
      </c>
      <c r="P215" s="70" t="str">
        <f aca="false">IF(E215="","",IF(ABS(O215)&gt;0.02,"MISMATCH","OK"))</f>
        <v>OK</v>
      </c>
    </row>
    <row r="216" customFormat="false" ht="15" hidden="false" customHeight="false" outlineLevel="0" collapsed="false">
      <c r="A216" s="72" t="n">
        <f aca="false">'Raw - Sessions'!A190</f>
        <v>5063306431</v>
      </c>
      <c r="B216" s="72" t="str">
        <f aca="false">'Raw - Sessions'!K190</f>
        <v>BARBOURVILLE / CITY HALL</v>
      </c>
      <c r="C216" s="73" t="n">
        <f aca="false">IF(ISBLANK('Raw - Sessions'!U190),"",'Raw - Sessions'!T190)</f>
        <v>0.5</v>
      </c>
      <c r="D216" s="39" t="n">
        <f aca="false">'Raw - Sessions'!E190</f>
        <v>14.9672</v>
      </c>
      <c r="E216" s="44" t="n">
        <f aca="false">IF(ISBLANK('Raw - Sessions'!U190),"",'Raw - Sessions'!U190)</f>
        <v>8.9</v>
      </c>
      <c r="F216" s="44" t="n">
        <f aca="false">IF(ISBLANK('Raw - Sessions'!U190),"",'Raw - Sessions'!Z190)</f>
        <v>0.54</v>
      </c>
      <c r="G216" s="44" t="n">
        <f aca="false">IF(ISBLANK('Raw - Sessions'!U190),"",'Raw - Sessions'!AE190)</f>
        <v>0</v>
      </c>
      <c r="H216" s="44" t="n">
        <f aca="false">IF(ISBLANK('Raw - Sessions'!U190),"",'Raw - Sessions'!AD190)</f>
        <v>0.89</v>
      </c>
      <c r="I216" s="44" t="n">
        <f aca="false">IF(ISBLANK('Raw - Sessions'!U190),"",'Raw - Sessions'!P190)</f>
        <v>9.44</v>
      </c>
      <c r="J216" s="44" t="n">
        <f aca="false">IF(E216="","",E216+F216+G216+'Raw - Sessions'!AA190+'Raw - Sessions'!AB190+'Raw - Sessions'!AC190)</f>
        <v>9.44</v>
      </c>
      <c r="K216" s="44" t="n">
        <f aca="false">IF(E216="","",I216-J216)</f>
        <v>0</v>
      </c>
      <c r="L216" s="72" t="str">
        <f aca="false">IF(E216="","",IF(ABS(K216)&gt;0.02,"MISMATCH","OK"))</f>
        <v>OK</v>
      </c>
      <c r="M216" s="44" t="n">
        <f aca="false">IF(ISBLANK('Raw - Sessions'!U190),"",'Raw - Sessions'!Q190)</f>
        <v>8.01</v>
      </c>
      <c r="N216" s="44" t="n">
        <f aca="false">IF(E216="","",I216-G216-H216-F216)</f>
        <v>8.01</v>
      </c>
      <c r="O216" s="44" t="n">
        <f aca="false">IF(E216="","",M216-N216)</f>
        <v>0</v>
      </c>
      <c r="P216" s="72" t="str">
        <f aca="false">IF(E216="","",IF(ABS(O216)&gt;0.02,"MISMATCH","OK"))</f>
        <v>OK</v>
      </c>
    </row>
    <row r="217" customFormat="false" ht="15" hidden="false" customHeight="false" outlineLevel="0" collapsed="false">
      <c r="A217" s="70" t="n">
        <f aca="false">'Raw - Sessions'!A191</f>
        <v>5064310421</v>
      </c>
      <c r="B217" s="70" t="str">
        <f aca="false">'Raw - Sessions'!K191</f>
        <v>BARBOURVILLE / TOURISM</v>
      </c>
      <c r="C217" s="71" t="n">
        <f aca="false">IF(ISBLANK('Raw - Sessions'!U191),"",'Raw - Sessions'!T191)</f>
        <v>0.5</v>
      </c>
      <c r="D217" s="38" t="n">
        <f aca="false">'Raw - Sessions'!E191</f>
        <v>8.386854</v>
      </c>
      <c r="E217" s="42" t="n">
        <f aca="false">IF(ISBLANK('Raw - Sessions'!U191),"",'Raw - Sessions'!U191)</f>
        <v>10.02</v>
      </c>
      <c r="F217" s="42" t="n">
        <f aca="false">IF(ISBLANK('Raw - Sessions'!U191),"",'Raw - Sessions'!Z191)</f>
        <v>0.6</v>
      </c>
      <c r="G217" s="42" t="n">
        <f aca="false">IF(ISBLANK('Raw - Sessions'!U191),"",'Raw - Sessions'!AE191)</f>
        <v>0</v>
      </c>
      <c r="H217" s="42" t="n">
        <f aca="false">IF(ISBLANK('Raw - Sessions'!U191),"",'Raw - Sessions'!AD191)</f>
        <v>1</v>
      </c>
      <c r="I217" s="42" t="n">
        <f aca="false">IF(ISBLANK('Raw - Sessions'!U191),"",'Raw - Sessions'!P191)</f>
        <v>10.62</v>
      </c>
      <c r="J217" s="42" t="n">
        <f aca="false">IF(E217="","",E217+F217+G217+'Raw - Sessions'!AA191+'Raw - Sessions'!AB191+'Raw - Sessions'!AC191)</f>
        <v>10.62</v>
      </c>
      <c r="K217" s="42" t="n">
        <f aca="false">IF(E217="","",I217-J217)</f>
        <v>0</v>
      </c>
      <c r="L217" s="70" t="str">
        <f aca="false">IF(E217="","",IF(ABS(K217)&gt;0.02,"MISMATCH","OK"))</f>
        <v>OK</v>
      </c>
      <c r="M217" s="42" t="n">
        <f aca="false">IF(ISBLANK('Raw - Sessions'!U191),"",'Raw - Sessions'!Q191)</f>
        <v>9.02</v>
      </c>
      <c r="N217" s="42" t="n">
        <f aca="false">IF(E217="","",I217-G217-H217-F217)</f>
        <v>9.02</v>
      </c>
      <c r="O217" s="42" t="n">
        <f aca="false">IF(E217="","",M217-N217)</f>
        <v>0</v>
      </c>
      <c r="P217" s="70" t="str">
        <f aca="false">IF(E217="","",IF(ABS(O217)&gt;0.02,"MISMATCH","OK"))</f>
        <v>OK</v>
      </c>
    </row>
    <row r="218" customFormat="false" ht="15" hidden="false" customHeight="false" outlineLevel="0" collapsed="false">
      <c r="A218" s="72" t="n">
        <f aca="false">'Raw - Sessions'!A192</f>
        <v>5065498161</v>
      </c>
      <c r="B218" s="72" t="str">
        <f aca="false">'Raw - Sessions'!K192</f>
        <v>BARBOURVILLE / CITY HALL</v>
      </c>
      <c r="C218" s="73" t="n">
        <f aca="false">IF(ISBLANK('Raw - Sessions'!U192),"",'Raw - Sessions'!T192)</f>
        <v>0.5</v>
      </c>
      <c r="D218" s="39" t="n">
        <f aca="false">'Raw - Sessions'!E192</f>
        <v>47.786</v>
      </c>
      <c r="E218" s="44" t="n">
        <f aca="false">IF(ISBLANK('Raw - Sessions'!U192),"",'Raw - Sessions'!U192)</f>
        <v>28.77</v>
      </c>
      <c r="F218" s="44" t="n">
        <f aca="false">IF(ISBLANK('Raw - Sessions'!U192),"",'Raw - Sessions'!Z192)</f>
        <v>1.72</v>
      </c>
      <c r="G218" s="44" t="n">
        <f aca="false">IF(ISBLANK('Raw - Sessions'!U192),"",'Raw - Sessions'!AE192)</f>
        <v>0</v>
      </c>
      <c r="H218" s="44" t="n">
        <f aca="false">IF(ISBLANK('Raw - Sessions'!U192),"",'Raw - Sessions'!AD192)</f>
        <v>2.88</v>
      </c>
      <c r="I218" s="44" t="n">
        <f aca="false">IF(ISBLANK('Raw - Sessions'!U192),"",'Raw - Sessions'!P192)</f>
        <v>30.49</v>
      </c>
      <c r="J218" s="44" t="n">
        <f aca="false">IF(E218="","",E218+F218+G218+'Raw - Sessions'!AA192+'Raw - Sessions'!AB192+'Raw - Sessions'!AC192)</f>
        <v>30.49</v>
      </c>
      <c r="K218" s="44" t="n">
        <f aca="false">IF(E218="","",I218-J218)</f>
        <v>0</v>
      </c>
      <c r="L218" s="72" t="str">
        <f aca="false">IF(E218="","",IF(ABS(K218)&gt;0.02,"MISMATCH","OK"))</f>
        <v>OK</v>
      </c>
      <c r="M218" s="44" t="n">
        <f aca="false">IF(ISBLANK('Raw - Sessions'!U192),"",'Raw - Sessions'!Q192)</f>
        <v>25.89</v>
      </c>
      <c r="N218" s="44" t="n">
        <f aca="false">IF(E218="","",I218-G218-H218-F218)</f>
        <v>25.89</v>
      </c>
      <c r="O218" s="44" t="n">
        <f aca="false">IF(E218="","",M218-N218)</f>
        <v>0</v>
      </c>
      <c r="P218" s="72" t="str">
        <f aca="false">IF(E218="","",IF(ABS(O218)&gt;0.02,"MISMATCH","OK"))</f>
        <v>OK</v>
      </c>
    </row>
    <row r="219" customFormat="false" ht="15" hidden="false" customHeight="false" outlineLevel="0" collapsed="false">
      <c r="A219" s="70" t="n">
        <f aca="false">'Raw - Sessions'!A193</f>
        <v>5066116501</v>
      </c>
      <c r="B219" s="70" t="str">
        <f aca="false">'Raw - Sessions'!K193</f>
        <v>BARBOURVILLE / TOURISM</v>
      </c>
      <c r="C219" s="71" t="n">
        <f aca="false">IF(ISBLANK('Raw - Sessions'!U193),"",'Raw - Sessions'!T193)</f>
        <v>0.5</v>
      </c>
      <c r="D219" s="38" t="n">
        <f aca="false">'Raw - Sessions'!E193</f>
        <v>9.556702</v>
      </c>
      <c r="E219" s="42" t="n">
        <f aca="false">IF(ISBLANK('Raw - Sessions'!U193),"",'Raw - Sessions'!U193)</f>
        <v>11.44</v>
      </c>
      <c r="F219" s="42" t="n">
        <f aca="false">IF(ISBLANK('Raw - Sessions'!U193),"",'Raw - Sessions'!Z193)</f>
        <v>0.69</v>
      </c>
      <c r="G219" s="42" t="n">
        <f aca="false">IF(ISBLANK('Raw - Sessions'!U193),"",'Raw - Sessions'!AE193)</f>
        <v>0</v>
      </c>
      <c r="H219" s="42" t="n">
        <f aca="false">IF(ISBLANK('Raw - Sessions'!U193),"",'Raw - Sessions'!AD193)</f>
        <v>1.14</v>
      </c>
      <c r="I219" s="42" t="n">
        <f aca="false">IF(ISBLANK('Raw - Sessions'!U193),"",'Raw - Sessions'!P193)</f>
        <v>12.13</v>
      </c>
      <c r="J219" s="42" t="n">
        <f aca="false">IF(E219="","",E219+F219+G219+'Raw - Sessions'!AA193+'Raw - Sessions'!AB193+'Raw - Sessions'!AC193)</f>
        <v>12.13</v>
      </c>
      <c r="K219" s="42" t="n">
        <f aca="false">IF(E219="","",I219-J219)</f>
        <v>0</v>
      </c>
      <c r="L219" s="70" t="str">
        <f aca="false">IF(E219="","",IF(ABS(K219)&gt;0.02,"MISMATCH","OK"))</f>
        <v>OK</v>
      </c>
      <c r="M219" s="42" t="n">
        <f aca="false">IF(ISBLANK('Raw - Sessions'!U193),"",'Raw - Sessions'!Q193)</f>
        <v>10.3</v>
      </c>
      <c r="N219" s="42" t="n">
        <f aca="false">IF(E219="","",I219-G219-H219-F219)</f>
        <v>10.3</v>
      </c>
      <c r="O219" s="42" t="n">
        <f aca="false">IF(E219="","",M219-N219)</f>
        <v>0</v>
      </c>
      <c r="P219" s="70" t="str">
        <f aca="false">IF(E219="","",IF(ABS(O219)&gt;0.02,"MISMATCH","OK"))</f>
        <v>OK</v>
      </c>
    </row>
    <row r="220" customFormat="false" ht="15" hidden="false" customHeight="false" outlineLevel="0" collapsed="false">
      <c r="A220" s="72" t="n">
        <f aca="false">'Raw - Sessions'!A194</f>
        <v>5070019271</v>
      </c>
      <c r="B220" s="72" t="str">
        <f aca="false">'Raw - Sessions'!K194</f>
        <v>BARBOURVILLE / CITY HALL</v>
      </c>
      <c r="C220" s="73" t="n">
        <f aca="false">IF(ISBLANK('Raw - Sessions'!U194),"",'Raw - Sessions'!T194)</f>
        <v>0.5</v>
      </c>
      <c r="D220" s="39" t="n">
        <f aca="false">'Raw - Sessions'!E194</f>
        <v>34.3673</v>
      </c>
      <c r="E220" s="44" t="n">
        <f aca="false">IF(ISBLANK('Raw - Sessions'!U194),"",'Raw - Sessions'!U194)</f>
        <v>21.95</v>
      </c>
      <c r="F220" s="44" t="n">
        <f aca="false">IF(ISBLANK('Raw - Sessions'!U194),"",'Raw - Sessions'!Z194)</f>
        <v>1.32</v>
      </c>
      <c r="G220" s="44" t="n">
        <f aca="false">IF(ISBLANK('Raw - Sessions'!U194),"",'Raw - Sessions'!AE194)</f>
        <v>0</v>
      </c>
      <c r="H220" s="44" t="n">
        <f aca="false">IF(ISBLANK('Raw - Sessions'!U194),"",'Raw - Sessions'!AD194)</f>
        <v>2.19</v>
      </c>
      <c r="I220" s="44" t="n">
        <f aca="false">IF(ISBLANK('Raw - Sessions'!U194),"",'Raw - Sessions'!P194)</f>
        <v>23.27</v>
      </c>
      <c r="J220" s="44" t="n">
        <f aca="false">IF(E220="","",E220+F220+G220+'Raw - Sessions'!AA194+'Raw - Sessions'!AB194+'Raw - Sessions'!AC194)</f>
        <v>23.27</v>
      </c>
      <c r="K220" s="44" t="n">
        <f aca="false">IF(E220="","",I220-J220)</f>
        <v>0</v>
      </c>
      <c r="L220" s="72" t="str">
        <f aca="false">IF(E220="","",IF(ABS(K220)&gt;0.02,"MISMATCH","OK"))</f>
        <v>OK</v>
      </c>
      <c r="M220" s="44" t="n">
        <f aca="false">IF(ISBLANK('Raw - Sessions'!U194),"",'Raw - Sessions'!Q194)</f>
        <v>19.76</v>
      </c>
      <c r="N220" s="44" t="n">
        <f aca="false">IF(E220="","",I220-G220-H220-F220)</f>
        <v>19.76</v>
      </c>
      <c r="O220" s="44" t="n">
        <f aca="false">IF(E220="","",M220-N220)</f>
        <v>0</v>
      </c>
      <c r="P220" s="72" t="str">
        <f aca="false">IF(E220="","",IF(ABS(O220)&gt;0.02,"MISMATCH","OK"))</f>
        <v>OK</v>
      </c>
    </row>
    <row r="221" customFormat="false" ht="15" hidden="false" customHeight="false" outlineLevel="0" collapsed="false">
      <c r="A221" s="70" t="n">
        <f aca="false">'Raw - Sessions'!A195</f>
        <v>5072058841</v>
      </c>
      <c r="B221" s="70" t="str">
        <f aca="false">'Raw - Sessions'!K195</f>
        <v>BARBOURVILLE / CITY HALL</v>
      </c>
      <c r="C221" s="71" t="n">
        <f aca="false">IF(ISBLANK('Raw - Sessions'!U195),"",'Raw - Sessions'!T195)</f>
        <v>0.5</v>
      </c>
      <c r="D221" s="38" t="n">
        <f aca="false">'Raw - Sessions'!E195</f>
        <v>69.3154</v>
      </c>
      <c r="E221" s="42" t="n">
        <f aca="false">IF(ISBLANK('Raw - Sessions'!U195),"",'Raw - Sessions'!U195)</f>
        <v>48.36</v>
      </c>
      <c r="F221" s="42" t="n">
        <f aca="false">IF(ISBLANK('Raw - Sessions'!U195),"",'Raw - Sessions'!Z195)</f>
        <v>2.9</v>
      </c>
      <c r="G221" s="42" t="n">
        <f aca="false">IF(ISBLANK('Raw - Sessions'!U195),"",'Raw - Sessions'!AE195)</f>
        <v>0</v>
      </c>
      <c r="H221" s="42" t="n">
        <f aca="false">IF(ISBLANK('Raw - Sessions'!U195),"",'Raw - Sessions'!AD195)</f>
        <v>4.84</v>
      </c>
      <c r="I221" s="42" t="n">
        <f aca="false">IF(ISBLANK('Raw - Sessions'!U195),"",'Raw - Sessions'!P195)</f>
        <v>51.26</v>
      </c>
      <c r="J221" s="42" t="n">
        <f aca="false">IF(E221="","",E221+F221+G221+'Raw - Sessions'!AA195+'Raw - Sessions'!AB195+'Raw - Sessions'!AC195)</f>
        <v>51.26</v>
      </c>
      <c r="K221" s="42" t="n">
        <f aca="false">IF(E221="","",I221-J221)</f>
        <v>0</v>
      </c>
      <c r="L221" s="70" t="str">
        <f aca="false">IF(E221="","",IF(ABS(K221)&gt;0.02,"MISMATCH","OK"))</f>
        <v>OK</v>
      </c>
      <c r="M221" s="42" t="n">
        <f aca="false">IF(ISBLANK('Raw - Sessions'!U195),"",'Raw - Sessions'!Q195)</f>
        <v>43.52</v>
      </c>
      <c r="N221" s="42" t="n">
        <f aca="false">IF(E221="","",I221-G221-H221-F221)</f>
        <v>43.52</v>
      </c>
      <c r="O221" s="42" t="n">
        <f aca="false">IF(E221="","",M221-N221)</f>
        <v>0</v>
      </c>
      <c r="P221" s="70" t="str">
        <f aca="false">IF(E221="","",IF(ABS(O221)&gt;0.02,"MISMATCH","OK"))</f>
        <v>OK</v>
      </c>
    </row>
    <row r="222" customFormat="false" ht="15" hidden="false" customHeight="false" outlineLevel="0" collapsed="false">
      <c r="A222" s="72" t="n">
        <f aca="false">'Raw - Sessions'!A196</f>
        <v>5075505841</v>
      </c>
      <c r="B222" s="72" t="str">
        <f aca="false">'Raw - Sessions'!K196</f>
        <v>BARBOURVILLE / TOURISM</v>
      </c>
      <c r="C222" s="73" t="n">
        <f aca="false">IF(ISBLANK('Raw - Sessions'!U196),"",'Raw - Sessions'!T196)</f>
        <v>0.5</v>
      </c>
      <c r="D222" s="39" t="n">
        <f aca="false">'Raw - Sessions'!E196</f>
        <v>10.965973</v>
      </c>
      <c r="E222" s="44" t="n">
        <f aca="false">IF(ISBLANK('Raw - Sessions'!U196),"",'Raw - Sessions'!U196)</f>
        <v>13.11</v>
      </c>
      <c r="F222" s="44" t="n">
        <f aca="false">IF(ISBLANK('Raw - Sessions'!U196),"",'Raw - Sessions'!Z196)</f>
        <v>0.79</v>
      </c>
      <c r="G222" s="44" t="n">
        <f aca="false">IF(ISBLANK('Raw - Sessions'!U196),"",'Raw - Sessions'!AE196)</f>
        <v>0</v>
      </c>
      <c r="H222" s="44" t="n">
        <f aca="false">IF(ISBLANK('Raw - Sessions'!U196),"",'Raw - Sessions'!AD196)</f>
        <v>1.31</v>
      </c>
      <c r="I222" s="44" t="n">
        <f aca="false">IF(ISBLANK('Raw - Sessions'!U196),"",'Raw - Sessions'!P196)</f>
        <v>13.9</v>
      </c>
      <c r="J222" s="44" t="n">
        <f aca="false">IF(E222="","",E222+F222+G222+'Raw - Sessions'!AA196+'Raw - Sessions'!AB196+'Raw - Sessions'!AC196)</f>
        <v>13.9</v>
      </c>
      <c r="K222" s="44" t="n">
        <f aca="false">IF(E222="","",I222-J222)</f>
        <v>0</v>
      </c>
      <c r="L222" s="72" t="str">
        <f aca="false">IF(E222="","",IF(ABS(K222)&gt;0.02,"MISMATCH","OK"))</f>
        <v>OK</v>
      </c>
      <c r="M222" s="44" t="n">
        <f aca="false">IF(ISBLANK('Raw - Sessions'!U196),"",'Raw - Sessions'!Q196)</f>
        <v>11.8</v>
      </c>
      <c r="N222" s="44" t="n">
        <f aca="false">IF(E222="","",I222-G222-H222-F222)</f>
        <v>11.8</v>
      </c>
      <c r="O222" s="44" t="n">
        <f aca="false">IF(E222="","",M222-N222)</f>
        <v>0</v>
      </c>
      <c r="P222" s="72" t="str">
        <f aca="false">IF(E222="","",IF(ABS(O222)&gt;0.02,"MISMATCH","OK"))</f>
        <v>OK</v>
      </c>
    </row>
    <row r="223" customFormat="false" ht="15" hidden="false" customHeight="false" outlineLevel="0" collapsed="false">
      <c r="A223" s="70" t="n">
        <f aca="false">'Raw - Sessions'!A197</f>
        <v>5080439231</v>
      </c>
      <c r="B223" s="70" t="str">
        <f aca="false">'Raw - Sessions'!K197</f>
        <v>BARBOURVILLE / CITY HALL</v>
      </c>
      <c r="C223" s="71" t="n">
        <f aca="false">IF(ISBLANK('Raw - Sessions'!U197),"",'Raw - Sessions'!T197)</f>
        <v>0.5</v>
      </c>
      <c r="D223" s="38" t="n">
        <f aca="false">'Raw - Sessions'!E197</f>
        <v>34.6041</v>
      </c>
      <c r="E223" s="42" t="n">
        <f aca="false">IF(ISBLANK('Raw - Sessions'!U197),"",'Raw - Sessions'!U197)</f>
        <v>20.47</v>
      </c>
      <c r="F223" s="42" t="n">
        <f aca="false">IF(ISBLANK('Raw - Sessions'!U197),"",'Raw - Sessions'!Z197)</f>
        <v>1.23</v>
      </c>
      <c r="G223" s="42" t="n">
        <f aca="false">IF(ISBLANK('Raw - Sessions'!U197),"",'Raw - Sessions'!AE197)</f>
        <v>0</v>
      </c>
      <c r="H223" s="42" t="n">
        <f aca="false">IF(ISBLANK('Raw - Sessions'!U197),"",'Raw - Sessions'!AD197)</f>
        <v>2.05</v>
      </c>
      <c r="I223" s="42" t="n">
        <f aca="false">IF(ISBLANK('Raw - Sessions'!U197),"",'Raw - Sessions'!P197)</f>
        <v>21.7</v>
      </c>
      <c r="J223" s="42" t="n">
        <f aca="false">IF(E223="","",E223+F223+G223+'Raw - Sessions'!AA197+'Raw - Sessions'!AB197+'Raw - Sessions'!AC197)</f>
        <v>21.7</v>
      </c>
      <c r="K223" s="42" t="n">
        <f aca="false">IF(E223="","",I223-J223)</f>
        <v>0</v>
      </c>
      <c r="L223" s="70" t="str">
        <f aca="false">IF(E223="","",IF(ABS(K223)&gt;0.02,"MISMATCH","OK"))</f>
        <v>OK</v>
      </c>
      <c r="M223" s="42" t="n">
        <f aca="false">IF(ISBLANK('Raw - Sessions'!U197),"",'Raw - Sessions'!Q197)</f>
        <v>18.42</v>
      </c>
      <c r="N223" s="42" t="n">
        <f aca="false">IF(E223="","",I223-G223-H223-F223)</f>
        <v>18.42</v>
      </c>
      <c r="O223" s="42" t="n">
        <f aca="false">IF(E223="","",M223-N223)</f>
        <v>0</v>
      </c>
      <c r="P223" s="70" t="str">
        <f aca="false">IF(E223="","",IF(ABS(O223)&gt;0.02,"MISMATCH","OK"))</f>
        <v>OK</v>
      </c>
    </row>
    <row r="224" customFormat="false" ht="15" hidden="false" customHeight="false" outlineLevel="0" collapsed="false">
      <c r="A224" s="72" t="n">
        <f aca="false">'Raw - Sessions'!A198</f>
        <v>5084440871</v>
      </c>
      <c r="B224" s="72" t="str">
        <f aca="false">'Raw - Sessions'!K198</f>
        <v>BARBOURVILLE / CITY HALL</v>
      </c>
      <c r="C224" s="73" t="n">
        <f aca="false">IF(ISBLANK('Raw - Sessions'!U198),"",'Raw - Sessions'!T198)</f>
        <v>0.5</v>
      </c>
      <c r="D224" s="39" t="n">
        <f aca="false">'Raw - Sessions'!E198</f>
        <v>13.3417</v>
      </c>
      <c r="E224" s="44" t="n">
        <f aca="false">IF(ISBLANK('Raw - Sessions'!U198),"",'Raw - Sessions'!U198)</f>
        <v>7.78</v>
      </c>
      <c r="F224" s="44" t="n">
        <f aca="false">IF(ISBLANK('Raw - Sessions'!U198),"",'Raw - Sessions'!Z198)</f>
        <v>0.47</v>
      </c>
      <c r="G224" s="44" t="n">
        <f aca="false">IF(ISBLANK('Raw - Sessions'!U198),"",'Raw - Sessions'!AE198)</f>
        <v>0</v>
      </c>
      <c r="H224" s="44" t="n">
        <f aca="false">IF(ISBLANK('Raw - Sessions'!U198),"",'Raw - Sessions'!AD198)</f>
        <v>0.78</v>
      </c>
      <c r="I224" s="44" t="n">
        <f aca="false">IF(ISBLANK('Raw - Sessions'!U198),"",'Raw - Sessions'!P198)</f>
        <v>8.25</v>
      </c>
      <c r="J224" s="44" t="n">
        <f aca="false">IF(E224="","",E224+F224+G224+'Raw - Sessions'!AA198+'Raw - Sessions'!AB198+'Raw - Sessions'!AC198)</f>
        <v>8.25</v>
      </c>
      <c r="K224" s="44" t="n">
        <f aca="false">IF(E224="","",I224-J224)</f>
        <v>0</v>
      </c>
      <c r="L224" s="72" t="str">
        <f aca="false">IF(E224="","",IF(ABS(K224)&gt;0.02,"MISMATCH","OK"))</f>
        <v>OK</v>
      </c>
      <c r="M224" s="44" t="n">
        <f aca="false">IF(ISBLANK('Raw - Sessions'!U198),"",'Raw - Sessions'!Q198)</f>
        <v>7</v>
      </c>
      <c r="N224" s="44" t="n">
        <f aca="false">IF(E224="","",I224-G224-H224-F224)</f>
        <v>7</v>
      </c>
      <c r="O224" s="44" t="n">
        <f aca="false">IF(E224="","",M224-N224)</f>
        <v>0</v>
      </c>
      <c r="P224" s="72" t="str">
        <f aca="false">IF(E224="","",IF(ABS(O224)&gt;0.02,"MISMATCH","OK"))</f>
        <v>OK</v>
      </c>
    </row>
    <row r="225" customFormat="false" ht="15" hidden="false" customHeight="false" outlineLevel="0" collapsed="false">
      <c r="A225" s="70" t="n">
        <f aca="false">'Raw - Sessions'!A199</f>
        <v>5085521961</v>
      </c>
      <c r="B225" s="70" t="str">
        <f aca="false">'Raw - Sessions'!K199</f>
        <v>BARBOURVILLE / CITY HALL</v>
      </c>
      <c r="C225" s="71" t="n">
        <f aca="false">IF(ISBLANK('Raw - Sessions'!U199),"",'Raw - Sessions'!T199)</f>
        <v>0.5</v>
      </c>
      <c r="D225" s="38" t="n">
        <f aca="false">'Raw - Sessions'!E199</f>
        <v>26.5085</v>
      </c>
      <c r="E225" s="42" t="n">
        <f aca="false">IF(ISBLANK('Raw - Sessions'!U199),"",'Raw - Sessions'!U199)</f>
        <v>15.96</v>
      </c>
      <c r="F225" s="42" t="n">
        <f aca="false">IF(ISBLANK('Raw - Sessions'!U199),"",'Raw - Sessions'!Z199)</f>
        <v>0.96</v>
      </c>
      <c r="G225" s="42" t="n">
        <f aca="false">IF(ISBLANK('Raw - Sessions'!U199),"",'Raw - Sessions'!AE199)</f>
        <v>0</v>
      </c>
      <c r="H225" s="42" t="n">
        <f aca="false">IF(ISBLANK('Raw - Sessions'!U199),"",'Raw - Sessions'!AD199)</f>
        <v>1.6</v>
      </c>
      <c r="I225" s="42" t="n">
        <f aca="false">IF(ISBLANK('Raw - Sessions'!U199),"",'Raw - Sessions'!P199)</f>
        <v>16.92</v>
      </c>
      <c r="J225" s="42" t="n">
        <f aca="false">IF(E225="","",E225+F225+G225+'Raw - Sessions'!AA199+'Raw - Sessions'!AB199+'Raw - Sessions'!AC199)</f>
        <v>16.92</v>
      </c>
      <c r="K225" s="42" t="n">
        <f aca="false">IF(E225="","",I225-J225)</f>
        <v>0</v>
      </c>
      <c r="L225" s="70" t="str">
        <f aca="false">IF(E225="","",IF(ABS(K225)&gt;0.02,"MISMATCH","OK"))</f>
        <v>OK</v>
      </c>
      <c r="M225" s="42" t="n">
        <f aca="false">IF(ISBLANK('Raw - Sessions'!U199),"",'Raw - Sessions'!Q199)</f>
        <v>14.36</v>
      </c>
      <c r="N225" s="42" t="n">
        <f aca="false">IF(E225="","",I225-G225-H225-F225)</f>
        <v>14.36</v>
      </c>
      <c r="O225" s="42" t="n">
        <f aca="false">IF(E225="","",M225-N225)</f>
        <v>0</v>
      </c>
      <c r="P225" s="70" t="str">
        <f aca="false">IF(E225="","",IF(ABS(O225)&gt;0.02,"MISMATCH","OK"))</f>
        <v>OK</v>
      </c>
    </row>
    <row r="226" customFormat="false" ht="15" hidden="false" customHeight="false" outlineLevel="0" collapsed="false">
      <c r="A226" s="72" t="n">
        <f aca="false">'Raw - Sessions'!A200</f>
        <v>5090967681</v>
      </c>
      <c r="B226" s="72" t="str">
        <f aca="false">'Raw - Sessions'!K200</f>
        <v>BARBOURVILLE / CITY HALL</v>
      </c>
      <c r="C226" s="73" t="n">
        <f aca="false">IF(ISBLANK('Raw - Sessions'!U200),"",'Raw - Sessions'!T200)</f>
        <v>0.5</v>
      </c>
      <c r="D226" s="39" t="n">
        <f aca="false">'Raw - Sessions'!E200</f>
        <v>24.7771</v>
      </c>
      <c r="E226" s="44" t="n">
        <f aca="false">IF(ISBLANK('Raw - Sessions'!U200),"",'Raw - Sessions'!U200)</f>
        <v>14.99</v>
      </c>
      <c r="F226" s="44" t="n">
        <f aca="false">IF(ISBLANK('Raw - Sessions'!U200),"",'Raw - Sessions'!Z200)</f>
        <v>0.9</v>
      </c>
      <c r="G226" s="44" t="n">
        <f aca="false">IF(ISBLANK('Raw - Sessions'!U200),"",'Raw - Sessions'!AE200)</f>
        <v>0</v>
      </c>
      <c r="H226" s="44" t="n">
        <f aca="false">IF(ISBLANK('Raw - Sessions'!U200),"",'Raw - Sessions'!AD200)</f>
        <v>1.5</v>
      </c>
      <c r="I226" s="44" t="n">
        <f aca="false">IF(ISBLANK('Raw - Sessions'!U200),"",'Raw - Sessions'!P200)</f>
        <v>15.89</v>
      </c>
      <c r="J226" s="44" t="n">
        <f aca="false">IF(E226="","",E226+F226+G226+'Raw - Sessions'!AA200+'Raw - Sessions'!AB200+'Raw - Sessions'!AC200)</f>
        <v>15.89</v>
      </c>
      <c r="K226" s="44" t="n">
        <f aca="false">IF(E226="","",I226-J226)</f>
        <v>0</v>
      </c>
      <c r="L226" s="72" t="str">
        <f aca="false">IF(E226="","",IF(ABS(K226)&gt;0.02,"MISMATCH","OK"))</f>
        <v>OK</v>
      </c>
      <c r="M226" s="44" t="n">
        <f aca="false">IF(ISBLANK('Raw - Sessions'!U200),"",'Raw - Sessions'!Q200)</f>
        <v>13.49</v>
      </c>
      <c r="N226" s="44" t="n">
        <f aca="false">IF(E226="","",I226-G226-H226-F226)</f>
        <v>13.49</v>
      </c>
      <c r="O226" s="44" t="n">
        <f aca="false">IF(E226="","",M226-N226)</f>
        <v>0</v>
      </c>
      <c r="P226" s="72" t="str">
        <f aca="false">IF(E226="","",IF(ABS(O226)&gt;0.02,"MISMATCH","OK"))</f>
        <v>OK</v>
      </c>
    </row>
    <row r="227" customFormat="false" ht="15" hidden="false" customHeight="false" outlineLevel="0" collapsed="false">
      <c r="A227" s="70" t="n">
        <f aca="false">'Raw - Sessions'!A201</f>
        <v>5091525811</v>
      </c>
      <c r="B227" s="70" t="str">
        <f aca="false">'Raw - Sessions'!K201</f>
        <v>BARBOURVILLE / CITY HALL</v>
      </c>
      <c r="C227" s="71" t="n">
        <f aca="false">IF(ISBLANK('Raw - Sessions'!U201),"",'Raw - Sessions'!T201)</f>
        <v>0.5</v>
      </c>
      <c r="D227" s="38" t="n">
        <f aca="false">'Raw - Sessions'!E201</f>
        <v>19.8486</v>
      </c>
      <c r="E227" s="42" t="n">
        <f aca="false">IF(ISBLANK('Raw - Sessions'!U201),"",'Raw - Sessions'!U201)</f>
        <v>11.74</v>
      </c>
      <c r="F227" s="42" t="n">
        <f aca="false">IF(ISBLANK('Raw - Sessions'!U201),"",'Raw - Sessions'!Z201)</f>
        <v>0.71</v>
      </c>
      <c r="G227" s="42" t="n">
        <f aca="false">IF(ISBLANK('Raw - Sessions'!U201),"",'Raw - Sessions'!AE201)</f>
        <v>0</v>
      </c>
      <c r="H227" s="42" t="n">
        <f aca="false">IF(ISBLANK('Raw - Sessions'!U201),"",'Raw - Sessions'!AD201)</f>
        <v>1.17</v>
      </c>
      <c r="I227" s="42" t="n">
        <f aca="false">IF(ISBLANK('Raw - Sessions'!U201),"",'Raw - Sessions'!P201)</f>
        <v>12.45</v>
      </c>
      <c r="J227" s="42" t="n">
        <f aca="false">IF(E227="","",E227+F227+G227+'Raw - Sessions'!AA201+'Raw - Sessions'!AB201+'Raw - Sessions'!AC201)</f>
        <v>12.45</v>
      </c>
      <c r="K227" s="42" t="n">
        <f aca="false">IF(E227="","",I227-J227)</f>
        <v>0</v>
      </c>
      <c r="L227" s="70" t="str">
        <f aca="false">IF(E227="","",IF(ABS(K227)&gt;0.02,"MISMATCH","OK"))</f>
        <v>OK</v>
      </c>
      <c r="M227" s="42" t="n">
        <f aca="false">IF(ISBLANK('Raw - Sessions'!U201),"",'Raw - Sessions'!Q201)</f>
        <v>10.57</v>
      </c>
      <c r="N227" s="42" t="n">
        <f aca="false">IF(E227="","",I227-G227-H227-F227)</f>
        <v>10.57</v>
      </c>
      <c r="O227" s="42" t="n">
        <f aca="false">IF(E227="","",M227-N227)</f>
        <v>0</v>
      </c>
      <c r="P227" s="70" t="str">
        <f aca="false">IF(E227="","",IF(ABS(O227)&gt;0.02,"MISMATCH","OK"))</f>
        <v>OK</v>
      </c>
    </row>
    <row r="228" customFormat="false" ht="15" hidden="false" customHeight="false" outlineLevel="0" collapsed="false">
      <c r="A228" s="72" t="n">
        <f aca="false">'Raw - Sessions'!A202</f>
        <v>5091829711</v>
      </c>
      <c r="B228" s="72" t="str">
        <f aca="false">'Raw - Sessions'!K202</f>
        <v>BARBOURVILLE / CITY HALL</v>
      </c>
      <c r="C228" s="73" t="n">
        <f aca="false">IF(ISBLANK('Raw - Sessions'!U202),"",'Raw - Sessions'!T202)</f>
        <v>0.5</v>
      </c>
      <c r="D228" s="39" t="n">
        <f aca="false">'Raw - Sessions'!E202</f>
        <v>33.5751</v>
      </c>
      <c r="E228" s="44" t="n">
        <f aca="false">IF(ISBLANK('Raw - Sessions'!U202),"",'Raw - Sessions'!U202)</f>
        <v>21.96</v>
      </c>
      <c r="F228" s="44" t="n">
        <f aca="false">IF(ISBLANK('Raw - Sessions'!U202),"",'Raw - Sessions'!Z202)</f>
        <v>1.32</v>
      </c>
      <c r="G228" s="44" t="n">
        <f aca="false">IF(ISBLANK('Raw - Sessions'!U202),"",'Raw - Sessions'!AE202)</f>
        <v>0</v>
      </c>
      <c r="H228" s="44" t="n">
        <f aca="false">IF(ISBLANK('Raw - Sessions'!U202),"",'Raw - Sessions'!AD202)</f>
        <v>2.2</v>
      </c>
      <c r="I228" s="44" t="n">
        <f aca="false">IF(ISBLANK('Raw - Sessions'!U202),"",'Raw - Sessions'!P202)</f>
        <v>23.28</v>
      </c>
      <c r="J228" s="44" t="n">
        <f aca="false">IF(E228="","",E228+F228+G228+'Raw - Sessions'!AA202+'Raw - Sessions'!AB202+'Raw - Sessions'!AC202)</f>
        <v>23.28</v>
      </c>
      <c r="K228" s="44" t="n">
        <f aca="false">IF(E228="","",I228-J228)</f>
        <v>0</v>
      </c>
      <c r="L228" s="72" t="str">
        <f aca="false">IF(E228="","",IF(ABS(K228)&gt;0.02,"MISMATCH","OK"))</f>
        <v>OK</v>
      </c>
      <c r="M228" s="44" t="n">
        <f aca="false">IF(ISBLANK('Raw - Sessions'!U202),"",'Raw - Sessions'!Q202)</f>
        <v>19.76</v>
      </c>
      <c r="N228" s="44" t="n">
        <f aca="false">IF(E228="","",I228-G228-H228-F228)</f>
        <v>19.76</v>
      </c>
      <c r="O228" s="44" t="n">
        <f aca="false">IF(E228="","",M228-N228)</f>
        <v>0</v>
      </c>
      <c r="P228" s="72" t="str">
        <f aca="false">IF(E228="","",IF(ABS(O228)&gt;0.02,"MISMATCH","OK"))</f>
        <v>OK</v>
      </c>
    </row>
    <row r="229" customFormat="false" ht="15" hidden="false" customHeight="false" outlineLevel="0" collapsed="false">
      <c r="A229" s="70" t="n">
        <f aca="false">'Raw - Sessions'!A203</f>
        <v>5095371501</v>
      </c>
      <c r="B229" s="70" t="str">
        <f aca="false">'Raw - Sessions'!K203</f>
        <v>BARBOURVILLE / TOURISM</v>
      </c>
      <c r="C229" s="71" t="n">
        <f aca="false">IF(ISBLANK('Raw - Sessions'!U203),"",'Raw - Sessions'!T203)</f>
        <v>0.5</v>
      </c>
      <c r="D229" s="38" t="n">
        <f aca="false">'Raw - Sessions'!E203</f>
        <v>5.016269</v>
      </c>
      <c r="E229" s="42" t="n">
        <f aca="false">IF(ISBLANK('Raw - Sessions'!U203),"",'Raw - Sessions'!U203)</f>
        <v>6.21</v>
      </c>
      <c r="F229" s="42" t="n">
        <f aca="false">IF(ISBLANK('Raw - Sessions'!U203),"",'Raw - Sessions'!Z203)</f>
        <v>0.37</v>
      </c>
      <c r="G229" s="42" t="n">
        <f aca="false">IF(ISBLANK('Raw - Sessions'!U203),"",'Raw - Sessions'!AE203)</f>
        <v>0</v>
      </c>
      <c r="H229" s="42" t="n">
        <f aca="false">IF(ISBLANK('Raw - Sessions'!U203),"",'Raw - Sessions'!AD203)</f>
        <v>0.62</v>
      </c>
      <c r="I229" s="42" t="n">
        <f aca="false">IF(ISBLANK('Raw - Sessions'!U203),"",'Raw - Sessions'!P203)</f>
        <v>6.58</v>
      </c>
      <c r="J229" s="42" t="n">
        <f aca="false">IF(E229="","",E229+F229+G229+'Raw - Sessions'!AA203+'Raw - Sessions'!AB203+'Raw - Sessions'!AC203)</f>
        <v>6.58</v>
      </c>
      <c r="K229" s="42" t="n">
        <f aca="false">IF(E229="","",I229-J229)</f>
        <v>0</v>
      </c>
      <c r="L229" s="70" t="str">
        <f aca="false">IF(E229="","",IF(ABS(K229)&gt;0.02,"MISMATCH","OK"))</f>
        <v>OK</v>
      </c>
      <c r="M229" s="42" t="n">
        <f aca="false">IF(ISBLANK('Raw - Sessions'!U203),"",'Raw - Sessions'!Q203)</f>
        <v>5.59</v>
      </c>
      <c r="N229" s="42" t="n">
        <f aca="false">IF(E229="","",I229-G229-H229-F229)</f>
        <v>5.59</v>
      </c>
      <c r="O229" s="42" t="n">
        <f aca="false">IF(E229="","",M229-N229)</f>
        <v>0</v>
      </c>
      <c r="P229" s="70" t="str">
        <f aca="false">IF(E229="","",IF(ABS(O229)&gt;0.02,"MISMATCH","OK"))</f>
        <v>OK</v>
      </c>
    </row>
    <row r="230" customFormat="false" ht="15" hidden="false" customHeight="false" outlineLevel="0" collapsed="false">
      <c r="A230" s="72" t="n">
        <f aca="false">'Raw - Sessions'!A204</f>
        <v>5101195401</v>
      </c>
      <c r="B230" s="72" t="str">
        <f aca="false">'Raw - Sessions'!K204</f>
        <v>BARBOURVILLE / CITY HALL</v>
      </c>
      <c r="C230" s="73" t="n">
        <f aca="false">IF(ISBLANK('Raw - Sessions'!U204),"",'Raw - Sessions'!T204)</f>
        <v>0.5</v>
      </c>
      <c r="D230" s="39" t="n">
        <f aca="false">'Raw - Sessions'!E204</f>
        <v>38.9751</v>
      </c>
      <c r="E230" s="44" t="n">
        <f aca="false">IF(ISBLANK('Raw - Sessions'!U204),"",'Raw - Sessions'!U204)</f>
        <v>29.87</v>
      </c>
      <c r="F230" s="44" t="n">
        <f aca="false">IF(ISBLANK('Raw - Sessions'!U204),"",'Raw - Sessions'!Z204)</f>
        <v>1.79</v>
      </c>
      <c r="G230" s="44" t="n">
        <f aca="false">IF(ISBLANK('Raw - Sessions'!U204),"",'Raw - Sessions'!AE204)</f>
        <v>0</v>
      </c>
      <c r="H230" s="44" t="n">
        <f aca="false">IF(ISBLANK('Raw - Sessions'!U204),"",'Raw - Sessions'!AD204)</f>
        <v>2.99</v>
      </c>
      <c r="I230" s="44" t="n">
        <f aca="false">IF(ISBLANK('Raw - Sessions'!U204),"",'Raw - Sessions'!P204)</f>
        <v>31.66</v>
      </c>
      <c r="J230" s="44" t="n">
        <f aca="false">IF(E230="","",E230+F230+G230+'Raw - Sessions'!AA204+'Raw - Sessions'!AB204+'Raw - Sessions'!AC204)</f>
        <v>31.66</v>
      </c>
      <c r="K230" s="44" t="n">
        <f aca="false">IF(E230="","",I230-J230)</f>
        <v>0</v>
      </c>
      <c r="L230" s="72" t="str">
        <f aca="false">IF(E230="","",IF(ABS(K230)&gt;0.02,"MISMATCH","OK"))</f>
        <v>OK</v>
      </c>
      <c r="M230" s="44" t="n">
        <f aca="false">IF(ISBLANK('Raw - Sessions'!U204),"",'Raw - Sessions'!Q204)</f>
        <v>26.88</v>
      </c>
      <c r="N230" s="44" t="n">
        <f aca="false">IF(E230="","",I230-G230-H230-F230)</f>
        <v>26.88</v>
      </c>
      <c r="O230" s="44" t="n">
        <f aca="false">IF(E230="","",M230-N230)</f>
        <v>0</v>
      </c>
      <c r="P230" s="72" t="str">
        <f aca="false">IF(E230="","",IF(ABS(O230)&gt;0.02,"MISMATCH","OK"))</f>
        <v>OK</v>
      </c>
    </row>
    <row r="231" customFormat="false" ht="15" hidden="false" customHeight="false" outlineLevel="0" collapsed="false">
      <c r="A231" s="70" t="n">
        <f aca="false">'Raw - Sessions'!A205</f>
        <v>5102285491</v>
      </c>
      <c r="B231" s="70" t="str">
        <f aca="false">'Raw - Sessions'!K205</f>
        <v>BARBOURVILLE / TOURISM</v>
      </c>
      <c r="C231" s="71" t="str">
        <f aca="false">IF(ISBLANK('Raw - Sessions'!U205),"",'Raw - Sessions'!T205)</f>
        <v/>
      </c>
      <c r="D231" s="38" t="n">
        <f aca="false">'Raw - Sessions'!E205</f>
        <v>0</v>
      </c>
      <c r="E231" s="42" t="str">
        <f aca="false">IF(ISBLANK('Raw - Sessions'!U205),"",'Raw - Sessions'!U205)</f>
        <v/>
      </c>
      <c r="F231" s="42" t="str">
        <f aca="false">IF(ISBLANK('Raw - Sessions'!U205),"",'Raw - Sessions'!Z205)</f>
        <v/>
      </c>
      <c r="G231" s="42" t="str">
        <f aca="false">IF(ISBLANK('Raw - Sessions'!U205),"",'Raw - Sessions'!AE205)</f>
        <v/>
      </c>
      <c r="H231" s="42" t="str">
        <f aca="false">IF(ISBLANK('Raw - Sessions'!U205),"",'Raw - Sessions'!AD205)</f>
        <v/>
      </c>
      <c r="I231" s="42" t="str">
        <f aca="false">IF(ISBLANK('Raw - Sessions'!U205),"",'Raw - Sessions'!P205)</f>
        <v/>
      </c>
      <c r="J231" s="42" t="str">
        <f aca="false">IF(E231="","",E231+F231+G231+'Raw - Sessions'!AA205+'Raw - Sessions'!AB205+'Raw - Sessions'!AC205)</f>
        <v/>
      </c>
      <c r="K231" s="42" t="str">
        <f aca="false">IF(E231="","",I231-J231)</f>
        <v/>
      </c>
      <c r="L231" s="70" t="str">
        <f aca="false">IF(E231="","",IF(ABS(K231)&gt;0.02,"MISMATCH","OK"))</f>
        <v/>
      </c>
      <c r="M231" s="42" t="str">
        <f aca="false">IF(ISBLANK('Raw - Sessions'!U205),"",'Raw - Sessions'!Q205)</f>
        <v/>
      </c>
      <c r="N231" s="42" t="str">
        <f aca="false">IF(E231="","",I231-G231-H231-F231)</f>
        <v/>
      </c>
      <c r="O231" s="42" t="str">
        <f aca="false">IF(E231="","",M231-N231)</f>
        <v/>
      </c>
      <c r="P231" s="70" t="str">
        <f aca="false">IF(E231="","",IF(ABS(O231)&gt;0.02,"MISMATCH","OK"))</f>
        <v/>
      </c>
    </row>
    <row r="232" customFormat="false" ht="15" hidden="false" customHeight="false" outlineLevel="0" collapsed="false">
      <c r="A232" s="72" t="n">
        <f aca="false">'Raw - Sessions'!A206</f>
        <v>5106765831</v>
      </c>
      <c r="B232" s="72" t="str">
        <f aca="false">'Raw - Sessions'!K206</f>
        <v>BARBOURVILLE / CITY HALL</v>
      </c>
      <c r="C232" s="73" t="n">
        <f aca="false">IF(ISBLANK('Raw - Sessions'!U206),"",'Raw - Sessions'!T206)</f>
        <v>0.5</v>
      </c>
      <c r="D232" s="39" t="n">
        <f aca="false">'Raw - Sessions'!E206</f>
        <v>47.9561</v>
      </c>
      <c r="E232" s="44" t="n">
        <f aca="false">IF(ISBLANK('Raw - Sessions'!U206),"",'Raw - Sessions'!U206)</f>
        <v>27.92</v>
      </c>
      <c r="F232" s="44" t="n">
        <f aca="false">IF(ISBLANK('Raw - Sessions'!U206),"",'Raw - Sessions'!Z206)</f>
        <v>1.68</v>
      </c>
      <c r="G232" s="44" t="n">
        <f aca="false">IF(ISBLANK('Raw - Sessions'!U206),"",'Raw - Sessions'!AE206)</f>
        <v>0</v>
      </c>
      <c r="H232" s="44" t="n">
        <f aca="false">IF(ISBLANK('Raw - Sessions'!U206),"",'Raw - Sessions'!AD206)</f>
        <v>2.79</v>
      </c>
      <c r="I232" s="44" t="n">
        <f aca="false">IF(ISBLANK('Raw - Sessions'!U206),"",'Raw - Sessions'!P206)</f>
        <v>29.6</v>
      </c>
      <c r="J232" s="44" t="n">
        <f aca="false">IF(E232="","",E232+F232+G232+'Raw - Sessions'!AA206+'Raw - Sessions'!AB206+'Raw - Sessions'!AC206)</f>
        <v>29.6</v>
      </c>
      <c r="K232" s="44" t="n">
        <f aca="false">IF(E232="","",I232-J232)</f>
        <v>0</v>
      </c>
      <c r="L232" s="72" t="str">
        <f aca="false">IF(E232="","",IF(ABS(K232)&gt;0.02,"MISMATCH","OK"))</f>
        <v>OK</v>
      </c>
      <c r="M232" s="44" t="n">
        <f aca="false">IF(ISBLANK('Raw - Sessions'!U206),"",'Raw - Sessions'!Q206)</f>
        <v>25.13</v>
      </c>
      <c r="N232" s="44" t="n">
        <f aca="false">IF(E232="","",I232-G232-H232-F232)</f>
        <v>25.13</v>
      </c>
      <c r="O232" s="44" t="n">
        <f aca="false">IF(E232="","",M232-N232)</f>
        <v>0</v>
      </c>
      <c r="P232" s="72" t="str">
        <f aca="false">IF(E232="","",IF(ABS(O232)&gt;0.02,"MISMATCH","OK"))</f>
        <v>OK</v>
      </c>
    </row>
    <row r="233" customFormat="false" ht="15" hidden="false" customHeight="false" outlineLevel="0" collapsed="false">
      <c r="A233" s="70" t="n">
        <f aca="false">'Raw - Sessions'!A207</f>
        <v>5109277721</v>
      </c>
      <c r="B233" s="70" t="str">
        <f aca="false">'Raw - Sessions'!K207</f>
        <v>BARBOURVILLE / CITY HALL</v>
      </c>
      <c r="C233" s="71" t="n">
        <f aca="false">IF(ISBLANK('Raw - Sessions'!U207),"",'Raw - Sessions'!T207)</f>
        <v>0.5</v>
      </c>
      <c r="D233" s="38" t="n">
        <f aca="false">'Raw - Sessions'!E207</f>
        <v>18.939</v>
      </c>
      <c r="E233" s="42" t="n">
        <f aca="false">IF(ISBLANK('Raw - Sessions'!U207),"",'Raw - Sessions'!U207)</f>
        <v>11.47</v>
      </c>
      <c r="F233" s="42" t="n">
        <f aca="false">IF(ISBLANK('Raw - Sessions'!U207),"",'Raw - Sessions'!Z207)</f>
        <v>0.69</v>
      </c>
      <c r="G233" s="42" t="n">
        <f aca="false">IF(ISBLANK('Raw - Sessions'!U207),"",'Raw - Sessions'!AE207)</f>
        <v>0</v>
      </c>
      <c r="H233" s="42" t="n">
        <f aca="false">IF(ISBLANK('Raw - Sessions'!U207),"",'Raw - Sessions'!AD207)</f>
        <v>1.15</v>
      </c>
      <c r="I233" s="42" t="n">
        <f aca="false">IF(ISBLANK('Raw - Sessions'!U207),"",'Raw - Sessions'!P207)</f>
        <v>12.16</v>
      </c>
      <c r="J233" s="42" t="n">
        <f aca="false">IF(E233="","",E233+F233+G233+'Raw - Sessions'!AA207+'Raw - Sessions'!AB207+'Raw - Sessions'!AC207)</f>
        <v>12.16</v>
      </c>
      <c r="K233" s="42" t="n">
        <f aca="false">IF(E233="","",I233-J233)</f>
        <v>0</v>
      </c>
      <c r="L233" s="70" t="str">
        <f aca="false">IF(E233="","",IF(ABS(K233)&gt;0.02,"MISMATCH","OK"))</f>
        <v>OK</v>
      </c>
      <c r="M233" s="42" t="n">
        <f aca="false">IF(ISBLANK('Raw - Sessions'!U207),"",'Raw - Sessions'!Q207)</f>
        <v>10.32</v>
      </c>
      <c r="N233" s="42" t="n">
        <f aca="false">IF(E233="","",I233-G233-H233-F233)</f>
        <v>10.32</v>
      </c>
      <c r="O233" s="42" t="n">
        <f aca="false">IF(E233="","",M233-N233)</f>
        <v>0</v>
      </c>
      <c r="P233" s="70" t="str">
        <f aca="false">IF(E233="","",IF(ABS(O233)&gt;0.02,"MISMATCH","OK"))</f>
        <v>OK</v>
      </c>
    </row>
    <row r="234" customFormat="false" ht="15" hidden="false" customHeight="false" outlineLevel="0" collapsed="false">
      <c r="A234" s="72" t="n">
        <f aca="false">'Raw - Sessions'!A208</f>
        <v>5110850871</v>
      </c>
      <c r="B234" s="72" t="str">
        <f aca="false">'Raw - Sessions'!K208</f>
        <v>BARBOURVILLE / CITY HALL</v>
      </c>
      <c r="C234" s="73" t="n">
        <f aca="false">IF(ISBLANK('Raw - Sessions'!U208),"",'Raw - Sessions'!T208)</f>
        <v>0.5</v>
      </c>
      <c r="D234" s="39" t="n">
        <f aca="false">'Raw - Sessions'!E208</f>
        <v>20.2164</v>
      </c>
      <c r="E234" s="44" t="n">
        <f aca="false">IF(ISBLANK('Raw - Sessions'!U208),"",'Raw - Sessions'!U208)</f>
        <v>14.07</v>
      </c>
      <c r="F234" s="44" t="n">
        <f aca="false">IF(ISBLANK('Raw - Sessions'!U208),"",'Raw - Sessions'!Z208)</f>
        <v>0.85</v>
      </c>
      <c r="G234" s="44" t="n">
        <f aca="false">IF(ISBLANK('Raw - Sessions'!U208),"",'Raw - Sessions'!AE208)</f>
        <v>0</v>
      </c>
      <c r="H234" s="44" t="n">
        <f aca="false">IF(ISBLANK('Raw - Sessions'!U208),"",'Raw - Sessions'!AD208)</f>
        <v>1.41</v>
      </c>
      <c r="I234" s="44" t="n">
        <f aca="false">IF(ISBLANK('Raw - Sessions'!U208),"",'Raw - Sessions'!P208)</f>
        <v>14.92</v>
      </c>
      <c r="J234" s="44" t="n">
        <f aca="false">IF(E234="","",E234+F234+G234+'Raw - Sessions'!AA208+'Raw - Sessions'!AB208+'Raw - Sessions'!AC208)</f>
        <v>14.92</v>
      </c>
      <c r="K234" s="44" t="n">
        <f aca="false">IF(E234="","",I234-J234)</f>
        <v>0</v>
      </c>
      <c r="L234" s="72" t="str">
        <f aca="false">IF(E234="","",IF(ABS(K234)&gt;0.02,"MISMATCH","OK"))</f>
        <v>OK</v>
      </c>
      <c r="M234" s="44" t="n">
        <f aca="false">IF(ISBLANK('Raw - Sessions'!U208),"",'Raw - Sessions'!Q208)</f>
        <v>12.66</v>
      </c>
      <c r="N234" s="44" t="n">
        <f aca="false">IF(E234="","",I234-G234-H234-F234)</f>
        <v>12.66</v>
      </c>
      <c r="O234" s="44" t="n">
        <f aca="false">IF(E234="","",M234-N234)</f>
        <v>0</v>
      </c>
      <c r="P234" s="72" t="str">
        <f aca="false">IF(E234="","",IF(ABS(O234)&gt;0.02,"MISMATCH","OK"))</f>
        <v>OK</v>
      </c>
    </row>
    <row r="235" customFormat="false" ht="15" hidden="false" customHeight="false" outlineLevel="0" collapsed="false">
      <c r="A235" s="70" t="n">
        <f aca="false">'Raw - Sessions'!A209</f>
        <v>5112863521</v>
      </c>
      <c r="B235" s="70" t="str">
        <f aca="false">'Raw - Sessions'!K209</f>
        <v>BARBOURVILLE / CITY HALL</v>
      </c>
      <c r="C235" s="71" t="n">
        <f aca="false">IF(ISBLANK('Raw - Sessions'!U209),"",'Raw - Sessions'!T209)</f>
        <v>0.5</v>
      </c>
      <c r="D235" s="38" t="n">
        <f aca="false">'Raw - Sessions'!E209</f>
        <v>45.5586</v>
      </c>
      <c r="E235" s="42" t="n">
        <f aca="false">IF(ISBLANK('Raw - Sessions'!U209),"",'Raw - Sessions'!U209)</f>
        <v>26.87</v>
      </c>
      <c r="F235" s="42" t="n">
        <f aca="false">IF(ISBLANK('Raw - Sessions'!U209),"",'Raw - Sessions'!Z209)</f>
        <v>1.62</v>
      </c>
      <c r="G235" s="42" t="n">
        <f aca="false">IF(ISBLANK('Raw - Sessions'!U209),"",'Raw - Sessions'!AE209)</f>
        <v>0</v>
      </c>
      <c r="H235" s="42" t="n">
        <f aca="false">IF(ISBLANK('Raw - Sessions'!U209),"",'Raw - Sessions'!AD209)</f>
        <v>2.69</v>
      </c>
      <c r="I235" s="42" t="n">
        <f aca="false">IF(ISBLANK('Raw - Sessions'!U209),"",'Raw - Sessions'!P209)</f>
        <v>28.49</v>
      </c>
      <c r="J235" s="42" t="n">
        <f aca="false">IF(E235="","",E235+F235+G235+'Raw - Sessions'!AA209+'Raw - Sessions'!AB209+'Raw - Sessions'!AC209)</f>
        <v>28.49</v>
      </c>
      <c r="K235" s="42" t="n">
        <f aca="false">IF(E235="","",I235-J235)</f>
        <v>0</v>
      </c>
      <c r="L235" s="70" t="str">
        <f aca="false">IF(E235="","",IF(ABS(K235)&gt;0.02,"MISMATCH","OK"))</f>
        <v>OK</v>
      </c>
      <c r="M235" s="42" t="n">
        <f aca="false">IF(ISBLANK('Raw - Sessions'!U209),"",'Raw - Sessions'!Q209)</f>
        <v>24.18</v>
      </c>
      <c r="N235" s="42" t="n">
        <f aca="false">IF(E235="","",I235-G235-H235-F235)</f>
        <v>24.18</v>
      </c>
      <c r="O235" s="42" t="n">
        <f aca="false">IF(E235="","",M235-N235)</f>
        <v>0</v>
      </c>
      <c r="P235" s="70" t="str">
        <f aca="false">IF(E235="","",IF(ABS(O235)&gt;0.02,"MISMATCH","OK"))</f>
        <v>OK</v>
      </c>
    </row>
    <row r="236" customFormat="false" ht="15" hidden="false" customHeight="false" outlineLevel="0" collapsed="false">
      <c r="A236" s="72" t="n">
        <f aca="false">'Raw - Sessions'!A210</f>
        <v>5113490811</v>
      </c>
      <c r="B236" s="72" t="str">
        <f aca="false">'Raw - Sessions'!K210</f>
        <v>BARBOURVILLE / CITY HALL</v>
      </c>
      <c r="C236" s="73" t="n">
        <f aca="false">IF(ISBLANK('Raw - Sessions'!U210),"",'Raw - Sessions'!T210)</f>
        <v>0.5</v>
      </c>
      <c r="D236" s="39" t="n">
        <f aca="false">'Raw - Sessions'!E210</f>
        <v>48.9457</v>
      </c>
      <c r="E236" s="44" t="n">
        <f aca="false">IF(ISBLANK('Raw - Sessions'!U210),"",'Raw - Sessions'!U210)</f>
        <v>28.86</v>
      </c>
      <c r="F236" s="44" t="n">
        <f aca="false">IF(ISBLANK('Raw - Sessions'!U210),"",'Raw - Sessions'!Z210)</f>
        <v>1.73</v>
      </c>
      <c r="G236" s="44" t="n">
        <f aca="false">IF(ISBLANK('Raw - Sessions'!U210),"",'Raw - Sessions'!AE210)</f>
        <v>0</v>
      </c>
      <c r="H236" s="44" t="n">
        <f aca="false">IF(ISBLANK('Raw - Sessions'!U210),"",'Raw - Sessions'!AD210)</f>
        <v>2.89</v>
      </c>
      <c r="I236" s="44" t="n">
        <f aca="false">IF(ISBLANK('Raw - Sessions'!U210),"",'Raw - Sessions'!P210)</f>
        <v>30.59</v>
      </c>
      <c r="J236" s="44" t="n">
        <f aca="false">IF(E236="","",E236+F236+G236+'Raw - Sessions'!AA210+'Raw - Sessions'!AB210+'Raw - Sessions'!AC210)</f>
        <v>30.59</v>
      </c>
      <c r="K236" s="44" t="n">
        <f aca="false">IF(E236="","",I236-J236)</f>
        <v>0</v>
      </c>
      <c r="L236" s="72" t="str">
        <f aca="false">IF(E236="","",IF(ABS(K236)&gt;0.02,"MISMATCH","OK"))</f>
        <v>OK</v>
      </c>
      <c r="M236" s="44" t="n">
        <f aca="false">IF(ISBLANK('Raw - Sessions'!U210),"",'Raw - Sessions'!Q210)</f>
        <v>25.97</v>
      </c>
      <c r="N236" s="44" t="n">
        <f aca="false">IF(E236="","",I236-G236-H236-F236)</f>
        <v>25.97</v>
      </c>
      <c r="O236" s="44" t="n">
        <f aca="false">IF(E236="","",M236-N236)</f>
        <v>0</v>
      </c>
      <c r="P236" s="72" t="str">
        <f aca="false">IF(E236="","",IF(ABS(O236)&gt;0.02,"MISMATCH","OK"))</f>
        <v>OK</v>
      </c>
    </row>
    <row r="237" customFormat="false" ht="15" hidden="false" customHeight="false" outlineLevel="0" collapsed="false">
      <c r="A237" s="70" t="n">
        <f aca="false">'Raw - Sessions'!A211</f>
        <v>5113904771</v>
      </c>
      <c r="B237" s="70" t="str">
        <f aca="false">'Raw - Sessions'!K211</f>
        <v>BARBOURVILLE / CITY HALL</v>
      </c>
      <c r="C237" s="71" t="n">
        <f aca="false">IF(ISBLANK('Raw - Sessions'!U211),"",'Raw - Sessions'!T211)</f>
        <v>0.5</v>
      </c>
      <c r="D237" s="38" t="n">
        <f aca="false">'Raw - Sessions'!E211</f>
        <v>28.1255</v>
      </c>
      <c r="E237" s="42" t="n">
        <f aca="false">IF(ISBLANK('Raw - Sessions'!U211),"",'Raw - Sessions'!U211)</f>
        <v>18.15</v>
      </c>
      <c r="F237" s="42" t="n">
        <f aca="false">IF(ISBLANK('Raw - Sessions'!U211),"",'Raw - Sessions'!Z211)</f>
        <v>1.09</v>
      </c>
      <c r="G237" s="42" t="n">
        <f aca="false">IF(ISBLANK('Raw - Sessions'!U211),"",'Raw - Sessions'!AE211)</f>
        <v>0</v>
      </c>
      <c r="H237" s="42" t="n">
        <f aca="false">IF(ISBLANK('Raw - Sessions'!U211),"",'Raw - Sessions'!AD211)</f>
        <v>1.81</v>
      </c>
      <c r="I237" s="42" t="n">
        <f aca="false">IF(ISBLANK('Raw - Sessions'!U211),"",'Raw - Sessions'!P211)</f>
        <v>19.24</v>
      </c>
      <c r="J237" s="42" t="n">
        <f aca="false">IF(E237="","",E237+F237+G237+'Raw - Sessions'!AA211+'Raw - Sessions'!AB211+'Raw - Sessions'!AC211)</f>
        <v>19.24</v>
      </c>
      <c r="K237" s="42" t="n">
        <f aca="false">IF(E237="","",I237-J237)</f>
        <v>0</v>
      </c>
      <c r="L237" s="70" t="str">
        <f aca="false">IF(E237="","",IF(ABS(K237)&gt;0.02,"MISMATCH","OK"))</f>
        <v>OK</v>
      </c>
      <c r="M237" s="42" t="n">
        <f aca="false">IF(ISBLANK('Raw - Sessions'!U211),"",'Raw - Sessions'!Q211)</f>
        <v>16.34</v>
      </c>
      <c r="N237" s="42" t="n">
        <f aca="false">IF(E237="","",I237-G237-H237-F237)</f>
        <v>16.34</v>
      </c>
      <c r="O237" s="42" t="n">
        <f aca="false">IF(E237="","",M237-N237)</f>
        <v>0</v>
      </c>
      <c r="P237" s="70" t="str">
        <f aca="false">IF(E237="","",IF(ABS(O237)&gt;0.02,"MISMATCH","OK"))</f>
        <v>OK</v>
      </c>
    </row>
    <row r="238" customFormat="false" ht="15" hidden="false" customHeight="false" outlineLevel="0" collapsed="false">
      <c r="A238" s="72" t="n">
        <f aca="false">'Raw - Sessions'!A212</f>
        <v>5114187961</v>
      </c>
      <c r="B238" s="72" t="str">
        <f aca="false">'Raw - Sessions'!K212</f>
        <v>BARBOURVILLE / CITY HALL</v>
      </c>
      <c r="C238" s="73" t="n">
        <f aca="false">IF(ISBLANK('Raw - Sessions'!U212),"",'Raw - Sessions'!T212)</f>
        <v>0.5</v>
      </c>
      <c r="D238" s="39" t="n">
        <f aca="false">'Raw - Sessions'!E212</f>
        <v>26.4852</v>
      </c>
      <c r="E238" s="44" t="n">
        <f aca="false">IF(ISBLANK('Raw - Sessions'!U212),"",'Raw - Sessions'!U212)</f>
        <v>20.16</v>
      </c>
      <c r="F238" s="44" t="n">
        <f aca="false">IF(ISBLANK('Raw - Sessions'!U212),"",'Raw - Sessions'!Z212)</f>
        <v>1.21</v>
      </c>
      <c r="G238" s="44" t="n">
        <f aca="false">IF(ISBLANK('Raw - Sessions'!U212),"",'Raw - Sessions'!AE212)</f>
        <v>0</v>
      </c>
      <c r="H238" s="44" t="n">
        <f aca="false">IF(ISBLANK('Raw - Sessions'!U212),"",'Raw - Sessions'!AD212)</f>
        <v>2.02</v>
      </c>
      <c r="I238" s="44" t="n">
        <f aca="false">IF(ISBLANK('Raw - Sessions'!U212),"",'Raw - Sessions'!P212)</f>
        <v>21.37</v>
      </c>
      <c r="J238" s="44" t="n">
        <f aca="false">IF(E238="","",E238+F238+G238+'Raw - Sessions'!AA212+'Raw - Sessions'!AB212+'Raw - Sessions'!AC212)</f>
        <v>21.37</v>
      </c>
      <c r="K238" s="44" t="n">
        <f aca="false">IF(E238="","",I238-J238)</f>
        <v>0</v>
      </c>
      <c r="L238" s="72" t="str">
        <f aca="false">IF(E238="","",IF(ABS(K238)&gt;0.02,"MISMATCH","OK"))</f>
        <v>OK</v>
      </c>
      <c r="M238" s="44" t="n">
        <f aca="false">IF(ISBLANK('Raw - Sessions'!U212),"",'Raw - Sessions'!Q212)</f>
        <v>18.14</v>
      </c>
      <c r="N238" s="44" t="n">
        <f aca="false">IF(E238="","",I238-G238-H238-F238)</f>
        <v>18.14</v>
      </c>
      <c r="O238" s="44" t="n">
        <f aca="false">IF(E238="","",M238-N238)</f>
        <v>0</v>
      </c>
      <c r="P238" s="72" t="str">
        <f aca="false">IF(E238="","",IF(ABS(O238)&gt;0.02,"MISMATCH","OK"))</f>
        <v>OK</v>
      </c>
    </row>
    <row r="239" customFormat="false" ht="15" hidden="false" customHeight="false" outlineLevel="0" collapsed="false">
      <c r="A239" s="70" t="n">
        <f aca="false">'Raw - Sessions'!A213</f>
        <v>5116073421</v>
      </c>
      <c r="B239" s="70" t="str">
        <f aca="false">'Raw - Sessions'!K213</f>
        <v>BARBOURVILLE / TOURISM</v>
      </c>
      <c r="C239" s="71" t="n">
        <f aca="false">IF(ISBLANK('Raw - Sessions'!U213),"",'Raw - Sessions'!T213)</f>
        <v>0.5</v>
      </c>
      <c r="D239" s="38" t="n">
        <f aca="false">'Raw - Sessions'!E213</f>
        <v>7.369006</v>
      </c>
      <c r="E239" s="42" t="n">
        <f aca="false">IF(ISBLANK('Raw - Sessions'!U213),"",'Raw - Sessions'!U213)</f>
        <v>8.94</v>
      </c>
      <c r="F239" s="42" t="n">
        <f aca="false">IF(ISBLANK('Raw - Sessions'!U213),"",'Raw - Sessions'!Z213)</f>
        <v>0.54</v>
      </c>
      <c r="G239" s="42" t="n">
        <f aca="false">IF(ISBLANK('Raw - Sessions'!U213),"",'Raw - Sessions'!AE213)</f>
        <v>0</v>
      </c>
      <c r="H239" s="42" t="n">
        <f aca="false">IF(ISBLANK('Raw - Sessions'!U213),"",'Raw - Sessions'!AD213)</f>
        <v>0.89</v>
      </c>
      <c r="I239" s="42" t="n">
        <f aca="false">IF(ISBLANK('Raw - Sessions'!U213),"",'Raw - Sessions'!P213)</f>
        <v>9.48</v>
      </c>
      <c r="J239" s="42" t="n">
        <f aca="false">IF(E239="","",E239+F239+G239+'Raw - Sessions'!AA213+'Raw - Sessions'!AB213+'Raw - Sessions'!AC213)</f>
        <v>9.48</v>
      </c>
      <c r="K239" s="42" t="n">
        <f aca="false">IF(E239="","",I239-J239)</f>
        <v>0</v>
      </c>
      <c r="L239" s="70" t="str">
        <f aca="false">IF(E239="","",IF(ABS(K239)&gt;0.02,"MISMATCH","OK"))</f>
        <v>OK</v>
      </c>
      <c r="M239" s="42" t="n">
        <f aca="false">IF(ISBLANK('Raw - Sessions'!U213),"",'Raw - Sessions'!Q213)</f>
        <v>8.05</v>
      </c>
      <c r="N239" s="42" t="n">
        <f aca="false">IF(E239="","",I239-G239-H239-F239)</f>
        <v>8.05</v>
      </c>
      <c r="O239" s="42" t="n">
        <f aca="false">IF(E239="","",M239-N239)</f>
        <v>0</v>
      </c>
      <c r="P239" s="70" t="str">
        <f aca="false">IF(E239="","",IF(ABS(O239)&gt;0.02,"MISMATCH","OK"))</f>
        <v>OK</v>
      </c>
    </row>
    <row r="240" customFormat="false" ht="15" hidden="false" customHeight="false" outlineLevel="0" collapsed="false">
      <c r="A240" s="72" t="n">
        <f aca="false">'Raw - Sessions'!A214</f>
        <v>5119467321</v>
      </c>
      <c r="B240" s="72" t="str">
        <f aca="false">'Raw - Sessions'!K214</f>
        <v>BARBOURVILLE / TOURISM</v>
      </c>
      <c r="C240" s="73" t="n">
        <f aca="false">IF(ISBLANK('Raw - Sessions'!U214),"",'Raw - Sessions'!T214)</f>
        <v>0.5</v>
      </c>
      <c r="D240" s="39" t="n">
        <f aca="false">'Raw - Sessions'!E214</f>
        <v>2.856592</v>
      </c>
      <c r="E240" s="44" t="n">
        <f aca="false">IF(ISBLANK('Raw - Sessions'!U214),"",'Raw - Sessions'!U214)</f>
        <v>3.53</v>
      </c>
      <c r="F240" s="44" t="n">
        <f aca="false">IF(ISBLANK('Raw - Sessions'!U214),"",'Raw - Sessions'!Z214)</f>
        <v>0.22</v>
      </c>
      <c r="G240" s="44" t="n">
        <f aca="false">IF(ISBLANK('Raw - Sessions'!U214),"",'Raw - Sessions'!AE214)</f>
        <v>0</v>
      </c>
      <c r="H240" s="44" t="n">
        <f aca="false">IF(ISBLANK('Raw - Sessions'!U214),"",'Raw - Sessions'!AD214)</f>
        <v>0.35</v>
      </c>
      <c r="I240" s="44" t="n">
        <f aca="false">IF(ISBLANK('Raw - Sessions'!U214),"",'Raw - Sessions'!P214)</f>
        <v>3.75</v>
      </c>
      <c r="J240" s="44" t="n">
        <f aca="false">IF(E240="","",E240+F240+G240+'Raw - Sessions'!AA214+'Raw - Sessions'!AB214+'Raw - Sessions'!AC214)</f>
        <v>3.75</v>
      </c>
      <c r="K240" s="44" t="n">
        <f aca="false">IF(E240="","",I240-J240)</f>
        <v>0</v>
      </c>
      <c r="L240" s="72" t="str">
        <f aca="false">IF(E240="","",IF(ABS(K240)&gt;0.02,"MISMATCH","OK"))</f>
        <v>OK</v>
      </c>
      <c r="M240" s="44" t="n">
        <f aca="false">IF(ISBLANK('Raw - Sessions'!U214),"",'Raw - Sessions'!Q214)</f>
        <v>3.18</v>
      </c>
      <c r="N240" s="44" t="n">
        <f aca="false">IF(E240="","",I240-G240-H240-F240)</f>
        <v>3.18</v>
      </c>
      <c r="O240" s="44" t="n">
        <f aca="false">IF(E240="","",M240-N240)</f>
        <v>0</v>
      </c>
      <c r="P240" s="72" t="str">
        <f aca="false">IF(E240="","",IF(ABS(O240)&gt;0.02,"MISMATCH","OK"))</f>
        <v>OK</v>
      </c>
    </row>
    <row r="241" customFormat="false" ht="15" hidden="false" customHeight="false" outlineLevel="0" collapsed="false">
      <c r="A241" s="70" t="n">
        <f aca="false">'Raw - Sessions'!A215</f>
        <v>5119565261</v>
      </c>
      <c r="B241" s="70" t="str">
        <f aca="false">'Raw - Sessions'!K215</f>
        <v>BARBOURVILLE / CITY HALL</v>
      </c>
      <c r="C241" s="71" t="n">
        <f aca="false">IF(ISBLANK('Raw - Sessions'!U215),"",'Raw - Sessions'!T215)</f>
        <v>0.5</v>
      </c>
      <c r="D241" s="38" t="n">
        <f aca="false">'Raw - Sessions'!E215</f>
        <v>11.0811</v>
      </c>
      <c r="E241" s="42" t="n">
        <f aca="false">IF(ISBLANK('Raw - Sessions'!U215),"",'Raw - Sessions'!U215)</f>
        <v>8.57</v>
      </c>
      <c r="F241" s="42" t="n">
        <f aca="false">IF(ISBLANK('Raw - Sessions'!U215),"",'Raw - Sessions'!Z215)</f>
        <v>0.51</v>
      </c>
      <c r="G241" s="42" t="n">
        <f aca="false">IF(ISBLANK('Raw - Sessions'!U215),"",'Raw - Sessions'!AE215)</f>
        <v>0</v>
      </c>
      <c r="H241" s="42" t="n">
        <f aca="false">IF(ISBLANK('Raw - Sessions'!U215),"",'Raw - Sessions'!AD215)</f>
        <v>0.86</v>
      </c>
      <c r="I241" s="42" t="n">
        <f aca="false">IF(ISBLANK('Raw - Sessions'!U215),"",'Raw - Sessions'!P215)</f>
        <v>9.08</v>
      </c>
      <c r="J241" s="42" t="n">
        <f aca="false">IF(E241="","",E241+F241+G241+'Raw - Sessions'!AA215+'Raw - Sessions'!AB215+'Raw - Sessions'!AC215)</f>
        <v>9.08</v>
      </c>
      <c r="K241" s="42" t="n">
        <f aca="false">IF(E241="","",I241-J241)</f>
        <v>0</v>
      </c>
      <c r="L241" s="70" t="str">
        <f aca="false">IF(E241="","",IF(ABS(K241)&gt;0.02,"MISMATCH","OK"))</f>
        <v>OK</v>
      </c>
      <c r="M241" s="42" t="n">
        <f aca="false">IF(ISBLANK('Raw - Sessions'!U215),"",'Raw - Sessions'!Q215)</f>
        <v>7.71</v>
      </c>
      <c r="N241" s="42" t="n">
        <f aca="false">IF(E241="","",I241-G241-H241-F241)</f>
        <v>7.71</v>
      </c>
      <c r="O241" s="42" t="n">
        <f aca="false">IF(E241="","",M241-N241)</f>
        <v>0</v>
      </c>
      <c r="P241" s="70" t="str">
        <f aca="false">IF(E241="","",IF(ABS(O241)&gt;0.02,"MISMATCH","OK"))</f>
        <v>OK</v>
      </c>
    </row>
    <row r="242" customFormat="false" ht="15" hidden="false" customHeight="false" outlineLevel="0" collapsed="false">
      <c r="A242" s="72" t="n">
        <f aca="false">'Raw - Sessions'!A216</f>
        <v>5133007041</v>
      </c>
      <c r="B242" s="72" t="str">
        <f aca="false">'Raw - Sessions'!K216</f>
        <v>BARBOURVILLE / CITY HALL</v>
      </c>
      <c r="C242" s="73" t="n">
        <f aca="false">IF(ISBLANK('Raw - Sessions'!U216),"",'Raw - Sessions'!T216)</f>
        <v>0.5</v>
      </c>
      <c r="D242" s="39" t="n">
        <f aca="false">'Raw - Sessions'!E216</f>
        <v>81.4171</v>
      </c>
      <c r="E242" s="44" t="n">
        <f aca="false">IF(ISBLANK('Raw - Sessions'!U216),"",'Raw - Sessions'!U216)</f>
        <v>51.67</v>
      </c>
      <c r="F242" s="44" t="n">
        <f aca="false">IF(ISBLANK('Raw - Sessions'!U216),"",'Raw - Sessions'!Z216)</f>
        <v>3.1</v>
      </c>
      <c r="G242" s="44" t="n">
        <f aca="false">IF(ISBLANK('Raw - Sessions'!U216),"",'Raw - Sessions'!AE216)</f>
        <v>0</v>
      </c>
      <c r="H242" s="44" t="n">
        <f aca="false">IF(ISBLANK('Raw - Sessions'!U216),"",'Raw - Sessions'!AD216)</f>
        <v>5.17</v>
      </c>
      <c r="I242" s="44" t="n">
        <f aca="false">IF(ISBLANK('Raw - Sessions'!U216),"",'Raw - Sessions'!P216)</f>
        <v>54.77</v>
      </c>
      <c r="J242" s="44" t="n">
        <f aca="false">IF(E242="","",E242+F242+G242+'Raw - Sessions'!AA216+'Raw - Sessions'!AB216+'Raw - Sessions'!AC216)</f>
        <v>54.77</v>
      </c>
      <c r="K242" s="44" t="n">
        <f aca="false">IF(E242="","",I242-J242)</f>
        <v>0</v>
      </c>
      <c r="L242" s="72" t="str">
        <f aca="false">IF(E242="","",IF(ABS(K242)&gt;0.02,"MISMATCH","OK"))</f>
        <v>OK</v>
      </c>
      <c r="M242" s="44" t="n">
        <f aca="false">IF(ISBLANK('Raw - Sessions'!U216),"",'Raw - Sessions'!Q216)</f>
        <v>46.5</v>
      </c>
      <c r="N242" s="44" t="n">
        <f aca="false">IF(E242="","",I242-G242-H242-F242)</f>
        <v>46.5</v>
      </c>
      <c r="O242" s="44" t="n">
        <f aca="false">IF(E242="","",M242-N242)</f>
        <v>0</v>
      </c>
      <c r="P242" s="72" t="str">
        <f aca="false">IF(E242="","",IF(ABS(O242)&gt;0.02,"MISMATCH","OK"))</f>
        <v>OK</v>
      </c>
    </row>
    <row r="243" customFormat="false" ht="15" hidden="false" customHeight="false" outlineLevel="0" collapsed="false">
      <c r="A243" s="70" t="n">
        <f aca="false">'Raw - Sessions'!A217</f>
        <v>5144996721</v>
      </c>
      <c r="B243" s="70" t="str">
        <f aca="false">'Raw - Sessions'!K217</f>
        <v>BARBOURVILLE / CITY HALL</v>
      </c>
      <c r="C243" s="71" t="n">
        <f aca="false">IF(ISBLANK('Raw - Sessions'!U217),"",'Raw - Sessions'!T217)</f>
        <v>0.5</v>
      </c>
      <c r="D243" s="38" t="n">
        <f aca="false">'Raw - Sessions'!E217</f>
        <v>33.7549</v>
      </c>
      <c r="E243" s="42" t="n">
        <f aca="false">IF(ISBLANK('Raw - Sessions'!U217),"",'Raw - Sessions'!U217)</f>
        <v>22.73</v>
      </c>
      <c r="F243" s="42" t="n">
        <f aca="false">IF(ISBLANK('Raw - Sessions'!U217),"",'Raw - Sessions'!Z217)</f>
        <v>1.36</v>
      </c>
      <c r="G243" s="42" t="n">
        <f aca="false">IF(ISBLANK('Raw - Sessions'!U217),"",'Raw - Sessions'!AE217)</f>
        <v>0.49</v>
      </c>
      <c r="H243" s="42" t="n">
        <f aca="false">IF(ISBLANK('Raw - Sessions'!U217),"",'Raw - Sessions'!AD217)</f>
        <v>2.27</v>
      </c>
      <c r="I243" s="42" t="n">
        <f aca="false">IF(ISBLANK('Raw - Sessions'!U217),"",'Raw - Sessions'!P217)</f>
        <v>24.58</v>
      </c>
      <c r="J243" s="42" t="n">
        <f aca="false">IF(E243="","",E243+F243+G243+'Raw - Sessions'!AA217+'Raw - Sessions'!AB217+'Raw - Sessions'!AC217)</f>
        <v>24.58</v>
      </c>
      <c r="K243" s="42" t="n">
        <f aca="false">IF(E243="","",I243-J243)</f>
        <v>0</v>
      </c>
      <c r="L243" s="70" t="str">
        <f aca="false">IF(E243="","",IF(ABS(K243)&gt;0.02,"MISMATCH","OK"))</f>
        <v>OK</v>
      </c>
      <c r="M243" s="42" t="n">
        <f aca="false">IF(ISBLANK('Raw - Sessions'!U217),"",'Raw - Sessions'!Q217)</f>
        <v>20.46</v>
      </c>
      <c r="N243" s="42" t="n">
        <f aca="false">IF(E243="","",I243-G243-H243-F243)</f>
        <v>20.46</v>
      </c>
      <c r="O243" s="42" t="n">
        <f aca="false">IF(E243="","",M243-N243)</f>
        <v>0</v>
      </c>
      <c r="P243" s="70" t="str">
        <f aca="false">IF(E243="","",IF(ABS(O243)&gt;0.02,"MISMATCH","OK"))</f>
        <v>OK</v>
      </c>
    </row>
    <row r="244" customFormat="false" ht="15" hidden="false" customHeight="false" outlineLevel="0" collapsed="false">
      <c r="A244" s="72" t="n">
        <f aca="false">'Raw - Sessions'!A218</f>
        <v>5147308091</v>
      </c>
      <c r="B244" s="72" t="str">
        <f aca="false">'Raw - Sessions'!K218</f>
        <v>BARBOURVILLE / TOURISM</v>
      </c>
      <c r="C244" s="73" t="str">
        <f aca="false">IF(ISBLANK('Raw - Sessions'!U218),"",'Raw - Sessions'!T218)</f>
        <v/>
      </c>
      <c r="D244" s="39" t="n">
        <f aca="false">'Raw - Sessions'!E218</f>
        <v>0</v>
      </c>
      <c r="E244" s="44" t="str">
        <f aca="false">IF(ISBLANK('Raw - Sessions'!U218),"",'Raw - Sessions'!U218)</f>
        <v/>
      </c>
      <c r="F244" s="44" t="str">
        <f aca="false">IF(ISBLANK('Raw - Sessions'!U218),"",'Raw - Sessions'!Z218)</f>
        <v/>
      </c>
      <c r="G244" s="44" t="str">
        <f aca="false">IF(ISBLANK('Raw - Sessions'!U218),"",'Raw - Sessions'!AE218)</f>
        <v/>
      </c>
      <c r="H244" s="44" t="str">
        <f aca="false">IF(ISBLANK('Raw - Sessions'!U218),"",'Raw - Sessions'!AD218)</f>
        <v/>
      </c>
      <c r="I244" s="44" t="str">
        <f aca="false">IF(ISBLANK('Raw - Sessions'!U218),"",'Raw - Sessions'!P218)</f>
        <v/>
      </c>
      <c r="J244" s="44" t="str">
        <f aca="false">IF(E244="","",E244+F244+G244+'Raw - Sessions'!AA218+'Raw - Sessions'!AB218+'Raw - Sessions'!AC218)</f>
        <v/>
      </c>
      <c r="K244" s="44" t="str">
        <f aca="false">IF(E244="","",I244-J244)</f>
        <v/>
      </c>
      <c r="L244" s="72" t="str">
        <f aca="false">IF(E244="","",IF(ABS(K244)&gt;0.02,"MISMATCH","OK"))</f>
        <v/>
      </c>
      <c r="M244" s="44" t="str">
        <f aca="false">IF(ISBLANK('Raw - Sessions'!U218),"",'Raw - Sessions'!Q218)</f>
        <v/>
      </c>
      <c r="N244" s="44" t="str">
        <f aca="false">IF(E244="","",I244-G244-H244-F244)</f>
        <v/>
      </c>
      <c r="O244" s="44" t="str">
        <f aca="false">IF(E244="","",M244-N244)</f>
        <v/>
      </c>
      <c r="P244" s="72" t="str">
        <f aca="false">IF(E244="","",IF(ABS(O244)&gt;0.02,"MISMATCH","OK"))</f>
        <v/>
      </c>
    </row>
    <row r="245" customFormat="false" ht="15" hidden="false" customHeight="false" outlineLevel="0" collapsed="false">
      <c r="A245" s="70" t="n">
        <f aca="false">'Raw - Sessions'!A219</f>
        <v>5147302701</v>
      </c>
      <c r="B245" s="70" t="str">
        <f aca="false">'Raw - Sessions'!K219</f>
        <v>BARBOURVILLE / CITY HALL</v>
      </c>
      <c r="C245" s="71" t="n">
        <f aca="false">IF(ISBLANK('Raw - Sessions'!U219),"",'Raw - Sessions'!T219)</f>
        <v>0.5</v>
      </c>
      <c r="D245" s="38" t="n">
        <f aca="false">'Raw - Sessions'!E219</f>
        <v>4.8722</v>
      </c>
      <c r="E245" s="42" t="n">
        <f aca="false">IF(ISBLANK('Raw - Sessions'!U219),"",'Raw - Sessions'!U219)</f>
        <v>3.17</v>
      </c>
      <c r="F245" s="42" t="n">
        <f aca="false">IF(ISBLANK('Raw - Sessions'!U219),"",'Raw - Sessions'!Z219)</f>
        <v>0.19</v>
      </c>
      <c r="G245" s="42" t="n">
        <f aca="false">IF(ISBLANK('Raw - Sessions'!U219),"",'Raw - Sessions'!AE219)</f>
        <v>0.49</v>
      </c>
      <c r="H245" s="42" t="n">
        <f aca="false">IF(ISBLANK('Raw - Sessions'!U219),"",'Raw - Sessions'!AD219)</f>
        <v>0.32</v>
      </c>
      <c r="I245" s="42" t="n">
        <f aca="false">IF(ISBLANK('Raw - Sessions'!U219),"",'Raw - Sessions'!P219)</f>
        <v>3.85</v>
      </c>
      <c r="J245" s="42" t="n">
        <f aca="false">IF(E245="","",E245+F245+G245+'Raw - Sessions'!AA219+'Raw - Sessions'!AB219+'Raw - Sessions'!AC219)</f>
        <v>3.85</v>
      </c>
      <c r="K245" s="42" t="n">
        <f aca="false">IF(E245="","",I245-J245)</f>
        <v>0</v>
      </c>
      <c r="L245" s="70" t="str">
        <f aca="false">IF(E245="","",IF(ABS(K245)&gt;0.02,"MISMATCH","OK"))</f>
        <v>OK</v>
      </c>
      <c r="M245" s="42" t="n">
        <f aca="false">IF(ISBLANK('Raw - Sessions'!U219),"",'Raw - Sessions'!Q219)</f>
        <v>2.85</v>
      </c>
      <c r="N245" s="42" t="n">
        <f aca="false">IF(E245="","",I245-G245-H245-F245)</f>
        <v>2.85</v>
      </c>
      <c r="O245" s="42" t="n">
        <f aca="false">IF(E245="","",M245-N245)</f>
        <v>0</v>
      </c>
      <c r="P245" s="70" t="str">
        <f aca="false">IF(E245="","",IF(ABS(O245)&gt;0.02,"MISMATCH","OK"))</f>
        <v>OK</v>
      </c>
    </row>
    <row r="246" customFormat="false" ht="15" hidden="false" customHeight="false" outlineLevel="0" collapsed="false">
      <c r="A246" s="72" t="n">
        <f aca="false">'Raw - Sessions'!A220</f>
        <v>5157045241</v>
      </c>
      <c r="B246" s="72" t="str">
        <f aca="false">'Raw - Sessions'!K220</f>
        <v>BARBOURVILLE / CITY HALL</v>
      </c>
      <c r="C246" s="73" t="n">
        <f aca="false">IF(ISBLANK('Raw - Sessions'!U220),"",'Raw - Sessions'!T220)</f>
        <v>0.5</v>
      </c>
      <c r="D246" s="39" t="n">
        <f aca="false">'Raw - Sessions'!E220</f>
        <v>43.688</v>
      </c>
      <c r="E246" s="44" t="n">
        <f aca="false">IF(ISBLANK('Raw - Sessions'!U220),"",'Raw - Sessions'!U220)</f>
        <v>28.12</v>
      </c>
      <c r="F246" s="44" t="n">
        <f aca="false">IF(ISBLANK('Raw - Sessions'!U220),"",'Raw - Sessions'!Z220)</f>
        <v>1.69</v>
      </c>
      <c r="G246" s="44" t="n">
        <f aca="false">IF(ISBLANK('Raw - Sessions'!U220),"",'Raw - Sessions'!AE220)</f>
        <v>0.99</v>
      </c>
      <c r="H246" s="44" t="n">
        <f aca="false">IF(ISBLANK('Raw - Sessions'!U220),"",'Raw - Sessions'!AD220)</f>
        <v>2.81</v>
      </c>
      <c r="I246" s="44" t="n">
        <f aca="false">IF(ISBLANK('Raw - Sessions'!U220),"",'Raw - Sessions'!P220)</f>
        <v>30.8</v>
      </c>
      <c r="J246" s="44" t="n">
        <f aca="false">IF(E246="","",E246+F246+G246+'Raw - Sessions'!AA220+'Raw - Sessions'!AB220+'Raw - Sessions'!AC220)</f>
        <v>30.8</v>
      </c>
      <c r="K246" s="44" t="n">
        <f aca="false">IF(E246="","",I246-J246)</f>
        <v>0</v>
      </c>
      <c r="L246" s="72" t="str">
        <f aca="false">IF(E246="","",IF(ABS(K246)&gt;0.02,"MISMATCH","OK"))</f>
        <v>OK</v>
      </c>
      <c r="M246" s="44" t="n">
        <f aca="false">IF(ISBLANK('Raw - Sessions'!U220),"",'Raw - Sessions'!Q220)</f>
        <v>25.31</v>
      </c>
      <c r="N246" s="44" t="n">
        <f aca="false">IF(E246="","",I246-G246-H246-F246)</f>
        <v>25.31</v>
      </c>
      <c r="O246" s="44" t="n">
        <f aca="false">IF(E246="","",M246-N246)</f>
        <v>0</v>
      </c>
      <c r="P246" s="72" t="str">
        <f aca="false">IF(E246="","",IF(ABS(O246)&gt;0.02,"MISMATCH","OK"))</f>
        <v>OK</v>
      </c>
    </row>
    <row r="247" customFormat="false" ht="15" hidden="false" customHeight="false" outlineLevel="0" collapsed="false">
      <c r="A247" s="70" t="n">
        <f aca="false">'Raw - Sessions'!A221</f>
        <v>5157888411</v>
      </c>
      <c r="B247" s="70" t="str">
        <f aca="false">'Raw - Sessions'!K221</f>
        <v>BARBOURVILLE / TOURISM</v>
      </c>
      <c r="C247" s="71" t="n">
        <f aca="false">IF(ISBLANK('Raw - Sessions'!U221),"",'Raw - Sessions'!T221)</f>
        <v>0.5</v>
      </c>
      <c r="D247" s="38" t="n">
        <f aca="false">'Raw - Sessions'!E221</f>
        <v>8.79557</v>
      </c>
      <c r="E247" s="42" t="n">
        <f aca="false">IF(ISBLANK('Raw - Sessions'!U221),"",'Raw - Sessions'!U221)</f>
        <v>11.01</v>
      </c>
      <c r="F247" s="42" t="n">
        <f aca="false">IF(ISBLANK('Raw - Sessions'!U221),"",'Raw - Sessions'!Z221)</f>
        <v>0.66</v>
      </c>
      <c r="G247" s="42" t="n">
        <f aca="false">IF(ISBLANK('Raw - Sessions'!U221),"",'Raw - Sessions'!AE221)</f>
        <v>0.49</v>
      </c>
      <c r="H247" s="42" t="n">
        <f aca="false">IF(ISBLANK('Raw - Sessions'!U221),"",'Raw - Sessions'!AD221)</f>
        <v>1.1</v>
      </c>
      <c r="I247" s="42" t="n">
        <f aca="false">IF(ISBLANK('Raw - Sessions'!U221),"",'Raw - Sessions'!P221)</f>
        <v>12.16</v>
      </c>
      <c r="J247" s="42" t="n">
        <f aca="false">IF(E247="","",E247+F247+G247+'Raw - Sessions'!AA221+'Raw - Sessions'!AB221+'Raw - Sessions'!AC221)</f>
        <v>12.16</v>
      </c>
      <c r="K247" s="42" t="n">
        <f aca="false">IF(E247="","",I247-J247)</f>
        <v>0</v>
      </c>
      <c r="L247" s="70" t="str">
        <f aca="false">IF(E247="","",IF(ABS(K247)&gt;0.02,"MISMATCH","OK"))</f>
        <v>OK</v>
      </c>
      <c r="M247" s="42" t="n">
        <f aca="false">IF(ISBLANK('Raw - Sessions'!U221),"",'Raw - Sessions'!Q221)</f>
        <v>9.91</v>
      </c>
      <c r="N247" s="42" t="n">
        <f aca="false">IF(E247="","",I247-G247-H247-F247)</f>
        <v>9.91</v>
      </c>
      <c r="O247" s="42" t="n">
        <f aca="false">IF(E247="","",M247-N247)</f>
        <v>0</v>
      </c>
      <c r="P247" s="70" t="str">
        <f aca="false">IF(E247="","",IF(ABS(O247)&gt;0.02,"MISMATCH","OK"))</f>
        <v>OK</v>
      </c>
    </row>
    <row r="248" customFormat="false" ht="15" hidden="false" customHeight="false" outlineLevel="0" collapsed="false">
      <c r="A248" s="72" t="n">
        <f aca="false">'Raw - Sessions'!A222</f>
        <v>5158370321</v>
      </c>
      <c r="B248" s="72" t="str">
        <f aca="false">'Raw - Sessions'!K222</f>
        <v>BARBOURVILLE / CITY HALL</v>
      </c>
      <c r="C248" s="73" t="n">
        <f aca="false">IF(ISBLANK('Raw - Sessions'!U222),"",'Raw - Sessions'!T222)</f>
        <v>0.5</v>
      </c>
      <c r="D248" s="39" t="n">
        <f aca="false">'Raw - Sessions'!E222</f>
        <v>44.3982</v>
      </c>
      <c r="E248" s="44" t="n">
        <f aca="false">IF(ISBLANK('Raw - Sessions'!U222),"",'Raw - Sessions'!U222)</f>
        <v>29.06</v>
      </c>
      <c r="F248" s="44" t="n">
        <f aca="false">IF(ISBLANK('Raw - Sessions'!U222),"",'Raw - Sessions'!Z222)</f>
        <v>1.74</v>
      </c>
      <c r="G248" s="44" t="n">
        <f aca="false">IF(ISBLANK('Raw - Sessions'!U222),"",'Raw - Sessions'!AE222)</f>
        <v>0.99</v>
      </c>
      <c r="H248" s="44" t="n">
        <f aca="false">IF(ISBLANK('Raw - Sessions'!U222),"",'Raw - Sessions'!AD222)</f>
        <v>2.91</v>
      </c>
      <c r="I248" s="44" t="n">
        <f aca="false">IF(ISBLANK('Raw - Sessions'!U222),"",'Raw - Sessions'!P222)</f>
        <v>31.79</v>
      </c>
      <c r="J248" s="44" t="n">
        <f aca="false">IF(E248="","",E248+F248+G248+'Raw - Sessions'!AA222+'Raw - Sessions'!AB222+'Raw - Sessions'!AC222)</f>
        <v>31.79</v>
      </c>
      <c r="K248" s="44" t="n">
        <f aca="false">IF(E248="","",I248-J248)</f>
        <v>0</v>
      </c>
      <c r="L248" s="72" t="str">
        <f aca="false">IF(E248="","",IF(ABS(K248)&gt;0.02,"MISMATCH","OK"))</f>
        <v>OK</v>
      </c>
      <c r="M248" s="44" t="n">
        <f aca="false">IF(ISBLANK('Raw - Sessions'!U222),"",'Raw - Sessions'!Q222)</f>
        <v>26.15</v>
      </c>
      <c r="N248" s="44" t="n">
        <f aca="false">IF(E248="","",I248-G248-H248-F248)</f>
        <v>26.15</v>
      </c>
      <c r="O248" s="44" t="n">
        <f aca="false">IF(E248="","",M248-N248)</f>
        <v>0</v>
      </c>
      <c r="P248" s="72" t="str">
        <f aca="false">IF(E248="","",IF(ABS(O248)&gt;0.02,"MISMATCH","OK"))</f>
        <v>OK</v>
      </c>
    </row>
    <row r="249" customFormat="false" ht="15" hidden="false" customHeight="false" outlineLevel="0" collapsed="false">
      <c r="A249" s="70" t="n">
        <f aca="false">'Raw - Sessions'!A223</f>
        <v>5161345291</v>
      </c>
      <c r="B249" s="70" t="str">
        <f aca="false">'Raw - Sessions'!K223</f>
        <v>BARBOURVILLE / CITY HALL</v>
      </c>
      <c r="C249" s="71" t="n">
        <f aca="false">IF(ISBLANK('Raw - Sessions'!U223),"",'Raw - Sessions'!T223)</f>
        <v>0.5</v>
      </c>
      <c r="D249" s="38" t="n">
        <f aca="false">'Raw - Sessions'!E223</f>
        <v>14.4048</v>
      </c>
      <c r="E249" s="42" t="n">
        <f aca="false">IF(ISBLANK('Raw - Sessions'!U223),"",'Raw - Sessions'!U223)</f>
        <v>10.15</v>
      </c>
      <c r="F249" s="42" t="n">
        <f aca="false">IF(ISBLANK('Raw - Sessions'!U223),"",'Raw - Sessions'!Z223)</f>
        <v>0.61</v>
      </c>
      <c r="G249" s="42" t="n">
        <f aca="false">IF(ISBLANK('Raw - Sessions'!U223),"",'Raw - Sessions'!AE223)</f>
        <v>0.99</v>
      </c>
      <c r="H249" s="42" t="n">
        <f aca="false">IF(ISBLANK('Raw - Sessions'!U223),"",'Raw - Sessions'!AD223)</f>
        <v>1.01</v>
      </c>
      <c r="I249" s="42" t="n">
        <f aca="false">IF(ISBLANK('Raw - Sessions'!U223),"",'Raw - Sessions'!P223)</f>
        <v>11.75</v>
      </c>
      <c r="J249" s="42" t="n">
        <f aca="false">IF(E249="","",E249+F249+G249+'Raw - Sessions'!AA223+'Raw - Sessions'!AB223+'Raw - Sessions'!AC223)</f>
        <v>11.75</v>
      </c>
      <c r="K249" s="42" t="n">
        <f aca="false">IF(E249="","",I249-J249)</f>
        <v>0</v>
      </c>
      <c r="L249" s="70" t="str">
        <f aca="false">IF(E249="","",IF(ABS(K249)&gt;0.02,"MISMATCH","OK"))</f>
        <v>OK</v>
      </c>
      <c r="M249" s="42" t="n">
        <f aca="false">IF(ISBLANK('Raw - Sessions'!U223),"",'Raw - Sessions'!Q223)</f>
        <v>9.14</v>
      </c>
      <c r="N249" s="42" t="n">
        <f aca="false">IF(E249="","",I249-G249-H249-F249)</f>
        <v>9.14</v>
      </c>
      <c r="O249" s="42" t="n">
        <f aca="false">IF(E249="","",M249-N249)</f>
        <v>0</v>
      </c>
      <c r="P249" s="70" t="str">
        <f aca="false">IF(E249="","",IF(ABS(O249)&gt;0.02,"MISMATCH","OK"))</f>
        <v>OK</v>
      </c>
    </row>
    <row r="250" customFormat="false" ht="15" hidden="false" customHeight="false" outlineLevel="0" collapsed="false">
      <c r="A250" s="72" t="n">
        <f aca="false">'Raw - Sessions'!A224</f>
        <v>5162996711</v>
      </c>
      <c r="B250" s="72" t="str">
        <f aca="false">'Raw - Sessions'!K224</f>
        <v>BARBOURVILLE / CITY HALL</v>
      </c>
      <c r="C250" s="73" t="n">
        <f aca="false">IF(ISBLANK('Raw - Sessions'!U224),"",'Raw - Sessions'!T224)</f>
        <v>0.5</v>
      </c>
      <c r="D250" s="39" t="n">
        <f aca="false">'Raw - Sessions'!E224</f>
        <v>16.1868</v>
      </c>
      <c r="E250" s="44" t="n">
        <f aca="false">IF(ISBLANK('Raw - Sessions'!U224),"",'Raw - Sessions'!U224)</f>
        <v>10.33</v>
      </c>
      <c r="F250" s="44" t="n">
        <f aca="false">IF(ISBLANK('Raw - Sessions'!U224),"",'Raw - Sessions'!Z224)</f>
        <v>0.62</v>
      </c>
      <c r="G250" s="44" t="n">
        <f aca="false">IF(ISBLANK('Raw - Sessions'!U224),"",'Raw - Sessions'!AE224)</f>
        <v>0.49</v>
      </c>
      <c r="H250" s="44" t="n">
        <f aca="false">IF(ISBLANK('Raw - Sessions'!U224),"",'Raw - Sessions'!AD224)</f>
        <v>1.03</v>
      </c>
      <c r="I250" s="44" t="n">
        <f aca="false">IF(ISBLANK('Raw - Sessions'!U224),"",'Raw - Sessions'!P224)</f>
        <v>11.44</v>
      </c>
      <c r="J250" s="44" t="n">
        <f aca="false">IF(E250="","",E250+F250+G250+'Raw - Sessions'!AA224+'Raw - Sessions'!AB224+'Raw - Sessions'!AC224)</f>
        <v>11.44</v>
      </c>
      <c r="K250" s="44" t="n">
        <f aca="false">IF(E250="","",I250-J250)</f>
        <v>0</v>
      </c>
      <c r="L250" s="72" t="str">
        <f aca="false">IF(E250="","",IF(ABS(K250)&gt;0.02,"MISMATCH","OK"))</f>
        <v>OK</v>
      </c>
      <c r="M250" s="44" t="n">
        <f aca="false">IF(ISBLANK('Raw - Sessions'!U224),"",'Raw - Sessions'!Q224)</f>
        <v>9.3</v>
      </c>
      <c r="N250" s="44" t="n">
        <f aca="false">IF(E250="","",I250-G250-H250-F250)</f>
        <v>9.3</v>
      </c>
      <c r="O250" s="44" t="n">
        <f aca="false">IF(E250="","",M250-N250)</f>
        <v>0</v>
      </c>
      <c r="P250" s="72" t="str">
        <f aca="false">IF(E250="","",IF(ABS(O250)&gt;0.02,"MISMATCH","OK"))</f>
        <v>OK</v>
      </c>
    </row>
    <row r="251" customFormat="false" ht="15" hidden="false" customHeight="false" outlineLevel="0" collapsed="false">
      <c r="A251" s="70" t="n">
        <f aca="false">'Raw - Sessions'!A225</f>
        <v>5165020791</v>
      </c>
      <c r="B251" s="70" t="str">
        <f aca="false">'Raw - Sessions'!K225</f>
        <v>BARBOURVILLE / CITY HALL</v>
      </c>
      <c r="C251" s="71" t="n">
        <f aca="false">IF(ISBLANK('Raw - Sessions'!U225),"",'Raw - Sessions'!T225)</f>
        <v>0.5</v>
      </c>
      <c r="D251" s="38" t="n">
        <f aca="false">'Raw - Sessions'!E225</f>
        <v>12.0104</v>
      </c>
      <c r="E251" s="42" t="n">
        <f aca="false">IF(ISBLANK('Raw - Sessions'!U225),"",'Raw - Sessions'!U225)</f>
        <v>7.81</v>
      </c>
      <c r="F251" s="42" t="n">
        <f aca="false">IF(ISBLANK('Raw - Sessions'!U225),"",'Raw - Sessions'!Z225)</f>
        <v>0.47</v>
      </c>
      <c r="G251" s="42" t="n">
        <f aca="false">IF(ISBLANK('Raw - Sessions'!U225),"",'Raw - Sessions'!AE225)</f>
        <v>0.99</v>
      </c>
      <c r="H251" s="42" t="n">
        <f aca="false">IF(ISBLANK('Raw - Sessions'!U225),"",'Raw - Sessions'!AD225)</f>
        <v>0.78</v>
      </c>
      <c r="I251" s="42" t="n">
        <f aca="false">IF(ISBLANK('Raw - Sessions'!U225),"",'Raw - Sessions'!P225)</f>
        <v>9.27</v>
      </c>
      <c r="J251" s="42" t="n">
        <f aca="false">IF(E251="","",E251+F251+G251+'Raw - Sessions'!AA225+'Raw - Sessions'!AB225+'Raw - Sessions'!AC225)</f>
        <v>9.27</v>
      </c>
      <c r="K251" s="42" t="n">
        <f aca="false">IF(E251="","",I251-J251)</f>
        <v>0</v>
      </c>
      <c r="L251" s="70" t="str">
        <f aca="false">IF(E251="","",IF(ABS(K251)&gt;0.02,"MISMATCH","OK"))</f>
        <v>OK</v>
      </c>
      <c r="M251" s="42" t="n">
        <f aca="false">IF(ISBLANK('Raw - Sessions'!U225),"",'Raw - Sessions'!Q225)</f>
        <v>7.03</v>
      </c>
      <c r="N251" s="42" t="n">
        <f aca="false">IF(E251="","",I251-G251-H251-F251)</f>
        <v>7.03</v>
      </c>
      <c r="O251" s="42" t="n">
        <f aca="false">IF(E251="","",M251-N251)</f>
        <v>0</v>
      </c>
      <c r="P251" s="70" t="str">
        <f aca="false">IF(E251="","",IF(ABS(O251)&gt;0.02,"MISMATCH","OK"))</f>
        <v>OK</v>
      </c>
    </row>
    <row r="252" customFormat="false" ht="15" hidden="false" customHeight="false" outlineLevel="0" collapsed="false">
      <c r="A252" s="72" t="n">
        <f aca="false">'Raw - Sessions'!A226</f>
        <v>5165064361</v>
      </c>
      <c r="B252" s="72" t="str">
        <f aca="false">'Raw - Sessions'!K226</f>
        <v>BARBOURVILLE / CITY HALL</v>
      </c>
      <c r="C252" s="73" t="n">
        <f aca="false">IF(ISBLANK('Raw - Sessions'!U226),"",'Raw - Sessions'!T226)</f>
        <v>0.5</v>
      </c>
      <c r="D252" s="39" t="n">
        <f aca="false">'Raw - Sessions'!E226</f>
        <v>25.5031</v>
      </c>
      <c r="E252" s="44" t="n">
        <f aca="false">IF(ISBLANK('Raw - Sessions'!U226),"",'Raw - Sessions'!U226)</f>
        <v>16.54</v>
      </c>
      <c r="F252" s="44" t="n">
        <f aca="false">IF(ISBLANK('Raw - Sessions'!U226),"",'Raw - Sessions'!Z226)</f>
        <v>1</v>
      </c>
      <c r="G252" s="44" t="n">
        <f aca="false">IF(ISBLANK('Raw - Sessions'!U226),"",'Raw - Sessions'!AE226)</f>
        <v>0</v>
      </c>
      <c r="H252" s="44" t="n">
        <f aca="false">IF(ISBLANK('Raw - Sessions'!U226),"",'Raw - Sessions'!AD226)</f>
        <v>1.65</v>
      </c>
      <c r="I252" s="44" t="n">
        <f aca="false">IF(ISBLANK('Raw - Sessions'!U226),"",'Raw - Sessions'!P226)</f>
        <v>17.54</v>
      </c>
      <c r="J252" s="44" t="n">
        <f aca="false">IF(E252="","",E252+F252+G252+'Raw - Sessions'!AA226+'Raw - Sessions'!AB226+'Raw - Sessions'!AC226)</f>
        <v>17.54</v>
      </c>
      <c r="K252" s="44" t="n">
        <f aca="false">IF(E252="","",I252-J252)</f>
        <v>0</v>
      </c>
      <c r="L252" s="72" t="str">
        <f aca="false">IF(E252="","",IF(ABS(K252)&gt;0.02,"MISMATCH","OK"))</f>
        <v>OK</v>
      </c>
      <c r="M252" s="44" t="n">
        <f aca="false">IF(ISBLANK('Raw - Sessions'!U226),"",'Raw - Sessions'!Q226)</f>
        <v>14.89</v>
      </c>
      <c r="N252" s="44" t="n">
        <f aca="false">IF(E252="","",I252-G252-H252-F252)</f>
        <v>14.89</v>
      </c>
      <c r="O252" s="44" t="n">
        <f aca="false">IF(E252="","",M252-N252)</f>
        <v>0</v>
      </c>
      <c r="P252" s="72" t="str">
        <f aca="false">IF(E252="","",IF(ABS(O252)&gt;0.02,"MISMATCH","OK"))</f>
        <v>OK</v>
      </c>
    </row>
    <row r="253" customFormat="false" ht="15" hidden="false" customHeight="false" outlineLevel="0" collapsed="false">
      <c r="A253" s="70" t="n">
        <f aca="false">'Raw - Sessions'!A227</f>
        <v>5167229441</v>
      </c>
      <c r="B253" s="70" t="str">
        <f aca="false">'Raw - Sessions'!K227</f>
        <v>BARBOURVILLE / CITY HALL</v>
      </c>
      <c r="C253" s="71" t="str">
        <f aca="false">IF(ISBLANK('Raw - Sessions'!U227),"",'Raw - Sessions'!T227)</f>
        <v/>
      </c>
      <c r="D253" s="38" t="n">
        <f aca="false">'Raw - Sessions'!E227</f>
        <v>0</v>
      </c>
      <c r="E253" s="42" t="str">
        <f aca="false">IF(ISBLANK('Raw - Sessions'!U227),"",'Raw - Sessions'!U227)</f>
        <v/>
      </c>
      <c r="F253" s="42" t="str">
        <f aca="false">IF(ISBLANK('Raw - Sessions'!U227),"",'Raw - Sessions'!Z227)</f>
        <v/>
      </c>
      <c r="G253" s="42" t="str">
        <f aca="false">IF(ISBLANK('Raw - Sessions'!U227),"",'Raw - Sessions'!AE227)</f>
        <v/>
      </c>
      <c r="H253" s="42" t="str">
        <f aca="false">IF(ISBLANK('Raw - Sessions'!U227),"",'Raw - Sessions'!AD227)</f>
        <v/>
      </c>
      <c r="I253" s="42" t="str">
        <f aca="false">IF(ISBLANK('Raw - Sessions'!U227),"",'Raw - Sessions'!P227)</f>
        <v/>
      </c>
      <c r="J253" s="42" t="str">
        <f aca="false">IF(E253="","",E253+F253+G253+'Raw - Sessions'!AA227+'Raw - Sessions'!AB227+'Raw - Sessions'!AC227)</f>
        <v/>
      </c>
      <c r="K253" s="42" t="str">
        <f aca="false">IF(E253="","",I253-J253)</f>
        <v/>
      </c>
      <c r="L253" s="70" t="str">
        <f aca="false">IF(E253="","",IF(ABS(K253)&gt;0.02,"MISMATCH","OK"))</f>
        <v/>
      </c>
      <c r="M253" s="42" t="str">
        <f aca="false">IF(ISBLANK('Raw - Sessions'!U227),"",'Raw - Sessions'!Q227)</f>
        <v/>
      </c>
      <c r="N253" s="42" t="str">
        <f aca="false">IF(E253="","",I253-G253-H253-F253)</f>
        <v/>
      </c>
      <c r="O253" s="42" t="str">
        <f aca="false">IF(E253="","",M253-N253)</f>
        <v/>
      </c>
      <c r="P253" s="70" t="str">
        <f aca="false">IF(E253="","",IF(ABS(O253)&gt;0.02,"MISMATCH","OK"))</f>
        <v/>
      </c>
    </row>
    <row r="254" customFormat="false" ht="15" hidden="false" customHeight="false" outlineLevel="0" collapsed="false">
      <c r="A254" s="72" t="n">
        <f aca="false">'Raw - Sessions'!A228</f>
        <v>5167230461</v>
      </c>
      <c r="B254" s="72" t="str">
        <f aca="false">'Raw - Sessions'!K228</f>
        <v>BARBOURVILLE / CITY HALL</v>
      </c>
      <c r="C254" s="73" t="str">
        <f aca="false">IF(ISBLANK('Raw - Sessions'!U228),"",'Raw - Sessions'!T228)</f>
        <v/>
      </c>
      <c r="D254" s="39" t="n">
        <f aca="false">'Raw - Sessions'!E228</f>
        <v>0</v>
      </c>
      <c r="E254" s="44" t="str">
        <f aca="false">IF(ISBLANK('Raw - Sessions'!U228),"",'Raw - Sessions'!U228)</f>
        <v/>
      </c>
      <c r="F254" s="44" t="str">
        <f aca="false">IF(ISBLANK('Raw - Sessions'!U228),"",'Raw - Sessions'!Z228)</f>
        <v/>
      </c>
      <c r="G254" s="44" t="str">
        <f aca="false">IF(ISBLANK('Raw - Sessions'!U228),"",'Raw - Sessions'!AE228)</f>
        <v/>
      </c>
      <c r="H254" s="44" t="str">
        <f aca="false">IF(ISBLANK('Raw - Sessions'!U228),"",'Raw - Sessions'!AD228)</f>
        <v/>
      </c>
      <c r="I254" s="44" t="str">
        <f aca="false">IF(ISBLANK('Raw - Sessions'!U228),"",'Raw - Sessions'!P228)</f>
        <v/>
      </c>
      <c r="J254" s="44" t="str">
        <f aca="false">IF(E254="","",E254+F254+G254+'Raw - Sessions'!AA228+'Raw - Sessions'!AB228+'Raw - Sessions'!AC228)</f>
        <v/>
      </c>
      <c r="K254" s="44" t="str">
        <f aca="false">IF(E254="","",I254-J254)</f>
        <v/>
      </c>
      <c r="L254" s="72" t="str">
        <f aca="false">IF(E254="","",IF(ABS(K254)&gt;0.02,"MISMATCH","OK"))</f>
        <v/>
      </c>
      <c r="M254" s="44" t="str">
        <f aca="false">IF(ISBLANK('Raw - Sessions'!U228),"",'Raw - Sessions'!Q228)</f>
        <v/>
      </c>
      <c r="N254" s="44" t="str">
        <f aca="false">IF(E254="","",I254-G254-H254-F254)</f>
        <v/>
      </c>
      <c r="O254" s="44" t="str">
        <f aca="false">IF(E254="","",M254-N254)</f>
        <v/>
      </c>
      <c r="P254" s="72" t="str">
        <f aca="false">IF(E254="","",IF(ABS(O254)&gt;0.02,"MISMATCH","OK"))</f>
        <v/>
      </c>
    </row>
    <row r="255" customFormat="false" ht="15" hidden="false" customHeight="false" outlineLevel="0" collapsed="false">
      <c r="A255" s="70" t="n">
        <f aca="false">'Raw - Sessions'!A229</f>
        <v>5167255051</v>
      </c>
      <c r="B255" s="70" t="str">
        <f aca="false">'Raw - Sessions'!K229</f>
        <v>BARBOURVILLE / TOURISM</v>
      </c>
      <c r="C255" s="71" t="n">
        <f aca="false">IF(ISBLANK('Raw - Sessions'!U229),"",'Raw - Sessions'!T229)</f>
        <v>0.5</v>
      </c>
      <c r="D255" s="38" t="n">
        <f aca="false">'Raw - Sessions'!E229</f>
        <v>5.618006</v>
      </c>
      <c r="E255" s="42" t="n">
        <f aca="false">IF(ISBLANK('Raw - Sessions'!U229),"",'Raw - Sessions'!U229)</f>
        <v>6.72</v>
      </c>
      <c r="F255" s="42" t="n">
        <f aca="false">IF(ISBLANK('Raw - Sessions'!U229),"",'Raw - Sessions'!Z229)</f>
        <v>0.4</v>
      </c>
      <c r="G255" s="42" t="n">
        <f aca="false">IF(ISBLANK('Raw - Sessions'!U229),"",'Raw - Sessions'!AE229)</f>
        <v>0.49</v>
      </c>
      <c r="H255" s="42" t="n">
        <f aca="false">IF(ISBLANK('Raw - Sessions'!U229),"",'Raw - Sessions'!AD229)</f>
        <v>0.67</v>
      </c>
      <c r="I255" s="42" t="n">
        <f aca="false">IF(ISBLANK('Raw - Sessions'!U229),"",'Raw - Sessions'!P229)</f>
        <v>7.61</v>
      </c>
      <c r="J255" s="42" t="n">
        <f aca="false">IF(E255="","",E255+F255+G255+'Raw - Sessions'!AA229+'Raw - Sessions'!AB229+'Raw - Sessions'!AC229)</f>
        <v>7.61</v>
      </c>
      <c r="K255" s="42" t="n">
        <f aca="false">IF(E255="","",I255-J255)</f>
        <v>0</v>
      </c>
      <c r="L255" s="70" t="str">
        <f aca="false">IF(E255="","",IF(ABS(K255)&gt;0.02,"MISMATCH","OK"))</f>
        <v>OK</v>
      </c>
      <c r="M255" s="42" t="n">
        <f aca="false">IF(ISBLANK('Raw - Sessions'!U229),"",'Raw - Sessions'!Q229)</f>
        <v>6.05</v>
      </c>
      <c r="N255" s="42" t="n">
        <f aca="false">IF(E255="","",I255-G255-H255-F255)</f>
        <v>6.05</v>
      </c>
      <c r="O255" s="42" t="n">
        <f aca="false">IF(E255="","",M255-N255)</f>
        <v>0</v>
      </c>
      <c r="P255" s="70" t="str">
        <f aca="false">IF(E255="","",IF(ABS(O255)&gt;0.02,"MISMATCH","OK"))</f>
        <v>OK</v>
      </c>
    </row>
    <row r="256" customFormat="false" ht="15" hidden="false" customHeight="false" outlineLevel="0" collapsed="false">
      <c r="A256" s="72" t="n">
        <f aca="false">'Raw - Sessions'!A230</f>
        <v>5167947661</v>
      </c>
      <c r="B256" s="72" t="str">
        <f aca="false">'Raw - Sessions'!K230</f>
        <v>BARBOURVILLE / CITY HALL</v>
      </c>
      <c r="C256" s="73" t="n">
        <f aca="false">IF(ISBLANK('Raw - Sessions'!U230),"",'Raw - Sessions'!T230)</f>
        <v>0.5</v>
      </c>
      <c r="D256" s="39" t="n">
        <f aca="false">'Raw - Sessions'!E230</f>
        <v>45.2809</v>
      </c>
      <c r="E256" s="44" t="n">
        <f aca="false">IF(ISBLANK('Raw - Sessions'!U230),"",'Raw - Sessions'!U230)</f>
        <v>30.06</v>
      </c>
      <c r="F256" s="44" t="n">
        <f aca="false">IF(ISBLANK('Raw - Sessions'!U230),"",'Raw - Sessions'!Z230)</f>
        <v>1.81</v>
      </c>
      <c r="G256" s="44" t="n">
        <f aca="false">IF(ISBLANK('Raw - Sessions'!U230),"",'Raw - Sessions'!AE230)</f>
        <v>0.49</v>
      </c>
      <c r="H256" s="44" t="n">
        <f aca="false">IF(ISBLANK('Raw - Sessions'!U230),"",'Raw - Sessions'!AD230)</f>
        <v>3.01</v>
      </c>
      <c r="I256" s="44" t="n">
        <f aca="false">IF(ISBLANK('Raw - Sessions'!U230),"",'Raw - Sessions'!P230)</f>
        <v>32.36</v>
      </c>
      <c r="J256" s="44" t="n">
        <f aca="false">IF(E256="","",E256+F256+G256+'Raw - Sessions'!AA230+'Raw - Sessions'!AB230+'Raw - Sessions'!AC230)</f>
        <v>32.36</v>
      </c>
      <c r="K256" s="44" t="n">
        <f aca="false">IF(E256="","",I256-J256)</f>
        <v>0</v>
      </c>
      <c r="L256" s="72" t="str">
        <f aca="false">IF(E256="","",IF(ABS(K256)&gt;0.02,"MISMATCH","OK"))</f>
        <v>OK</v>
      </c>
      <c r="M256" s="44" t="n">
        <f aca="false">IF(ISBLANK('Raw - Sessions'!U230),"",'Raw - Sessions'!Q230)</f>
        <v>27.05</v>
      </c>
      <c r="N256" s="44" t="n">
        <f aca="false">IF(E256="","",I256-G256-H256-F256)</f>
        <v>27.05</v>
      </c>
      <c r="O256" s="44" t="n">
        <f aca="false">IF(E256="","",M256-N256)</f>
        <v>0</v>
      </c>
      <c r="P256" s="72" t="str">
        <f aca="false">IF(E256="","",IF(ABS(O256)&gt;0.02,"MISMATCH","OK"))</f>
        <v>OK</v>
      </c>
    </row>
    <row r="257" customFormat="false" ht="15" hidden="false" customHeight="false" outlineLevel="0" collapsed="false">
      <c r="A257" s="70" t="n">
        <f aca="false">'Raw - Sessions'!A231</f>
        <v>5169051161</v>
      </c>
      <c r="B257" s="70" t="str">
        <f aca="false">'Raw - Sessions'!K231</f>
        <v>BARBOURVILLE / CITY HALL</v>
      </c>
      <c r="C257" s="71" t="str">
        <f aca="false">IF(ISBLANK('Raw - Sessions'!U231),"",'Raw - Sessions'!T231)</f>
        <v/>
      </c>
      <c r="D257" s="38" t="n">
        <f aca="false">'Raw - Sessions'!E231</f>
        <v>0</v>
      </c>
      <c r="E257" s="42" t="str">
        <f aca="false">IF(ISBLANK('Raw - Sessions'!U231),"",'Raw - Sessions'!U231)</f>
        <v/>
      </c>
      <c r="F257" s="42" t="str">
        <f aca="false">IF(ISBLANK('Raw - Sessions'!U231),"",'Raw - Sessions'!Z231)</f>
        <v/>
      </c>
      <c r="G257" s="42" t="str">
        <f aca="false">IF(ISBLANK('Raw - Sessions'!U231),"",'Raw - Sessions'!AE231)</f>
        <v/>
      </c>
      <c r="H257" s="42" t="str">
        <f aca="false">IF(ISBLANK('Raw - Sessions'!U231),"",'Raw - Sessions'!AD231)</f>
        <v/>
      </c>
      <c r="I257" s="42" t="str">
        <f aca="false">IF(ISBLANK('Raw - Sessions'!U231),"",'Raw - Sessions'!P231)</f>
        <v/>
      </c>
      <c r="J257" s="42" t="str">
        <f aca="false">IF(E257="","",E257+F257+G257+'Raw - Sessions'!AA231+'Raw - Sessions'!AB231+'Raw - Sessions'!AC231)</f>
        <v/>
      </c>
      <c r="K257" s="42" t="str">
        <f aca="false">IF(E257="","",I257-J257)</f>
        <v/>
      </c>
      <c r="L257" s="70" t="str">
        <f aca="false">IF(E257="","",IF(ABS(K257)&gt;0.02,"MISMATCH","OK"))</f>
        <v/>
      </c>
      <c r="M257" s="42" t="str">
        <f aca="false">IF(ISBLANK('Raw - Sessions'!U231),"",'Raw - Sessions'!Q231)</f>
        <v/>
      </c>
      <c r="N257" s="42" t="str">
        <f aca="false">IF(E257="","",I257-G257-H257-F257)</f>
        <v/>
      </c>
      <c r="O257" s="42" t="str">
        <f aca="false">IF(E257="","",M257-N257)</f>
        <v/>
      </c>
      <c r="P257" s="70" t="str">
        <f aca="false">IF(E257="","",IF(ABS(O257)&gt;0.02,"MISMATCH","OK"))</f>
        <v/>
      </c>
    </row>
    <row r="258" customFormat="false" ht="15" hidden="false" customHeight="false" outlineLevel="0" collapsed="false">
      <c r="A258" s="72" t="n">
        <f aca="false">'Raw - Sessions'!A232</f>
        <v>5171330811</v>
      </c>
      <c r="B258" s="72" t="str">
        <f aca="false">'Raw - Sessions'!K232</f>
        <v>BARBOURVILLE / CITY HALL</v>
      </c>
      <c r="C258" s="73" t="n">
        <f aca="false">IF(ISBLANK('Raw - Sessions'!U232),"",'Raw - Sessions'!T232)</f>
        <v>0.5</v>
      </c>
      <c r="D258" s="39" t="n">
        <f aca="false">'Raw - Sessions'!E232</f>
        <v>14.0308</v>
      </c>
      <c r="E258" s="44" t="n">
        <f aca="false">IF(ISBLANK('Raw - Sessions'!U232),"",'Raw - Sessions'!U232)</f>
        <v>8.97</v>
      </c>
      <c r="F258" s="44" t="n">
        <f aca="false">IF(ISBLANK('Raw - Sessions'!U232),"",'Raw - Sessions'!Z232)</f>
        <v>0.54</v>
      </c>
      <c r="G258" s="44" t="n">
        <f aca="false">IF(ISBLANK('Raw - Sessions'!U232),"",'Raw - Sessions'!AE232)</f>
        <v>0.49</v>
      </c>
      <c r="H258" s="44" t="n">
        <f aca="false">IF(ISBLANK('Raw - Sessions'!U232),"",'Raw - Sessions'!AD232)</f>
        <v>0.9</v>
      </c>
      <c r="I258" s="44" t="n">
        <f aca="false">IF(ISBLANK('Raw - Sessions'!U232),"",'Raw - Sessions'!P232)</f>
        <v>10</v>
      </c>
      <c r="J258" s="44" t="n">
        <f aca="false">IF(E258="","",E258+F258+G258+'Raw - Sessions'!AA232+'Raw - Sessions'!AB232+'Raw - Sessions'!AC232)</f>
        <v>10</v>
      </c>
      <c r="K258" s="44" t="n">
        <f aca="false">IF(E258="","",I258-J258)</f>
        <v>0</v>
      </c>
      <c r="L258" s="72" t="str">
        <f aca="false">IF(E258="","",IF(ABS(K258)&gt;0.02,"MISMATCH","OK"))</f>
        <v>OK</v>
      </c>
      <c r="M258" s="44" t="n">
        <f aca="false">IF(ISBLANK('Raw - Sessions'!U232),"",'Raw - Sessions'!Q232)</f>
        <v>8.07</v>
      </c>
      <c r="N258" s="44" t="n">
        <f aca="false">IF(E258="","",I258-G258-H258-F258)</f>
        <v>8.07</v>
      </c>
      <c r="O258" s="44" t="n">
        <f aca="false">IF(E258="","",M258-N258)</f>
        <v>0</v>
      </c>
      <c r="P258" s="72" t="str">
        <f aca="false">IF(E258="","",IF(ABS(O258)&gt;0.02,"MISMATCH","OK"))</f>
        <v>OK</v>
      </c>
    </row>
    <row r="259" customFormat="false" ht="15" hidden="false" customHeight="false" outlineLevel="0" collapsed="false">
      <c r="A259" s="70" t="n">
        <f aca="false">'Raw - Sessions'!A233</f>
        <v>5171448441</v>
      </c>
      <c r="B259" s="70" t="str">
        <f aca="false">'Raw - Sessions'!K233</f>
        <v>BARBOURVILLE / CITY HALL</v>
      </c>
      <c r="C259" s="71" t="n">
        <f aca="false">IF(ISBLANK('Raw - Sessions'!U233),"",'Raw - Sessions'!T233)</f>
        <v>0.5</v>
      </c>
      <c r="D259" s="38" t="n">
        <f aca="false">'Raw - Sessions'!E233</f>
        <v>9.588</v>
      </c>
      <c r="E259" s="42" t="n">
        <f aca="false">IF(ISBLANK('Raw - Sessions'!U233),"",'Raw - Sessions'!U233)</f>
        <v>6.2</v>
      </c>
      <c r="F259" s="42" t="n">
        <f aca="false">IF(ISBLANK('Raw - Sessions'!U233),"",'Raw - Sessions'!Z233)</f>
        <v>0.37</v>
      </c>
      <c r="G259" s="42" t="n">
        <f aca="false">IF(ISBLANK('Raw - Sessions'!U233),"",'Raw - Sessions'!AE233)</f>
        <v>0.99</v>
      </c>
      <c r="H259" s="42" t="n">
        <f aca="false">IF(ISBLANK('Raw - Sessions'!U233),"",'Raw - Sessions'!AD233)</f>
        <v>0.62</v>
      </c>
      <c r="I259" s="42" t="n">
        <f aca="false">IF(ISBLANK('Raw - Sessions'!U233),"",'Raw - Sessions'!P233)</f>
        <v>7.56</v>
      </c>
      <c r="J259" s="42" t="n">
        <f aca="false">IF(E259="","",E259+F259+G259+'Raw - Sessions'!AA233+'Raw - Sessions'!AB233+'Raw - Sessions'!AC233)</f>
        <v>7.56</v>
      </c>
      <c r="K259" s="42" t="n">
        <f aca="false">IF(E259="","",I259-J259)</f>
        <v>0</v>
      </c>
      <c r="L259" s="70" t="str">
        <f aca="false">IF(E259="","",IF(ABS(K259)&gt;0.02,"MISMATCH","OK"))</f>
        <v>OK</v>
      </c>
      <c r="M259" s="42" t="n">
        <f aca="false">IF(ISBLANK('Raw - Sessions'!U233),"",'Raw - Sessions'!Q233)</f>
        <v>5.58</v>
      </c>
      <c r="N259" s="42" t="n">
        <f aca="false">IF(E259="","",I259-G259-H259-F259)</f>
        <v>5.58</v>
      </c>
      <c r="O259" s="42" t="n">
        <f aca="false">IF(E259="","",M259-N259)</f>
        <v>0</v>
      </c>
      <c r="P259" s="70" t="str">
        <f aca="false">IF(E259="","",IF(ABS(O259)&gt;0.02,"MISMATCH","OK"))</f>
        <v>OK</v>
      </c>
    </row>
    <row r="260" customFormat="false" ht="15" hidden="false" customHeight="false" outlineLevel="0" collapsed="false">
      <c r="A260" s="72" t="n">
        <f aca="false">'Raw - Sessions'!A234</f>
        <v>5172555211</v>
      </c>
      <c r="B260" s="72" t="str">
        <f aca="false">'Raw - Sessions'!K234</f>
        <v>BARBOURVILLE / CITY HALL</v>
      </c>
      <c r="C260" s="73" t="n">
        <f aca="false">IF(ISBLANK('Raw - Sessions'!U234),"",'Raw - Sessions'!T234)</f>
        <v>0.5</v>
      </c>
      <c r="D260" s="39" t="n">
        <f aca="false">'Raw - Sessions'!E234</f>
        <v>14.3979</v>
      </c>
      <c r="E260" s="44" t="n">
        <f aca="false">IF(ISBLANK('Raw - Sessions'!U234),"",'Raw - Sessions'!U234)</f>
        <v>10.5</v>
      </c>
      <c r="F260" s="44" t="n">
        <f aca="false">IF(ISBLANK('Raw - Sessions'!U234),"",'Raw - Sessions'!Z234)</f>
        <v>0.63</v>
      </c>
      <c r="G260" s="44" t="n">
        <f aca="false">IF(ISBLANK('Raw - Sessions'!U234),"",'Raw - Sessions'!AE234)</f>
        <v>0.49</v>
      </c>
      <c r="H260" s="44" t="n">
        <f aca="false">IF(ISBLANK('Raw - Sessions'!U234),"",'Raw - Sessions'!AD234)</f>
        <v>1.05</v>
      </c>
      <c r="I260" s="44" t="n">
        <f aca="false">IF(ISBLANK('Raw - Sessions'!U234),"",'Raw - Sessions'!P234)</f>
        <v>11.62</v>
      </c>
      <c r="J260" s="44" t="n">
        <f aca="false">IF(E260="","",E260+F260+G260+'Raw - Sessions'!AA234+'Raw - Sessions'!AB234+'Raw - Sessions'!AC234)</f>
        <v>11.62</v>
      </c>
      <c r="K260" s="44" t="n">
        <f aca="false">IF(E260="","",I260-J260)</f>
        <v>0</v>
      </c>
      <c r="L260" s="72" t="str">
        <f aca="false">IF(E260="","",IF(ABS(K260)&gt;0.02,"MISMATCH","OK"))</f>
        <v>OK</v>
      </c>
      <c r="M260" s="44" t="n">
        <f aca="false">IF(ISBLANK('Raw - Sessions'!U234),"",'Raw - Sessions'!Q234)</f>
        <v>9.45</v>
      </c>
      <c r="N260" s="44" t="n">
        <f aca="false">IF(E260="","",I260-G260-H260-F260)</f>
        <v>9.45</v>
      </c>
      <c r="O260" s="44" t="n">
        <f aca="false">IF(E260="","",M260-N260)</f>
        <v>0</v>
      </c>
      <c r="P260" s="72" t="str">
        <f aca="false">IF(E260="","",IF(ABS(O260)&gt;0.02,"MISMATCH","OK"))</f>
        <v>OK</v>
      </c>
    </row>
    <row r="261" customFormat="false" ht="15" hidden="false" customHeight="false" outlineLevel="0" collapsed="false">
      <c r="A261" s="70" t="n">
        <f aca="false">'Raw - Sessions'!A235</f>
        <v>5174695001</v>
      </c>
      <c r="B261" s="70" t="str">
        <f aca="false">'Raw - Sessions'!K235</f>
        <v>BARBOURVILLE / CITY HALL</v>
      </c>
      <c r="C261" s="71" t="n">
        <f aca="false">IF(ISBLANK('Raw - Sessions'!U235),"",'Raw - Sessions'!T235)</f>
        <v>0.5</v>
      </c>
      <c r="D261" s="38" t="n">
        <f aca="false">'Raw - Sessions'!E235</f>
        <v>27.3478</v>
      </c>
      <c r="E261" s="42" t="n">
        <f aca="false">IF(ISBLANK('Raw - Sessions'!U235),"",'Raw - Sessions'!U235)</f>
        <v>17.92</v>
      </c>
      <c r="F261" s="42" t="n">
        <f aca="false">IF(ISBLANK('Raw - Sessions'!U235),"",'Raw - Sessions'!Z235)</f>
        <v>1.08</v>
      </c>
      <c r="G261" s="42" t="n">
        <f aca="false">IF(ISBLANK('Raw - Sessions'!U235),"",'Raw - Sessions'!AE235)</f>
        <v>0.99</v>
      </c>
      <c r="H261" s="42" t="n">
        <f aca="false">IF(ISBLANK('Raw - Sessions'!U235),"",'Raw - Sessions'!AD235)</f>
        <v>1.79</v>
      </c>
      <c r="I261" s="42" t="n">
        <f aca="false">IF(ISBLANK('Raw - Sessions'!U235),"",'Raw - Sessions'!P235)</f>
        <v>19.99</v>
      </c>
      <c r="J261" s="42" t="n">
        <f aca="false">IF(E261="","",E261+F261+G261+'Raw - Sessions'!AA235+'Raw - Sessions'!AB235+'Raw - Sessions'!AC235)</f>
        <v>19.99</v>
      </c>
      <c r="K261" s="42" t="n">
        <f aca="false">IF(E261="","",I261-J261)</f>
        <v>0</v>
      </c>
      <c r="L261" s="70" t="str">
        <f aca="false">IF(E261="","",IF(ABS(K261)&gt;0.02,"MISMATCH","OK"))</f>
        <v>OK</v>
      </c>
      <c r="M261" s="42" t="n">
        <f aca="false">IF(ISBLANK('Raw - Sessions'!U235),"",'Raw - Sessions'!Q235)</f>
        <v>16.13</v>
      </c>
      <c r="N261" s="42" t="n">
        <f aca="false">IF(E261="","",I261-G261-H261-F261)</f>
        <v>16.13</v>
      </c>
      <c r="O261" s="42" t="n">
        <f aca="false">IF(E261="","",M261-N261)</f>
        <v>0</v>
      </c>
      <c r="P261" s="70" t="str">
        <f aca="false">IF(E261="","",IF(ABS(O261)&gt;0.02,"MISMATCH","OK"))</f>
        <v>OK</v>
      </c>
    </row>
    <row r="262" customFormat="false" ht="15" hidden="false" customHeight="false" outlineLevel="0" collapsed="false">
      <c r="A262" s="72" t="n">
        <f aca="false">'Raw - Sessions'!A236</f>
        <v>5174836871</v>
      </c>
      <c r="B262" s="72" t="str">
        <f aca="false">'Raw - Sessions'!K236</f>
        <v>BARBOURVILLE / CITY HALL</v>
      </c>
      <c r="C262" s="73" t="n">
        <f aca="false">IF(ISBLANK('Raw - Sessions'!U236),"",'Raw - Sessions'!T236)</f>
        <v>0.5</v>
      </c>
      <c r="D262" s="39" t="n">
        <f aca="false">'Raw - Sessions'!E236</f>
        <v>14.7411</v>
      </c>
      <c r="E262" s="44" t="n">
        <f aca="false">IF(ISBLANK('Raw - Sessions'!U236),"",'Raw - Sessions'!U236)</f>
        <v>9.55</v>
      </c>
      <c r="F262" s="44" t="n">
        <f aca="false">IF(ISBLANK('Raw - Sessions'!U236),"",'Raw - Sessions'!Z236)</f>
        <v>0.57</v>
      </c>
      <c r="G262" s="44" t="n">
        <f aca="false">IF(ISBLANK('Raw - Sessions'!U236),"",'Raw - Sessions'!AE236)</f>
        <v>0.99</v>
      </c>
      <c r="H262" s="44" t="n">
        <f aca="false">IF(ISBLANK('Raw - Sessions'!U236),"",'Raw - Sessions'!AD236)</f>
        <v>0.95</v>
      </c>
      <c r="I262" s="44" t="n">
        <f aca="false">IF(ISBLANK('Raw - Sessions'!U236),"",'Raw - Sessions'!P236)</f>
        <v>11.11</v>
      </c>
      <c r="J262" s="44" t="n">
        <f aca="false">IF(E262="","",E262+F262+G262+'Raw - Sessions'!AA236+'Raw - Sessions'!AB236+'Raw - Sessions'!AC236)</f>
        <v>11.11</v>
      </c>
      <c r="K262" s="44" t="n">
        <f aca="false">IF(E262="","",I262-J262)</f>
        <v>0</v>
      </c>
      <c r="L262" s="72" t="str">
        <f aca="false">IF(E262="","",IF(ABS(K262)&gt;0.02,"MISMATCH","OK"))</f>
        <v>OK</v>
      </c>
      <c r="M262" s="44" t="n">
        <f aca="false">IF(ISBLANK('Raw - Sessions'!U236),"",'Raw - Sessions'!Q236)</f>
        <v>8.6</v>
      </c>
      <c r="N262" s="44" t="n">
        <f aca="false">IF(E262="","",I262-G262-H262-F262)</f>
        <v>8.6</v>
      </c>
      <c r="O262" s="44" t="n">
        <f aca="false">IF(E262="","",M262-N262)</f>
        <v>0</v>
      </c>
      <c r="P262" s="72" t="str">
        <f aca="false">IF(E262="","",IF(ABS(O262)&gt;0.02,"MISMATCH","OK"))</f>
        <v>OK</v>
      </c>
    </row>
    <row r="263" customFormat="false" ht="15" hidden="false" customHeight="false" outlineLevel="0" collapsed="false">
      <c r="A263" s="70" t="n">
        <f aca="false">'Raw - Sessions'!A237</f>
        <v>5175611031</v>
      </c>
      <c r="B263" s="70" t="str">
        <f aca="false">'Raw - Sessions'!K237</f>
        <v>BARBOURVILLE / TOURISM</v>
      </c>
      <c r="C263" s="71" t="n">
        <f aca="false">IF(ISBLANK('Raw - Sessions'!U237),"",'Raw - Sessions'!T237)</f>
        <v>0.5</v>
      </c>
      <c r="D263" s="38" t="n">
        <f aca="false">'Raw - Sessions'!E237</f>
        <v>2.325687</v>
      </c>
      <c r="E263" s="42" t="n">
        <f aca="false">IF(ISBLANK('Raw - Sessions'!U237),"",'Raw - Sessions'!U237)</f>
        <v>2.84</v>
      </c>
      <c r="F263" s="42" t="n">
        <f aca="false">IF(ISBLANK('Raw - Sessions'!U237),"",'Raw - Sessions'!Z237)</f>
        <v>0.17</v>
      </c>
      <c r="G263" s="42" t="n">
        <f aca="false">IF(ISBLANK('Raw - Sessions'!U237),"",'Raw - Sessions'!AE237)</f>
        <v>0.49</v>
      </c>
      <c r="H263" s="42" t="n">
        <f aca="false">IF(ISBLANK('Raw - Sessions'!U237),"",'Raw - Sessions'!AD237)</f>
        <v>0.28</v>
      </c>
      <c r="I263" s="42" t="n">
        <f aca="false">IF(ISBLANK('Raw - Sessions'!U237),"",'Raw - Sessions'!P237)</f>
        <v>3.5</v>
      </c>
      <c r="J263" s="42" t="n">
        <f aca="false">IF(E263="","",E263+F263+G263+'Raw - Sessions'!AA237+'Raw - Sessions'!AB237+'Raw - Sessions'!AC237)</f>
        <v>3.5</v>
      </c>
      <c r="K263" s="42" t="n">
        <f aca="false">IF(E263="","",I263-J263)</f>
        <v>0</v>
      </c>
      <c r="L263" s="70" t="str">
        <f aca="false">IF(E263="","",IF(ABS(K263)&gt;0.02,"MISMATCH","OK"))</f>
        <v>OK</v>
      </c>
      <c r="M263" s="42" t="n">
        <f aca="false">IF(ISBLANK('Raw - Sessions'!U237),"",'Raw - Sessions'!Q237)</f>
        <v>2.56</v>
      </c>
      <c r="N263" s="42" t="n">
        <f aca="false">IF(E263="","",I263-G263-H263-F263)</f>
        <v>2.56</v>
      </c>
      <c r="O263" s="42" t="n">
        <f aca="false">IF(E263="","",M263-N263)</f>
        <v>0</v>
      </c>
      <c r="P263" s="70" t="str">
        <f aca="false">IF(E263="","",IF(ABS(O263)&gt;0.02,"MISMATCH","OK"))</f>
        <v>OK</v>
      </c>
    </row>
    <row r="264" customFormat="false" ht="15" hidden="false" customHeight="false" outlineLevel="0" collapsed="false">
      <c r="A264" s="72" t="n">
        <f aca="false">'Raw - Sessions'!A238</f>
        <v>5177603231</v>
      </c>
      <c r="B264" s="72" t="str">
        <f aca="false">'Raw - Sessions'!K238</f>
        <v>BARBOURVILLE / CITY HALL</v>
      </c>
      <c r="C264" s="73" t="str">
        <f aca="false">IF(ISBLANK('Raw - Sessions'!U238),"",'Raw - Sessions'!T238)</f>
        <v/>
      </c>
      <c r="D264" s="39" t="n">
        <f aca="false">'Raw - Sessions'!E238</f>
        <v>0</v>
      </c>
      <c r="E264" s="44" t="str">
        <f aca="false">IF(ISBLANK('Raw - Sessions'!U238),"",'Raw - Sessions'!U238)</f>
        <v/>
      </c>
      <c r="F264" s="44" t="str">
        <f aca="false">IF(ISBLANK('Raw - Sessions'!U238),"",'Raw - Sessions'!Z238)</f>
        <v/>
      </c>
      <c r="G264" s="44" t="str">
        <f aca="false">IF(ISBLANK('Raw - Sessions'!U238),"",'Raw - Sessions'!AE238)</f>
        <v/>
      </c>
      <c r="H264" s="44" t="str">
        <f aca="false">IF(ISBLANK('Raw - Sessions'!U238),"",'Raw - Sessions'!AD238)</f>
        <v/>
      </c>
      <c r="I264" s="44" t="str">
        <f aca="false">IF(ISBLANK('Raw - Sessions'!U238),"",'Raw - Sessions'!P238)</f>
        <v/>
      </c>
      <c r="J264" s="44" t="str">
        <f aca="false">IF(E264="","",E264+F264+G264+'Raw - Sessions'!AA238+'Raw - Sessions'!AB238+'Raw - Sessions'!AC238)</f>
        <v/>
      </c>
      <c r="K264" s="44" t="str">
        <f aca="false">IF(E264="","",I264-J264)</f>
        <v/>
      </c>
      <c r="L264" s="72" t="str">
        <f aca="false">IF(E264="","",IF(ABS(K264)&gt;0.02,"MISMATCH","OK"))</f>
        <v/>
      </c>
      <c r="M264" s="44" t="str">
        <f aca="false">IF(ISBLANK('Raw - Sessions'!U238),"",'Raw - Sessions'!Q238)</f>
        <v/>
      </c>
      <c r="N264" s="44" t="str">
        <f aca="false">IF(E264="","",I264-G264-H264-F264)</f>
        <v/>
      </c>
      <c r="O264" s="44" t="str">
        <f aca="false">IF(E264="","",M264-N264)</f>
        <v/>
      </c>
      <c r="P264" s="72" t="str">
        <f aca="false">IF(E264="","",IF(ABS(O264)&gt;0.02,"MISMATCH","OK"))</f>
        <v/>
      </c>
    </row>
    <row r="265" customFormat="false" ht="15" hidden="false" customHeight="false" outlineLevel="0" collapsed="false">
      <c r="A265" s="70" t="n">
        <f aca="false">'Raw - Sessions'!A239</f>
        <v>5177640771</v>
      </c>
      <c r="B265" s="70" t="str">
        <f aca="false">'Raw - Sessions'!K239</f>
        <v>BARBOURVILLE / TOURISM</v>
      </c>
      <c r="C265" s="71" t="n">
        <f aca="false">IF(ISBLANK('Raw - Sessions'!U239),"",'Raw - Sessions'!T239)</f>
        <v>0.5</v>
      </c>
      <c r="D265" s="38" t="n">
        <f aca="false">'Raw - Sessions'!E239</f>
        <v>20.088461</v>
      </c>
      <c r="E265" s="42" t="n">
        <f aca="false">IF(ISBLANK('Raw - Sessions'!U239),"",'Raw - Sessions'!U239)</f>
        <v>23.97</v>
      </c>
      <c r="F265" s="42" t="n">
        <f aca="false">IF(ISBLANK('Raw - Sessions'!U239),"",'Raw - Sessions'!Z239)</f>
        <v>1.44</v>
      </c>
      <c r="G265" s="42" t="n">
        <f aca="false">IF(ISBLANK('Raw - Sessions'!U239),"",'Raw - Sessions'!AE239)</f>
        <v>0.49</v>
      </c>
      <c r="H265" s="42" t="n">
        <f aca="false">IF(ISBLANK('Raw - Sessions'!U239),"",'Raw - Sessions'!AD239)</f>
        <v>2.4</v>
      </c>
      <c r="I265" s="42" t="n">
        <f aca="false">IF(ISBLANK('Raw - Sessions'!U239),"",'Raw - Sessions'!P239)</f>
        <v>25.9</v>
      </c>
      <c r="J265" s="42" t="n">
        <f aca="false">IF(E265="","",E265+F265+G265+'Raw - Sessions'!AA239+'Raw - Sessions'!AB239+'Raw - Sessions'!AC239)</f>
        <v>25.9</v>
      </c>
      <c r="K265" s="42" t="n">
        <f aca="false">IF(E265="","",I265-J265)</f>
        <v>0</v>
      </c>
      <c r="L265" s="70" t="str">
        <f aca="false">IF(E265="","",IF(ABS(K265)&gt;0.02,"MISMATCH","OK"))</f>
        <v>OK</v>
      </c>
      <c r="M265" s="42" t="n">
        <f aca="false">IF(ISBLANK('Raw - Sessions'!U239),"",'Raw - Sessions'!Q239)</f>
        <v>21.57</v>
      </c>
      <c r="N265" s="42" t="n">
        <f aca="false">IF(E265="","",I265-G265-H265-F265)</f>
        <v>21.57</v>
      </c>
      <c r="O265" s="42" t="n">
        <f aca="false">IF(E265="","",M265-N265)</f>
        <v>0</v>
      </c>
      <c r="P265" s="70" t="str">
        <f aca="false">IF(E265="","",IF(ABS(O265)&gt;0.02,"MISMATCH","OK"))</f>
        <v>OK</v>
      </c>
    </row>
    <row r="266" customFormat="false" ht="15" hidden="false" customHeight="false" outlineLevel="0" collapsed="false">
      <c r="A266" s="72" t="n">
        <f aca="false">'Raw - Sessions'!A240</f>
        <v>5192485371</v>
      </c>
      <c r="B266" s="72" t="str">
        <f aca="false">'Raw - Sessions'!K240</f>
        <v>BARBOURVILLE / CITY HALL</v>
      </c>
      <c r="C266" s="73" t="str">
        <f aca="false">IF(ISBLANK('Raw - Sessions'!U240),"",'Raw - Sessions'!T240)</f>
        <v/>
      </c>
      <c r="D266" s="39" t="n">
        <f aca="false">'Raw - Sessions'!E240</f>
        <v>0</v>
      </c>
      <c r="E266" s="44" t="str">
        <f aca="false">IF(ISBLANK('Raw - Sessions'!U240),"",'Raw - Sessions'!U240)</f>
        <v/>
      </c>
      <c r="F266" s="44" t="str">
        <f aca="false">IF(ISBLANK('Raw - Sessions'!U240),"",'Raw - Sessions'!Z240)</f>
        <v/>
      </c>
      <c r="G266" s="44" t="str">
        <f aca="false">IF(ISBLANK('Raw - Sessions'!U240),"",'Raw - Sessions'!AE240)</f>
        <v/>
      </c>
      <c r="H266" s="44" t="str">
        <f aca="false">IF(ISBLANK('Raw - Sessions'!U240),"",'Raw - Sessions'!AD240)</f>
        <v/>
      </c>
      <c r="I266" s="44" t="str">
        <f aca="false">IF(ISBLANK('Raw - Sessions'!U240),"",'Raw - Sessions'!P240)</f>
        <v/>
      </c>
      <c r="J266" s="44" t="str">
        <f aca="false">IF(E266="","",E266+F266+G266+'Raw - Sessions'!AA240+'Raw - Sessions'!AB240+'Raw - Sessions'!AC240)</f>
        <v/>
      </c>
      <c r="K266" s="44" t="str">
        <f aca="false">IF(E266="","",I266-J266)</f>
        <v/>
      </c>
      <c r="L266" s="72" t="str">
        <f aca="false">IF(E266="","",IF(ABS(K266)&gt;0.02,"MISMATCH","OK"))</f>
        <v/>
      </c>
      <c r="M266" s="44" t="str">
        <f aca="false">IF(ISBLANK('Raw - Sessions'!U240),"",'Raw - Sessions'!Q240)</f>
        <v/>
      </c>
      <c r="N266" s="44" t="str">
        <f aca="false">IF(E266="","",I266-G266-H266-F266)</f>
        <v/>
      </c>
      <c r="O266" s="44" t="str">
        <f aca="false">IF(E266="","",M266-N266)</f>
        <v/>
      </c>
      <c r="P266" s="72" t="str">
        <f aca="false">IF(E266="","",IF(ABS(O266)&gt;0.02,"MISMATCH","OK"))</f>
        <v/>
      </c>
    </row>
    <row r="267" customFormat="false" ht="15" hidden="false" customHeight="false" outlineLevel="0" collapsed="false">
      <c r="A267" s="70" t="n">
        <f aca="false">'Raw - Sessions'!A241</f>
        <v>5192487431</v>
      </c>
      <c r="B267" s="70" t="str">
        <f aca="false">'Raw - Sessions'!K241</f>
        <v>BARBOURVILLE / CITY HALL</v>
      </c>
      <c r="C267" s="71" t="str">
        <f aca="false">IF(ISBLANK('Raw - Sessions'!U241),"",'Raw - Sessions'!T241)</f>
        <v/>
      </c>
      <c r="D267" s="38" t="n">
        <f aca="false">'Raw - Sessions'!E241</f>
        <v>0</v>
      </c>
      <c r="E267" s="42" t="str">
        <f aca="false">IF(ISBLANK('Raw - Sessions'!U241),"",'Raw - Sessions'!U241)</f>
        <v/>
      </c>
      <c r="F267" s="42" t="str">
        <f aca="false">IF(ISBLANK('Raw - Sessions'!U241),"",'Raw - Sessions'!Z241)</f>
        <v/>
      </c>
      <c r="G267" s="42" t="str">
        <f aca="false">IF(ISBLANK('Raw - Sessions'!U241),"",'Raw - Sessions'!AE241)</f>
        <v/>
      </c>
      <c r="H267" s="42" t="str">
        <f aca="false">IF(ISBLANK('Raw - Sessions'!U241),"",'Raw - Sessions'!AD241)</f>
        <v/>
      </c>
      <c r="I267" s="42" t="str">
        <f aca="false">IF(ISBLANK('Raw - Sessions'!U241),"",'Raw - Sessions'!P241)</f>
        <v/>
      </c>
      <c r="J267" s="42" t="str">
        <f aca="false">IF(E267="","",E267+F267+G267+'Raw - Sessions'!AA241+'Raw - Sessions'!AB241+'Raw - Sessions'!AC241)</f>
        <v/>
      </c>
      <c r="K267" s="42" t="str">
        <f aca="false">IF(E267="","",I267-J267)</f>
        <v/>
      </c>
      <c r="L267" s="70" t="str">
        <f aca="false">IF(E267="","",IF(ABS(K267)&gt;0.02,"MISMATCH","OK"))</f>
        <v/>
      </c>
      <c r="M267" s="42" t="str">
        <f aca="false">IF(ISBLANK('Raw - Sessions'!U241),"",'Raw - Sessions'!Q241)</f>
        <v/>
      </c>
      <c r="N267" s="42" t="str">
        <f aca="false">IF(E267="","",I267-G267-H267-F267)</f>
        <v/>
      </c>
      <c r="O267" s="42" t="str">
        <f aca="false">IF(E267="","",M267-N267)</f>
        <v/>
      </c>
      <c r="P267" s="70" t="str">
        <f aca="false">IF(E267="","",IF(ABS(O267)&gt;0.02,"MISMATCH","OK"))</f>
        <v/>
      </c>
    </row>
    <row r="268" customFormat="false" ht="15" hidden="false" customHeight="false" outlineLevel="0" collapsed="false">
      <c r="A268" s="72" t="n">
        <f aca="false">'Raw - Sessions'!A242</f>
        <v>5194063971</v>
      </c>
      <c r="B268" s="72" t="str">
        <f aca="false">'Raw - Sessions'!K242</f>
        <v>BARBOURVILLE / CITY HALL</v>
      </c>
      <c r="C268" s="73" t="n">
        <f aca="false">IF(ISBLANK('Raw - Sessions'!U242),"",'Raw - Sessions'!T242)</f>
        <v>0.5</v>
      </c>
      <c r="D268" s="39" t="n">
        <f aca="false">'Raw - Sessions'!E242</f>
        <v>8.083</v>
      </c>
      <c r="E268" s="44" t="n">
        <f aca="false">IF(ISBLANK('Raw - Sessions'!U242),"",'Raw - Sessions'!U242)</f>
        <v>5.42</v>
      </c>
      <c r="F268" s="44" t="n">
        <f aca="false">IF(ISBLANK('Raw - Sessions'!U242),"",'Raw - Sessions'!Z242)</f>
        <v>0.32</v>
      </c>
      <c r="G268" s="44" t="n">
        <f aca="false">IF(ISBLANK('Raw - Sessions'!U242),"",'Raw - Sessions'!AE242)</f>
        <v>0.49</v>
      </c>
      <c r="H268" s="44" t="n">
        <f aca="false">IF(ISBLANK('Raw - Sessions'!U242),"",'Raw - Sessions'!AD242)</f>
        <v>0.54</v>
      </c>
      <c r="I268" s="44" t="n">
        <f aca="false">IF(ISBLANK('Raw - Sessions'!U242),"",'Raw - Sessions'!P242)</f>
        <v>6.23</v>
      </c>
      <c r="J268" s="44" t="n">
        <f aca="false">IF(E268="","",E268+F268+G268+'Raw - Sessions'!AA242+'Raw - Sessions'!AB242+'Raw - Sessions'!AC242)</f>
        <v>6.23</v>
      </c>
      <c r="K268" s="44" t="n">
        <f aca="false">IF(E268="","",I268-J268)</f>
        <v>0</v>
      </c>
      <c r="L268" s="72" t="str">
        <f aca="false">IF(E268="","",IF(ABS(K268)&gt;0.02,"MISMATCH","OK"))</f>
        <v>OK</v>
      </c>
      <c r="M268" s="44" t="n">
        <f aca="false">IF(ISBLANK('Raw - Sessions'!U242),"",'Raw - Sessions'!Q242)</f>
        <v>4.88</v>
      </c>
      <c r="N268" s="44" t="n">
        <f aca="false">IF(E268="","",I268-G268-H268-F268)</f>
        <v>4.88</v>
      </c>
      <c r="O268" s="44" t="n">
        <f aca="false">IF(E268="","",M268-N268)</f>
        <v>0</v>
      </c>
      <c r="P268" s="72" t="str">
        <f aca="false">IF(E268="","",IF(ABS(O268)&gt;0.02,"MISMATCH","OK"))</f>
        <v>OK</v>
      </c>
    </row>
    <row r="269" customFormat="false" ht="15" hidden="false" customHeight="false" outlineLevel="0" collapsed="false">
      <c r="A269" s="70" t="n">
        <f aca="false">'Raw - Sessions'!A243</f>
        <v>5195858081</v>
      </c>
      <c r="B269" s="70" t="str">
        <f aca="false">'Raw - Sessions'!K243</f>
        <v>BARBOURVILLE / CITY HALL</v>
      </c>
      <c r="C269" s="71" t="n">
        <f aca="false">IF(ISBLANK('Raw - Sessions'!U243),"",'Raw - Sessions'!T243)</f>
        <v>0.5</v>
      </c>
      <c r="D269" s="38" t="n">
        <f aca="false">'Raw - Sessions'!E243</f>
        <v>23.9124</v>
      </c>
      <c r="E269" s="42" t="n">
        <f aca="false">IF(ISBLANK('Raw - Sessions'!U243),"",'Raw - Sessions'!U243)</f>
        <v>15.11</v>
      </c>
      <c r="F269" s="42" t="n">
        <f aca="false">IF(ISBLANK('Raw - Sessions'!U243),"",'Raw - Sessions'!Z243)</f>
        <v>0.91</v>
      </c>
      <c r="G269" s="42" t="n">
        <f aca="false">IF(ISBLANK('Raw - Sessions'!U243),"",'Raw - Sessions'!AE243)</f>
        <v>0.99</v>
      </c>
      <c r="H269" s="42" t="n">
        <f aca="false">IF(ISBLANK('Raw - Sessions'!U243),"",'Raw - Sessions'!AD243)</f>
        <v>1.51</v>
      </c>
      <c r="I269" s="42" t="n">
        <f aca="false">IF(ISBLANK('Raw - Sessions'!U243),"",'Raw - Sessions'!P243)</f>
        <v>17.01</v>
      </c>
      <c r="J269" s="42" t="n">
        <f aca="false">IF(E269="","",E269+F269+G269+'Raw - Sessions'!AA243+'Raw - Sessions'!AB243+'Raw - Sessions'!AC243)</f>
        <v>17.01</v>
      </c>
      <c r="K269" s="42" t="n">
        <f aca="false">IF(E269="","",I269-J269)</f>
        <v>0</v>
      </c>
      <c r="L269" s="70" t="str">
        <f aca="false">IF(E269="","",IF(ABS(K269)&gt;0.02,"MISMATCH","OK"))</f>
        <v>OK</v>
      </c>
      <c r="M269" s="42" t="n">
        <f aca="false">IF(ISBLANK('Raw - Sessions'!U243),"",'Raw - Sessions'!Q243)</f>
        <v>13.6</v>
      </c>
      <c r="N269" s="42" t="n">
        <f aca="false">IF(E269="","",I269-G269-H269-F269)</f>
        <v>13.6</v>
      </c>
      <c r="O269" s="42" t="n">
        <f aca="false">IF(E269="","",M269-N269)</f>
        <v>0</v>
      </c>
      <c r="P269" s="70" t="str">
        <f aca="false">IF(E269="","",IF(ABS(O269)&gt;0.02,"MISMATCH","OK"))</f>
        <v>OK</v>
      </c>
    </row>
    <row r="270" customFormat="false" ht="15" hidden="false" customHeight="false" outlineLevel="0" collapsed="false">
      <c r="A270" s="72" t="n">
        <f aca="false">'Raw - Sessions'!A244</f>
        <v>5196580591</v>
      </c>
      <c r="B270" s="72" t="str">
        <f aca="false">'Raw - Sessions'!K244</f>
        <v>BARBOURVILLE / TOURISM</v>
      </c>
      <c r="C270" s="73" t="str">
        <f aca="false">IF(ISBLANK('Raw - Sessions'!U244),"",'Raw - Sessions'!T244)</f>
        <v/>
      </c>
      <c r="D270" s="39" t="n">
        <f aca="false">'Raw - Sessions'!E244</f>
        <v>0</v>
      </c>
      <c r="E270" s="44" t="str">
        <f aca="false">IF(ISBLANK('Raw - Sessions'!U244),"",'Raw - Sessions'!U244)</f>
        <v/>
      </c>
      <c r="F270" s="44" t="str">
        <f aca="false">IF(ISBLANK('Raw - Sessions'!U244),"",'Raw - Sessions'!Z244)</f>
        <v/>
      </c>
      <c r="G270" s="44" t="str">
        <f aca="false">IF(ISBLANK('Raw - Sessions'!U244),"",'Raw - Sessions'!AE244)</f>
        <v/>
      </c>
      <c r="H270" s="44" t="str">
        <f aca="false">IF(ISBLANK('Raw - Sessions'!U244),"",'Raw - Sessions'!AD244)</f>
        <v/>
      </c>
      <c r="I270" s="44" t="str">
        <f aca="false">IF(ISBLANK('Raw - Sessions'!U244),"",'Raw - Sessions'!P244)</f>
        <v/>
      </c>
      <c r="J270" s="44" t="str">
        <f aca="false">IF(E270="","",E270+F270+G270+'Raw - Sessions'!AA244+'Raw - Sessions'!AB244+'Raw - Sessions'!AC244)</f>
        <v/>
      </c>
      <c r="K270" s="44" t="str">
        <f aca="false">IF(E270="","",I270-J270)</f>
        <v/>
      </c>
      <c r="L270" s="72" t="str">
        <f aca="false">IF(E270="","",IF(ABS(K270)&gt;0.02,"MISMATCH","OK"))</f>
        <v/>
      </c>
      <c r="M270" s="44" t="str">
        <f aca="false">IF(ISBLANK('Raw - Sessions'!U244),"",'Raw - Sessions'!Q244)</f>
        <v/>
      </c>
      <c r="N270" s="44" t="str">
        <f aca="false">IF(E270="","",I270-G270-H270-F270)</f>
        <v/>
      </c>
      <c r="O270" s="44" t="str">
        <f aca="false">IF(E270="","",M270-N270)</f>
        <v/>
      </c>
      <c r="P270" s="72" t="str">
        <f aca="false">IF(E270="","",IF(ABS(O270)&gt;0.02,"MISMATCH","OK"))</f>
        <v/>
      </c>
    </row>
    <row r="271" customFormat="false" ht="15" hidden="false" customHeight="false" outlineLevel="0" collapsed="false">
      <c r="A271" s="70" t="n">
        <f aca="false">'Raw - Sessions'!A245</f>
        <v>5196580841</v>
      </c>
      <c r="B271" s="70" t="str">
        <f aca="false">'Raw - Sessions'!K245</f>
        <v>BARBOURVILLE / CITY HALL</v>
      </c>
      <c r="C271" s="71" t="n">
        <f aca="false">IF(ISBLANK('Raw - Sessions'!U245),"",'Raw - Sessions'!T245)</f>
        <v>0.5</v>
      </c>
      <c r="D271" s="38" t="n">
        <f aca="false">'Raw - Sessions'!E245</f>
        <v>25.6493</v>
      </c>
      <c r="E271" s="42" t="n">
        <f aca="false">IF(ISBLANK('Raw - Sessions'!U245),"",'Raw - Sessions'!U245)</f>
        <v>18.55</v>
      </c>
      <c r="F271" s="42" t="n">
        <f aca="false">IF(ISBLANK('Raw - Sessions'!U245),"",'Raw - Sessions'!Z245)</f>
        <v>1.11</v>
      </c>
      <c r="G271" s="42" t="n">
        <f aca="false">IF(ISBLANK('Raw - Sessions'!U245),"",'Raw - Sessions'!AE245)</f>
        <v>0.49</v>
      </c>
      <c r="H271" s="42" t="n">
        <f aca="false">IF(ISBLANK('Raw - Sessions'!U245),"",'Raw - Sessions'!AD245)</f>
        <v>1.85</v>
      </c>
      <c r="I271" s="42" t="n">
        <f aca="false">IF(ISBLANK('Raw - Sessions'!U245),"",'Raw - Sessions'!P245)</f>
        <v>20.15</v>
      </c>
      <c r="J271" s="42" t="n">
        <f aca="false">IF(E271="","",E271+F271+G271+'Raw - Sessions'!AA245+'Raw - Sessions'!AB245+'Raw - Sessions'!AC245)</f>
        <v>20.15</v>
      </c>
      <c r="K271" s="42" t="n">
        <f aca="false">IF(E271="","",I271-J271)</f>
        <v>0</v>
      </c>
      <c r="L271" s="70" t="str">
        <f aca="false">IF(E271="","",IF(ABS(K271)&gt;0.02,"MISMATCH","OK"))</f>
        <v>OK</v>
      </c>
      <c r="M271" s="42" t="n">
        <f aca="false">IF(ISBLANK('Raw - Sessions'!U245),"",'Raw - Sessions'!Q245)</f>
        <v>16.7</v>
      </c>
      <c r="N271" s="42" t="n">
        <f aca="false">IF(E271="","",I271-G271-H271-F271)</f>
        <v>16.7</v>
      </c>
      <c r="O271" s="42" t="n">
        <f aca="false">IF(E271="","",M271-N271)</f>
        <v>0</v>
      </c>
      <c r="P271" s="70" t="str">
        <f aca="false">IF(E271="","",IF(ABS(O271)&gt;0.02,"MISMATCH","OK"))</f>
        <v>OK</v>
      </c>
    </row>
    <row r="272" customFormat="false" ht="15" hidden="false" customHeight="false" outlineLevel="0" collapsed="false">
      <c r="A272" s="72" t="n">
        <f aca="false">'Raw - Sessions'!A246</f>
        <v>5202167201</v>
      </c>
      <c r="B272" s="72" t="str">
        <f aca="false">'Raw - Sessions'!K246</f>
        <v>BARBOURVILLE / CITY HALL</v>
      </c>
      <c r="C272" s="73" t="str">
        <f aca="false">IF(ISBLANK('Raw - Sessions'!U246),"",'Raw - Sessions'!T246)</f>
        <v/>
      </c>
      <c r="D272" s="39" t="n">
        <f aca="false">'Raw - Sessions'!E246</f>
        <v>0</v>
      </c>
      <c r="E272" s="44" t="str">
        <f aca="false">IF(ISBLANK('Raw - Sessions'!U246),"",'Raw - Sessions'!U246)</f>
        <v/>
      </c>
      <c r="F272" s="44" t="str">
        <f aca="false">IF(ISBLANK('Raw - Sessions'!U246),"",'Raw - Sessions'!Z246)</f>
        <v/>
      </c>
      <c r="G272" s="44" t="str">
        <f aca="false">IF(ISBLANK('Raw - Sessions'!U246),"",'Raw - Sessions'!AE246)</f>
        <v/>
      </c>
      <c r="H272" s="44" t="str">
        <f aca="false">IF(ISBLANK('Raw - Sessions'!U246),"",'Raw - Sessions'!AD246)</f>
        <v/>
      </c>
      <c r="I272" s="44" t="str">
        <f aca="false">IF(ISBLANK('Raw - Sessions'!U246),"",'Raw - Sessions'!P246)</f>
        <v/>
      </c>
      <c r="J272" s="44" t="str">
        <f aca="false">IF(E272="","",E272+F272+G272+'Raw - Sessions'!AA246+'Raw - Sessions'!AB246+'Raw - Sessions'!AC246)</f>
        <v/>
      </c>
      <c r="K272" s="44" t="str">
        <f aca="false">IF(E272="","",I272-J272)</f>
        <v/>
      </c>
      <c r="L272" s="72" t="str">
        <f aca="false">IF(E272="","",IF(ABS(K272)&gt;0.02,"MISMATCH","OK"))</f>
        <v/>
      </c>
      <c r="M272" s="44" t="str">
        <f aca="false">IF(ISBLANK('Raw - Sessions'!U246),"",'Raw - Sessions'!Q246)</f>
        <v/>
      </c>
      <c r="N272" s="44" t="str">
        <f aca="false">IF(E272="","",I272-G272-H272-F272)</f>
        <v/>
      </c>
      <c r="O272" s="44" t="str">
        <f aca="false">IF(E272="","",M272-N272)</f>
        <v/>
      </c>
      <c r="P272" s="72" t="str">
        <f aca="false">IF(E272="","",IF(ABS(O272)&gt;0.02,"MISMATCH","OK"))</f>
        <v/>
      </c>
    </row>
    <row r="273" customFormat="false" ht="15" hidden="false" customHeight="false" outlineLevel="0" collapsed="false">
      <c r="A273" s="70" t="n">
        <f aca="false">'Raw - Sessions'!A247</f>
        <v>5202182981</v>
      </c>
      <c r="B273" s="70" t="str">
        <f aca="false">'Raw - Sessions'!K247</f>
        <v>BARBOURVILLE / TOURISM</v>
      </c>
      <c r="C273" s="71" t="str">
        <f aca="false">IF(ISBLANK('Raw - Sessions'!U247),"",'Raw - Sessions'!T247)</f>
        <v/>
      </c>
      <c r="D273" s="38" t="n">
        <f aca="false">'Raw - Sessions'!E247</f>
        <v>0</v>
      </c>
      <c r="E273" s="42" t="str">
        <f aca="false">IF(ISBLANK('Raw - Sessions'!U247),"",'Raw - Sessions'!U247)</f>
        <v/>
      </c>
      <c r="F273" s="42" t="str">
        <f aca="false">IF(ISBLANK('Raw - Sessions'!U247),"",'Raw - Sessions'!Z247)</f>
        <v/>
      </c>
      <c r="G273" s="42" t="str">
        <f aca="false">IF(ISBLANK('Raw - Sessions'!U247),"",'Raw - Sessions'!AE247)</f>
        <v/>
      </c>
      <c r="H273" s="42" t="str">
        <f aca="false">IF(ISBLANK('Raw - Sessions'!U247),"",'Raw - Sessions'!AD247)</f>
        <v/>
      </c>
      <c r="I273" s="42" t="str">
        <f aca="false">IF(ISBLANK('Raw - Sessions'!U247),"",'Raw - Sessions'!P247)</f>
        <v/>
      </c>
      <c r="J273" s="42" t="str">
        <f aca="false">IF(E273="","",E273+F273+G273+'Raw - Sessions'!AA247+'Raw - Sessions'!AB247+'Raw - Sessions'!AC247)</f>
        <v/>
      </c>
      <c r="K273" s="42" t="str">
        <f aca="false">IF(E273="","",I273-J273)</f>
        <v/>
      </c>
      <c r="L273" s="70" t="str">
        <f aca="false">IF(E273="","",IF(ABS(K273)&gt;0.02,"MISMATCH","OK"))</f>
        <v/>
      </c>
      <c r="M273" s="42" t="str">
        <f aca="false">IF(ISBLANK('Raw - Sessions'!U247),"",'Raw - Sessions'!Q247)</f>
        <v/>
      </c>
      <c r="N273" s="42" t="str">
        <f aca="false">IF(E273="","",I273-G273-H273-F273)</f>
        <v/>
      </c>
      <c r="O273" s="42" t="str">
        <f aca="false">IF(E273="","",M273-N273)</f>
        <v/>
      </c>
      <c r="P273" s="70" t="str">
        <f aca="false">IF(E273="","",IF(ABS(O273)&gt;0.02,"MISMATCH","OK"))</f>
        <v/>
      </c>
    </row>
    <row r="274" customFormat="false" ht="15" hidden="false" customHeight="false" outlineLevel="0" collapsed="false">
      <c r="A274" s="72" t="n">
        <f aca="false">'Raw - Sessions'!A248</f>
        <v>5203103321</v>
      </c>
      <c r="B274" s="72" t="str">
        <f aca="false">'Raw - Sessions'!K248</f>
        <v>BARBOURVILLE / CITY HALL</v>
      </c>
      <c r="C274" s="73" t="str">
        <f aca="false">IF(ISBLANK('Raw - Sessions'!U248),"",'Raw - Sessions'!T248)</f>
        <v/>
      </c>
      <c r="D274" s="39" t="n">
        <f aca="false">'Raw - Sessions'!E248</f>
        <v>0</v>
      </c>
      <c r="E274" s="44" t="str">
        <f aca="false">IF(ISBLANK('Raw - Sessions'!U248),"",'Raw - Sessions'!U248)</f>
        <v/>
      </c>
      <c r="F274" s="44" t="str">
        <f aca="false">IF(ISBLANK('Raw - Sessions'!U248),"",'Raw - Sessions'!Z248)</f>
        <v/>
      </c>
      <c r="G274" s="44" t="str">
        <f aca="false">IF(ISBLANK('Raw - Sessions'!U248),"",'Raw - Sessions'!AE248)</f>
        <v/>
      </c>
      <c r="H274" s="44" t="str">
        <f aca="false">IF(ISBLANK('Raw - Sessions'!U248),"",'Raw - Sessions'!AD248)</f>
        <v/>
      </c>
      <c r="I274" s="44" t="str">
        <f aca="false">IF(ISBLANK('Raw - Sessions'!U248),"",'Raw - Sessions'!P248)</f>
        <v/>
      </c>
      <c r="J274" s="44" t="str">
        <f aca="false">IF(E274="","",E274+F274+G274+'Raw - Sessions'!AA248+'Raw - Sessions'!AB248+'Raw - Sessions'!AC248)</f>
        <v/>
      </c>
      <c r="K274" s="44" t="str">
        <f aca="false">IF(E274="","",I274-J274)</f>
        <v/>
      </c>
      <c r="L274" s="72" t="str">
        <f aca="false">IF(E274="","",IF(ABS(K274)&gt;0.02,"MISMATCH","OK"))</f>
        <v/>
      </c>
      <c r="M274" s="44" t="str">
        <f aca="false">IF(ISBLANK('Raw - Sessions'!U248),"",'Raw - Sessions'!Q248)</f>
        <v/>
      </c>
      <c r="N274" s="44" t="str">
        <f aca="false">IF(E274="","",I274-G274-H274-F274)</f>
        <v/>
      </c>
      <c r="O274" s="44" t="str">
        <f aca="false">IF(E274="","",M274-N274)</f>
        <v/>
      </c>
      <c r="P274" s="72" t="str">
        <f aca="false">IF(E274="","",IF(ABS(O274)&gt;0.02,"MISMATCH","OK"))</f>
        <v/>
      </c>
    </row>
    <row r="275" customFormat="false" ht="15" hidden="false" customHeight="false" outlineLevel="0" collapsed="false">
      <c r="A275" s="70" t="n">
        <f aca="false">'Raw - Sessions'!A249</f>
        <v>5203125761</v>
      </c>
      <c r="B275" s="70" t="str">
        <f aca="false">'Raw - Sessions'!K249</f>
        <v>BARBOURVILLE / CITY HALL</v>
      </c>
      <c r="C275" s="71" t="n">
        <f aca="false">IF(ISBLANK('Raw - Sessions'!U249),"",'Raw - Sessions'!T249)</f>
        <v>0.5</v>
      </c>
      <c r="D275" s="38" t="n">
        <f aca="false">'Raw - Sessions'!E249</f>
        <v>28.4904</v>
      </c>
      <c r="E275" s="42" t="n">
        <f aca="false">IF(ISBLANK('Raw - Sessions'!U249),"",'Raw - Sessions'!U249)</f>
        <v>18.37</v>
      </c>
      <c r="F275" s="42" t="n">
        <f aca="false">IF(ISBLANK('Raw - Sessions'!U249),"",'Raw - Sessions'!Z249)</f>
        <v>1.11</v>
      </c>
      <c r="G275" s="42" t="n">
        <f aca="false">IF(ISBLANK('Raw - Sessions'!U249),"",'Raw - Sessions'!AE249)</f>
        <v>0</v>
      </c>
      <c r="H275" s="42" t="n">
        <f aca="false">IF(ISBLANK('Raw - Sessions'!U249),"",'Raw - Sessions'!AD249)</f>
        <v>1.84</v>
      </c>
      <c r="I275" s="42" t="n">
        <f aca="false">IF(ISBLANK('Raw - Sessions'!U249),"",'Raw - Sessions'!P249)</f>
        <v>19.48</v>
      </c>
      <c r="J275" s="42" t="n">
        <f aca="false">IF(E275="","",E275+F275+G275+'Raw - Sessions'!AA249+'Raw - Sessions'!AB249+'Raw - Sessions'!AC249)</f>
        <v>19.48</v>
      </c>
      <c r="K275" s="42" t="n">
        <f aca="false">IF(E275="","",I275-J275)</f>
        <v>0</v>
      </c>
      <c r="L275" s="70" t="str">
        <f aca="false">IF(E275="","",IF(ABS(K275)&gt;0.02,"MISMATCH","OK"))</f>
        <v>OK</v>
      </c>
      <c r="M275" s="42" t="n">
        <f aca="false">IF(ISBLANK('Raw - Sessions'!U249),"",'Raw - Sessions'!Q249)</f>
        <v>16.53</v>
      </c>
      <c r="N275" s="42" t="n">
        <f aca="false">IF(E275="","",I275-G275-H275-F275)</f>
        <v>16.53</v>
      </c>
      <c r="O275" s="42" t="n">
        <f aca="false">IF(E275="","",M275-N275)</f>
        <v>0</v>
      </c>
      <c r="P275" s="70" t="str">
        <f aca="false">IF(E275="","",IF(ABS(O275)&gt;0.02,"MISMATCH","OK"))</f>
        <v>OK</v>
      </c>
    </row>
    <row r="276" customFormat="false" ht="15" hidden="false" customHeight="false" outlineLevel="0" collapsed="false">
      <c r="A276" s="72" t="n">
        <f aca="false">'Raw - Sessions'!A250</f>
        <v>5206764511</v>
      </c>
      <c r="B276" s="72" t="str">
        <f aca="false">'Raw - Sessions'!K250</f>
        <v>BARBOURVILLE / CITY HALL</v>
      </c>
      <c r="C276" s="73" t="str">
        <f aca="false">IF(ISBLANK('Raw - Sessions'!U250),"",'Raw - Sessions'!T250)</f>
        <v/>
      </c>
      <c r="D276" s="39" t="n">
        <f aca="false">'Raw - Sessions'!E250</f>
        <v>0</v>
      </c>
      <c r="E276" s="44" t="str">
        <f aca="false">IF(ISBLANK('Raw - Sessions'!U250),"",'Raw - Sessions'!U250)</f>
        <v/>
      </c>
      <c r="F276" s="44" t="str">
        <f aca="false">IF(ISBLANK('Raw - Sessions'!U250),"",'Raw - Sessions'!Z250)</f>
        <v/>
      </c>
      <c r="G276" s="44" t="str">
        <f aca="false">IF(ISBLANK('Raw - Sessions'!U250),"",'Raw - Sessions'!AE250)</f>
        <v/>
      </c>
      <c r="H276" s="44" t="str">
        <f aca="false">IF(ISBLANK('Raw - Sessions'!U250),"",'Raw - Sessions'!AD250)</f>
        <v/>
      </c>
      <c r="I276" s="44" t="str">
        <f aca="false">IF(ISBLANK('Raw - Sessions'!U250),"",'Raw - Sessions'!P250)</f>
        <v/>
      </c>
      <c r="J276" s="44" t="str">
        <f aca="false">IF(E276="","",E276+F276+G276+'Raw - Sessions'!AA250+'Raw - Sessions'!AB250+'Raw - Sessions'!AC250)</f>
        <v/>
      </c>
      <c r="K276" s="44" t="str">
        <f aca="false">IF(E276="","",I276-J276)</f>
        <v/>
      </c>
      <c r="L276" s="72" t="str">
        <f aca="false">IF(E276="","",IF(ABS(K276)&gt;0.02,"MISMATCH","OK"))</f>
        <v/>
      </c>
      <c r="M276" s="44" t="str">
        <f aca="false">IF(ISBLANK('Raw - Sessions'!U250),"",'Raw - Sessions'!Q250)</f>
        <v/>
      </c>
      <c r="N276" s="44" t="str">
        <f aca="false">IF(E276="","",I276-G276-H276-F276)</f>
        <v/>
      </c>
      <c r="O276" s="44" t="str">
        <f aca="false">IF(E276="","",M276-N276)</f>
        <v/>
      </c>
      <c r="P276" s="72" t="str">
        <f aca="false">IF(E276="","",IF(ABS(O276)&gt;0.02,"MISMATCH","OK"))</f>
        <v/>
      </c>
    </row>
    <row r="277" customFormat="false" ht="15" hidden="false" customHeight="false" outlineLevel="0" collapsed="false">
      <c r="A277" s="70" t="n">
        <f aca="false">'Raw - Sessions'!A251</f>
        <v>5206770341</v>
      </c>
      <c r="B277" s="70" t="str">
        <f aca="false">'Raw - Sessions'!K251</f>
        <v>BARBOURVILLE / CITY HALL</v>
      </c>
      <c r="C277" s="71" t="n">
        <f aca="false">IF(ISBLANK('Raw - Sessions'!U251),"",'Raw - Sessions'!T251)</f>
        <v>0.5</v>
      </c>
      <c r="D277" s="38" t="n">
        <f aca="false">'Raw - Sessions'!E251</f>
        <v>15.1865</v>
      </c>
      <c r="E277" s="42" t="n">
        <f aca="false">IF(ISBLANK('Raw - Sessions'!U251),"",'Raw - Sessions'!U251)</f>
        <v>10.22</v>
      </c>
      <c r="F277" s="42" t="n">
        <f aca="false">IF(ISBLANK('Raw - Sessions'!U251),"",'Raw - Sessions'!Z251)</f>
        <v>0.62</v>
      </c>
      <c r="G277" s="42" t="n">
        <f aca="false">IF(ISBLANK('Raw - Sessions'!U251),"",'Raw - Sessions'!AE251)</f>
        <v>0.49</v>
      </c>
      <c r="H277" s="42" t="n">
        <f aca="false">IF(ISBLANK('Raw - Sessions'!U251),"",'Raw - Sessions'!AD251)</f>
        <v>1.02</v>
      </c>
      <c r="I277" s="42" t="n">
        <f aca="false">IF(ISBLANK('Raw - Sessions'!U251),"",'Raw - Sessions'!P251)</f>
        <v>11.33</v>
      </c>
      <c r="J277" s="42" t="n">
        <f aca="false">IF(E277="","",E277+F277+G277+'Raw - Sessions'!AA251+'Raw - Sessions'!AB251+'Raw - Sessions'!AC251)</f>
        <v>11.33</v>
      </c>
      <c r="K277" s="42" t="n">
        <f aca="false">IF(E277="","",I277-J277)</f>
        <v>0</v>
      </c>
      <c r="L277" s="70" t="str">
        <f aca="false">IF(E277="","",IF(ABS(K277)&gt;0.02,"MISMATCH","OK"))</f>
        <v>OK</v>
      </c>
      <c r="M277" s="42" t="n">
        <f aca="false">IF(ISBLANK('Raw - Sessions'!U251),"",'Raw - Sessions'!Q251)</f>
        <v>9.2</v>
      </c>
      <c r="N277" s="42" t="n">
        <f aca="false">IF(E277="","",I277-G277-H277-F277)</f>
        <v>9.2</v>
      </c>
      <c r="O277" s="42" t="n">
        <f aca="false">IF(E277="","",M277-N277)</f>
        <v>0</v>
      </c>
      <c r="P277" s="70" t="str">
        <f aca="false">IF(E277="","",IF(ABS(O277)&gt;0.02,"MISMATCH","OK"))</f>
        <v>OK</v>
      </c>
    </row>
    <row r="278" customFormat="false" ht="15" hidden="false" customHeight="false" outlineLevel="0" collapsed="false">
      <c r="A278" s="72" t="n">
        <f aca="false">'Raw - Sessions'!A252</f>
        <v>5207818951</v>
      </c>
      <c r="B278" s="72" t="str">
        <f aca="false">'Raw - Sessions'!K252</f>
        <v>BARBOURVILLE / CITY HALL</v>
      </c>
      <c r="C278" s="73" t="n">
        <f aca="false">IF(ISBLANK('Raw - Sessions'!U252),"",'Raw - Sessions'!T252)</f>
        <v>0.5</v>
      </c>
      <c r="D278" s="39" t="n">
        <f aca="false">'Raw - Sessions'!E252</f>
        <v>40.2111</v>
      </c>
      <c r="E278" s="44" t="n">
        <f aca="false">IF(ISBLANK('Raw - Sessions'!U252),"",'Raw - Sessions'!U252)</f>
        <v>25.18</v>
      </c>
      <c r="F278" s="44" t="n">
        <f aca="false">IF(ISBLANK('Raw - Sessions'!U252),"",'Raw - Sessions'!Z252)</f>
        <v>1.51</v>
      </c>
      <c r="G278" s="44" t="n">
        <f aca="false">IF(ISBLANK('Raw - Sessions'!U252),"",'Raw - Sessions'!AE252)</f>
        <v>0.99</v>
      </c>
      <c r="H278" s="44" t="n">
        <f aca="false">IF(ISBLANK('Raw - Sessions'!U252),"",'Raw - Sessions'!AD252)</f>
        <v>2.52</v>
      </c>
      <c r="I278" s="44" t="n">
        <f aca="false">IF(ISBLANK('Raw - Sessions'!U252),"",'Raw - Sessions'!P252)</f>
        <v>27.68</v>
      </c>
      <c r="J278" s="44" t="n">
        <f aca="false">IF(E278="","",E278+F278+G278+'Raw - Sessions'!AA252+'Raw - Sessions'!AB252+'Raw - Sessions'!AC252)</f>
        <v>27.68</v>
      </c>
      <c r="K278" s="44" t="n">
        <f aca="false">IF(E278="","",I278-J278)</f>
        <v>0</v>
      </c>
      <c r="L278" s="72" t="str">
        <f aca="false">IF(E278="","",IF(ABS(K278)&gt;0.02,"MISMATCH","OK"))</f>
        <v>OK</v>
      </c>
      <c r="M278" s="44" t="n">
        <f aca="false">IF(ISBLANK('Raw - Sessions'!U252),"",'Raw - Sessions'!Q252)</f>
        <v>22.66</v>
      </c>
      <c r="N278" s="44" t="n">
        <f aca="false">IF(E278="","",I278-G278-H278-F278)</f>
        <v>22.66</v>
      </c>
      <c r="O278" s="44" t="n">
        <f aca="false">IF(E278="","",M278-N278)</f>
        <v>0</v>
      </c>
      <c r="P278" s="72" t="str">
        <f aca="false">IF(E278="","",IF(ABS(O278)&gt;0.02,"MISMATCH","OK"))</f>
        <v>OK</v>
      </c>
    </row>
    <row r="279" customFormat="false" ht="15" hidden="false" customHeight="false" outlineLevel="0" collapsed="false">
      <c r="A279" s="70" t="n">
        <f aca="false">'Raw - Sessions'!A253</f>
        <v>5214149161</v>
      </c>
      <c r="B279" s="70" t="str">
        <f aca="false">'Raw - Sessions'!K253</f>
        <v>BARBOURVILLE / CITY HALL</v>
      </c>
      <c r="C279" s="71" t="str">
        <f aca="false">IF(ISBLANK('Raw - Sessions'!U253),"",'Raw - Sessions'!T253)</f>
        <v/>
      </c>
      <c r="D279" s="38" t="n">
        <f aca="false">'Raw - Sessions'!E253</f>
        <v>0</v>
      </c>
      <c r="E279" s="42" t="str">
        <f aca="false">IF(ISBLANK('Raw - Sessions'!U253),"",'Raw - Sessions'!U253)</f>
        <v/>
      </c>
      <c r="F279" s="42" t="str">
        <f aca="false">IF(ISBLANK('Raw - Sessions'!U253),"",'Raw - Sessions'!Z253)</f>
        <v/>
      </c>
      <c r="G279" s="42" t="str">
        <f aca="false">IF(ISBLANK('Raw - Sessions'!U253),"",'Raw - Sessions'!AE253)</f>
        <v/>
      </c>
      <c r="H279" s="42" t="str">
        <f aca="false">IF(ISBLANK('Raw - Sessions'!U253),"",'Raw - Sessions'!AD253)</f>
        <v/>
      </c>
      <c r="I279" s="42" t="str">
        <f aca="false">IF(ISBLANK('Raw - Sessions'!U253),"",'Raw - Sessions'!P253)</f>
        <v/>
      </c>
      <c r="J279" s="42" t="str">
        <f aca="false">IF(E279="","",E279+F279+G279+'Raw - Sessions'!AA253+'Raw - Sessions'!AB253+'Raw - Sessions'!AC253)</f>
        <v/>
      </c>
      <c r="K279" s="42" t="str">
        <f aca="false">IF(E279="","",I279-J279)</f>
        <v/>
      </c>
      <c r="L279" s="70" t="str">
        <f aca="false">IF(E279="","",IF(ABS(K279)&gt;0.02,"MISMATCH","OK"))</f>
        <v/>
      </c>
      <c r="M279" s="42" t="str">
        <f aca="false">IF(ISBLANK('Raw - Sessions'!U253),"",'Raw - Sessions'!Q253)</f>
        <v/>
      </c>
      <c r="N279" s="42" t="str">
        <f aca="false">IF(E279="","",I279-G279-H279-F279)</f>
        <v/>
      </c>
      <c r="O279" s="42" t="str">
        <f aca="false">IF(E279="","",M279-N279)</f>
        <v/>
      </c>
      <c r="P279" s="70" t="str">
        <f aca="false">IF(E279="","",IF(ABS(O279)&gt;0.02,"MISMATCH","OK"))</f>
        <v/>
      </c>
    </row>
    <row r="280" customFormat="false" ht="15" hidden="false" customHeight="false" outlineLevel="0" collapsed="false">
      <c r="A280" s="72" t="n">
        <f aca="false">'Raw - Sessions'!A254</f>
        <v>5214152431</v>
      </c>
      <c r="B280" s="72" t="str">
        <f aca="false">'Raw - Sessions'!K254</f>
        <v>BARBOURVILLE / CITY HALL</v>
      </c>
      <c r="C280" s="73" t="n">
        <f aca="false">IF(ISBLANK('Raw - Sessions'!U254),"",'Raw - Sessions'!T254)</f>
        <v>0.5</v>
      </c>
      <c r="D280" s="39" t="n">
        <f aca="false">'Raw - Sessions'!E254</f>
        <v>40.2134</v>
      </c>
      <c r="E280" s="44" t="n">
        <f aca="false">IF(ISBLANK('Raw - Sessions'!U254),"",'Raw - Sessions'!U254)</f>
        <v>26.37</v>
      </c>
      <c r="F280" s="44" t="n">
        <f aca="false">IF(ISBLANK('Raw - Sessions'!U254),"",'Raw - Sessions'!Z254)</f>
        <v>1.59</v>
      </c>
      <c r="G280" s="44" t="n">
        <f aca="false">IF(ISBLANK('Raw - Sessions'!U254),"",'Raw - Sessions'!AE254)</f>
        <v>0</v>
      </c>
      <c r="H280" s="44" t="n">
        <f aca="false">IF(ISBLANK('Raw - Sessions'!U254),"",'Raw - Sessions'!AD254)</f>
        <v>2.64</v>
      </c>
      <c r="I280" s="44" t="n">
        <f aca="false">IF(ISBLANK('Raw - Sessions'!U254),"",'Raw - Sessions'!P254)</f>
        <v>27.96</v>
      </c>
      <c r="J280" s="44" t="n">
        <f aca="false">IF(E280="","",E280+F280+G280+'Raw - Sessions'!AA254+'Raw - Sessions'!AB254+'Raw - Sessions'!AC254)</f>
        <v>27.96</v>
      </c>
      <c r="K280" s="44" t="n">
        <f aca="false">IF(E280="","",I280-J280)</f>
        <v>0</v>
      </c>
      <c r="L280" s="72" t="str">
        <f aca="false">IF(E280="","",IF(ABS(K280)&gt;0.02,"MISMATCH","OK"))</f>
        <v>OK</v>
      </c>
      <c r="M280" s="44" t="n">
        <f aca="false">IF(ISBLANK('Raw - Sessions'!U254),"",'Raw - Sessions'!Q254)</f>
        <v>23.73</v>
      </c>
      <c r="N280" s="44" t="n">
        <f aca="false">IF(E280="","",I280-G280-H280-F280)</f>
        <v>23.73</v>
      </c>
      <c r="O280" s="44" t="n">
        <f aca="false">IF(E280="","",M280-N280)</f>
        <v>0</v>
      </c>
      <c r="P280" s="72" t="str">
        <f aca="false">IF(E280="","",IF(ABS(O280)&gt;0.02,"MISMATCH","OK"))</f>
        <v>OK</v>
      </c>
    </row>
    <row r="281" customFormat="false" ht="15" hidden="false" customHeight="false" outlineLevel="0" collapsed="false">
      <c r="A281" s="70" t="n">
        <f aca="false">'Raw - Sessions'!A255</f>
        <v>5220021311</v>
      </c>
      <c r="B281" s="70" t="str">
        <f aca="false">'Raw - Sessions'!K255</f>
        <v>BARBOURVILLE / CITY HALL</v>
      </c>
      <c r="C281" s="71" t="n">
        <f aca="false">IF(ISBLANK('Raw - Sessions'!U255),"",'Raw - Sessions'!T255)</f>
        <v>0.5</v>
      </c>
      <c r="D281" s="38" t="n">
        <f aca="false">'Raw - Sessions'!E255</f>
        <v>18.8299</v>
      </c>
      <c r="E281" s="42" t="n">
        <f aca="false">IF(ISBLANK('Raw - Sessions'!U255),"",'Raw - Sessions'!U255)</f>
        <v>12.69</v>
      </c>
      <c r="F281" s="42" t="n">
        <f aca="false">IF(ISBLANK('Raw - Sessions'!U255),"",'Raw - Sessions'!Z255)</f>
        <v>0.76</v>
      </c>
      <c r="G281" s="42" t="n">
        <f aca="false">IF(ISBLANK('Raw - Sessions'!U255),"",'Raw - Sessions'!AE255)</f>
        <v>0.49</v>
      </c>
      <c r="H281" s="42" t="n">
        <f aca="false">IF(ISBLANK('Raw - Sessions'!U255),"",'Raw - Sessions'!AD255)</f>
        <v>1.27</v>
      </c>
      <c r="I281" s="42" t="n">
        <f aca="false">IF(ISBLANK('Raw - Sessions'!U255),"",'Raw - Sessions'!P255)</f>
        <v>13.94</v>
      </c>
      <c r="J281" s="42" t="n">
        <f aca="false">IF(E281="","",E281+F281+G281+'Raw - Sessions'!AA255+'Raw - Sessions'!AB255+'Raw - Sessions'!AC255)</f>
        <v>13.94</v>
      </c>
      <c r="K281" s="42" t="n">
        <f aca="false">IF(E281="","",I281-J281)</f>
        <v>0</v>
      </c>
      <c r="L281" s="70" t="str">
        <f aca="false">IF(E281="","",IF(ABS(K281)&gt;0.02,"MISMATCH","OK"))</f>
        <v>OK</v>
      </c>
      <c r="M281" s="42" t="n">
        <f aca="false">IF(ISBLANK('Raw - Sessions'!U255),"",'Raw - Sessions'!Q255)</f>
        <v>11.42</v>
      </c>
      <c r="N281" s="42" t="n">
        <f aca="false">IF(E281="","",I281-G281-H281-F281)</f>
        <v>11.42</v>
      </c>
      <c r="O281" s="42" t="n">
        <f aca="false">IF(E281="","",M281-N281)</f>
        <v>0</v>
      </c>
      <c r="P281" s="70" t="str">
        <f aca="false">IF(E281="","",IF(ABS(O281)&gt;0.02,"MISMATCH","OK"))</f>
        <v>OK</v>
      </c>
    </row>
    <row r="282" customFormat="false" ht="15" hidden="false" customHeight="false" outlineLevel="0" collapsed="false">
      <c r="A282" s="72" t="n">
        <f aca="false">'Raw - Sessions'!A256</f>
        <v>5220527731</v>
      </c>
      <c r="B282" s="72" t="str">
        <f aca="false">'Raw - Sessions'!K256</f>
        <v>BARBOURVILLE / CITY HALL</v>
      </c>
      <c r="C282" s="73" t="n">
        <f aca="false">IF(ISBLANK('Raw - Sessions'!U256),"",'Raw - Sessions'!T256)</f>
        <v>0.5</v>
      </c>
      <c r="D282" s="39" t="n">
        <f aca="false">'Raw - Sessions'!E256</f>
        <v>0.0698</v>
      </c>
      <c r="E282" s="44" t="n">
        <f aca="false">IF(ISBLANK('Raw - Sessions'!U256),"",'Raw - Sessions'!U256)</f>
        <v>0.03</v>
      </c>
      <c r="F282" s="44" t="n">
        <f aca="false">IF(ISBLANK('Raw - Sessions'!U256),"",'Raw - Sessions'!Z256)</f>
        <v>0</v>
      </c>
      <c r="G282" s="44" t="n">
        <f aca="false">IF(ISBLANK('Raw - Sessions'!U256),"",'Raw - Sessions'!AE256)</f>
        <v>0</v>
      </c>
      <c r="H282" s="44" t="n">
        <f aca="false">IF(ISBLANK('Raw - Sessions'!U256),"",'Raw - Sessions'!AD256)</f>
        <v>0</v>
      </c>
      <c r="I282" s="44" t="n">
        <f aca="false">IF(ISBLANK('Raw - Sessions'!U256),"",'Raw - Sessions'!P256)</f>
        <v>0.03</v>
      </c>
      <c r="J282" s="44" t="n">
        <f aca="false">IF(E282="","",E282+F282+G282+'Raw - Sessions'!AA256+'Raw - Sessions'!AB256+'Raw - Sessions'!AC256)</f>
        <v>0.03</v>
      </c>
      <c r="K282" s="44" t="n">
        <f aca="false">IF(E282="","",I282-J282)</f>
        <v>0</v>
      </c>
      <c r="L282" s="72" t="str">
        <f aca="false">IF(E282="","",IF(ABS(K282)&gt;0.02,"MISMATCH","OK"))</f>
        <v>OK</v>
      </c>
      <c r="M282" s="44" t="n">
        <f aca="false">IF(ISBLANK('Raw - Sessions'!U256),"",'Raw - Sessions'!Q256)</f>
        <v>0.03</v>
      </c>
      <c r="N282" s="44" t="n">
        <f aca="false">IF(E282="","",I282-G282-H282-F282)</f>
        <v>0.03</v>
      </c>
      <c r="O282" s="44" t="n">
        <f aca="false">IF(E282="","",M282-N282)</f>
        <v>0</v>
      </c>
      <c r="P282" s="72" t="str">
        <f aca="false">IF(E282="","",IF(ABS(O282)&gt;0.02,"MISMATCH","OK"))</f>
        <v>OK</v>
      </c>
    </row>
    <row r="283" customFormat="false" ht="15" hidden="false" customHeight="false" outlineLevel="0" collapsed="false">
      <c r="A283" s="70" t="n">
        <f aca="false">'Raw - Sessions'!A257</f>
        <v>5220532091</v>
      </c>
      <c r="B283" s="70" t="str">
        <f aca="false">'Raw - Sessions'!K257</f>
        <v>BARBOURVILLE / CITY HALL</v>
      </c>
      <c r="C283" s="71" t="n">
        <f aca="false">IF(ISBLANK('Raw - Sessions'!U257),"",'Raw - Sessions'!T257)</f>
        <v>0.5</v>
      </c>
      <c r="D283" s="38" t="n">
        <f aca="false">'Raw - Sessions'!E257</f>
        <v>15.9549</v>
      </c>
      <c r="E283" s="42" t="n">
        <f aca="false">IF(ISBLANK('Raw - Sessions'!U257),"",'Raw - Sessions'!U257)</f>
        <v>10.01</v>
      </c>
      <c r="F283" s="42" t="n">
        <f aca="false">IF(ISBLANK('Raw - Sessions'!U257),"",'Raw - Sessions'!Z257)</f>
        <v>0.6</v>
      </c>
      <c r="G283" s="42" t="n">
        <f aca="false">IF(ISBLANK('Raw - Sessions'!U257),"",'Raw - Sessions'!AE257)</f>
        <v>0.99</v>
      </c>
      <c r="H283" s="42" t="n">
        <f aca="false">IF(ISBLANK('Raw - Sessions'!U257),"",'Raw - Sessions'!AD257)</f>
        <v>1</v>
      </c>
      <c r="I283" s="42" t="n">
        <f aca="false">IF(ISBLANK('Raw - Sessions'!U257),"",'Raw - Sessions'!P257)</f>
        <v>11.6</v>
      </c>
      <c r="J283" s="42" t="n">
        <f aca="false">IF(E283="","",E283+F283+G283+'Raw - Sessions'!AA257+'Raw - Sessions'!AB257+'Raw - Sessions'!AC257)</f>
        <v>11.6</v>
      </c>
      <c r="K283" s="42" t="n">
        <f aca="false">IF(E283="","",I283-J283)</f>
        <v>0</v>
      </c>
      <c r="L283" s="70" t="str">
        <f aca="false">IF(E283="","",IF(ABS(K283)&gt;0.02,"MISMATCH","OK"))</f>
        <v>OK</v>
      </c>
      <c r="M283" s="42" t="n">
        <f aca="false">IF(ISBLANK('Raw - Sessions'!U257),"",'Raw - Sessions'!Q257)</f>
        <v>9.01</v>
      </c>
      <c r="N283" s="42" t="n">
        <f aca="false">IF(E283="","",I283-G283-H283-F283)</f>
        <v>9.01</v>
      </c>
      <c r="O283" s="42" t="n">
        <f aca="false">IF(E283="","",M283-N283)</f>
        <v>0</v>
      </c>
      <c r="P283" s="70" t="str">
        <f aca="false">IF(E283="","",IF(ABS(O283)&gt;0.02,"MISMATCH","OK"))</f>
        <v>OK</v>
      </c>
    </row>
    <row r="284" customFormat="false" ht="15" hidden="false" customHeight="false" outlineLevel="0" collapsed="false">
      <c r="A284" s="72" t="n">
        <f aca="false">'Raw - Sessions'!A258</f>
        <v>5220819931</v>
      </c>
      <c r="B284" s="72" t="str">
        <f aca="false">'Raw - Sessions'!K258</f>
        <v>BARBOURVILLE / CITY HALL</v>
      </c>
      <c r="C284" s="73" t="n">
        <f aca="false">IF(ISBLANK('Raw - Sessions'!U258),"",'Raw - Sessions'!T258)</f>
        <v>0.5</v>
      </c>
      <c r="D284" s="39" t="n">
        <f aca="false">'Raw - Sessions'!E258</f>
        <v>15.5354</v>
      </c>
      <c r="E284" s="44" t="n">
        <f aca="false">IF(ISBLANK('Raw - Sessions'!U258),"",'Raw - Sessions'!U258)</f>
        <v>9.92</v>
      </c>
      <c r="F284" s="44" t="n">
        <f aca="false">IF(ISBLANK('Raw - Sessions'!U258),"",'Raw - Sessions'!Z258)</f>
        <v>0.6</v>
      </c>
      <c r="G284" s="44" t="n">
        <f aca="false">IF(ISBLANK('Raw - Sessions'!U258),"",'Raw - Sessions'!AE258)</f>
        <v>0.49</v>
      </c>
      <c r="H284" s="44" t="n">
        <f aca="false">IF(ISBLANK('Raw - Sessions'!U258),"",'Raw - Sessions'!AD258)</f>
        <v>0.99</v>
      </c>
      <c r="I284" s="44" t="n">
        <f aca="false">IF(ISBLANK('Raw - Sessions'!U258),"",'Raw - Sessions'!P258)</f>
        <v>11.01</v>
      </c>
      <c r="J284" s="44" t="n">
        <f aca="false">IF(E284="","",E284+F284+G284+'Raw - Sessions'!AA258+'Raw - Sessions'!AB258+'Raw - Sessions'!AC258)</f>
        <v>11.01</v>
      </c>
      <c r="K284" s="44" t="n">
        <f aca="false">IF(E284="","",I284-J284)</f>
        <v>0</v>
      </c>
      <c r="L284" s="72" t="str">
        <f aca="false">IF(E284="","",IF(ABS(K284)&gt;0.02,"MISMATCH","OK"))</f>
        <v>OK</v>
      </c>
      <c r="M284" s="44" t="n">
        <f aca="false">IF(ISBLANK('Raw - Sessions'!U258),"",'Raw - Sessions'!Q258)</f>
        <v>8.93</v>
      </c>
      <c r="N284" s="44" t="n">
        <f aca="false">IF(E284="","",I284-G284-H284-F284)</f>
        <v>8.93</v>
      </c>
      <c r="O284" s="44" t="n">
        <f aca="false">IF(E284="","",M284-N284)</f>
        <v>0</v>
      </c>
      <c r="P284" s="72" t="str">
        <f aca="false">IF(E284="","",IF(ABS(O284)&gt;0.02,"MISMATCH","OK"))</f>
        <v>OK</v>
      </c>
    </row>
    <row r="285" customFormat="false" ht="15" hidden="false" customHeight="false" outlineLevel="0" collapsed="false">
      <c r="A285" s="70" t="n">
        <f aca="false">'Raw - Sessions'!A259</f>
        <v>5223513971</v>
      </c>
      <c r="B285" s="70" t="str">
        <f aca="false">'Raw - Sessions'!K259</f>
        <v>BARBOURVILLE / CITY HALL</v>
      </c>
      <c r="C285" s="71" t="n">
        <f aca="false">IF(ISBLANK('Raw - Sessions'!U259),"",'Raw - Sessions'!T259)</f>
        <v>0.5</v>
      </c>
      <c r="D285" s="38" t="n">
        <f aca="false">'Raw - Sessions'!E259</f>
        <v>37.6015</v>
      </c>
      <c r="E285" s="42" t="n">
        <f aca="false">IF(ISBLANK('Raw - Sessions'!U259),"",'Raw - Sessions'!U259)</f>
        <v>23.86</v>
      </c>
      <c r="F285" s="42" t="n">
        <f aca="false">IF(ISBLANK('Raw - Sessions'!U259),"",'Raw - Sessions'!Z259)</f>
        <v>1.43</v>
      </c>
      <c r="G285" s="42" t="n">
        <f aca="false">IF(ISBLANK('Raw - Sessions'!U259),"",'Raw - Sessions'!AE259)</f>
        <v>0.49</v>
      </c>
      <c r="H285" s="42" t="n">
        <f aca="false">IF(ISBLANK('Raw - Sessions'!U259),"",'Raw - Sessions'!AD259)</f>
        <v>2.39</v>
      </c>
      <c r="I285" s="42" t="n">
        <f aca="false">IF(ISBLANK('Raw - Sessions'!U259),"",'Raw - Sessions'!P259)</f>
        <v>25.78</v>
      </c>
      <c r="J285" s="42" t="n">
        <f aca="false">IF(E285="","",E285+F285+G285+'Raw - Sessions'!AA259+'Raw - Sessions'!AB259+'Raw - Sessions'!AC259)</f>
        <v>25.78</v>
      </c>
      <c r="K285" s="42" t="n">
        <f aca="false">IF(E285="","",I285-J285)</f>
        <v>0</v>
      </c>
      <c r="L285" s="70" t="str">
        <f aca="false">IF(E285="","",IF(ABS(K285)&gt;0.02,"MISMATCH","OK"))</f>
        <v>OK</v>
      </c>
      <c r="M285" s="42" t="n">
        <f aca="false">IF(ISBLANK('Raw - Sessions'!U259),"",'Raw - Sessions'!Q259)</f>
        <v>21.47</v>
      </c>
      <c r="N285" s="42" t="n">
        <f aca="false">IF(E285="","",I285-G285-H285-F285)</f>
        <v>21.47</v>
      </c>
      <c r="O285" s="42" t="n">
        <f aca="false">IF(E285="","",M285-N285)</f>
        <v>0</v>
      </c>
      <c r="P285" s="70" t="str">
        <f aca="false">IF(E285="","",IF(ABS(O285)&gt;0.02,"MISMATCH","OK"))</f>
        <v>OK</v>
      </c>
    </row>
    <row r="286" customFormat="false" ht="15" hidden="false" customHeight="false" outlineLevel="0" collapsed="false">
      <c r="A286" s="72" t="n">
        <f aca="false">'Raw - Sessions'!A260</f>
        <v>5224570431</v>
      </c>
      <c r="B286" s="72" t="str">
        <f aca="false">'Raw - Sessions'!K260</f>
        <v>BARBOURVILLE / CITY HALL</v>
      </c>
      <c r="C286" s="73" t="n">
        <f aca="false">IF(ISBLANK('Raw - Sessions'!U260),"",'Raw - Sessions'!T260)</f>
        <v>0.5</v>
      </c>
      <c r="D286" s="39" t="n">
        <f aca="false">'Raw - Sessions'!E260</f>
        <v>20.8099</v>
      </c>
      <c r="E286" s="44" t="n">
        <f aca="false">IF(ISBLANK('Raw - Sessions'!U260),"",'Raw - Sessions'!U260)</f>
        <v>13.9</v>
      </c>
      <c r="F286" s="44" t="n">
        <f aca="false">IF(ISBLANK('Raw - Sessions'!U260),"",'Raw - Sessions'!Z260)</f>
        <v>0.83</v>
      </c>
      <c r="G286" s="44" t="n">
        <f aca="false">IF(ISBLANK('Raw - Sessions'!U260),"",'Raw - Sessions'!AE260)</f>
        <v>0.49</v>
      </c>
      <c r="H286" s="44" t="n">
        <f aca="false">IF(ISBLANK('Raw - Sessions'!U260),"",'Raw - Sessions'!AD260)</f>
        <v>1.39</v>
      </c>
      <c r="I286" s="44" t="n">
        <f aca="false">IF(ISBLANK('Raw - Sessions'!U260),"",'Raw - Sessions'!P260)</f>
        <v>15.22</v>
      </c>
      <c r="J286" s="44" t="n">
        <f aca="false">IF(E286="","",E286+F286+G286+'Raw - Sessions'!AA260+'Raw - Sessions'!AB260+'Raw - Sessions'!AC260)</f>
        <v>15.22</v>
      </c>
      <c r="K286" s="44" t="n">
        <f aca="false">IF(E286="","",I286-J286)</f>
        <v>0</v>
      </c>
      <c r="L286" s="72" t="str">
        <f aca="false">IF(E286="","",IF(ABS(K286)&gt;0.02,"MISMATCH","OK"))</f>
        <v>OK</v>
      </c>
      <c r="M286" s="44" t="n">
        <f aca="false">IF(ISBLANK('Raw - Sessions'!U260),"",'Raw - Sessions'!Q260)</f>
        <v>12.51</v>
      </c>
      <c r="N286" s="44" t="n">
        <f aca="false">IF(E286="","",I286-G286-H286-F286)</f>
        <v>12.51</v>
      </c>
      <c r="O286" s="44" t="n">
        <f aca="false">IF(E286="","",M286-N286)</f>
        <v>0</v>
      </c>
      <c r="P286" s="72" t="str">
        <f aca="false">IF(E286="","",IF(ABS(O286)&gt;0.02,"MISMATCH","OK"))</f>
        <v>OK</v>
      </c>
    </row>
    <row r="287" customFormat="false" ht="15" hidden="false" customHeight="false" outlineLevel="0" collapsed="false">
      <c r="A287" s="70" t="n">
        <f aca="false">'Raw - Sessions'!A261</f>
        <v>5226248341</v>
      </c>
      <c r="B287" s="70" t="str">
        <f aca="false">'Raw - Sessions'!K261</f>
        <v>BARBOURVILLE / CITY HALL</v>
      </c>
      <c r="C287" s="71" t="n">
        <f aca="false">IF(ISBLANK('Raw - Sessions'!U261),"",'Raw - Sessions'!T261)</f>
        <v>0.5</v>
      </c>
      <c r="D287" s="38" t="n">
        <f aca="false">'Raw - Sessions'!E261</f>
        <v>27.5466</v>
      </c>
      <c r="E287" s="42" t="n">
        <f aca="false">IF(ISBLANK('Raw - Sessions'!U261),"",'Raw - Sessions'!U261)</f>
        <v>17.37</v>
      </c>
      <c r="F287" s="42" t="n">
        <f aca="false">IF(ISBLANK('Raw - Sessions'!U261),"",'Raw - Sessions'!Z261)</f>
        <v>1.05</v>
      </c>
      <c r="G287" s="42" t="n">
        <f aca="false">IF(ISBLANK('Raw - Sessions'!U261),"",'Raw - Sessions'!AE261)</f>
        <v>0</v>
      </c>
      <c r="H287" s="42" t="n">
        <f aca="false">IF(ISBLANK('Raw - Sessions'!U261),"",'Raw - Sessions'!AD261)</f>
        <v>1.74</v>
      </c>
      <c r="I287" s="42" t="n">
        <f aca="false">IF(ISBLANK('Raw - Sessions'!U261),"",'Raw - Sessions'!P261)</f>
        <v>18.42</v>
      </c>
      <c r="J287" s="42" t="n">
        <f aca="false">IF(E287="","",E287+F287+G287+'Raw - Sessions'!AA261+'Raw - Sessions'!AB261+'Raw - Sessions'!AC261)</f>
        <v>18.42</v>
      </c>
      <c r="K287" s="42" t="n">
        <f aca="false">IF(E287="","",I287-J287)</f>
        <v>0</v>
      </c>
      <c r="L287" s="70" t="str">
        <f aca="false">IF(E287="","",IF(ABS(K287)&gt;0.02,"MISMATCH","OK"))</f>
        <v>OK</v>
      </c>
      <c r="M287" s="42" t="n">
        <f aca="false">IF(ISBLANK('Raw - Sessions'!U261),"",'Raw - Sessions'!Q261)</f>
        <v>15.63</v>
      </c>
      <c r="N287" s="42" t="n">
        <f aca="false">IF(E287="","",I287-G287-H287-F287)</f>
        <v>15.63</v>
      </c>
      <c r="O287" s="42" t="n">
        <f aca="false">IF(E287="","",M287-N287)</f>
        <v>0</v>
      </c>
      <c r="P287" s="70" t="str">
        <f aca="false">IF(E287="","",IF(ABS(O287)&gt;0.02,"MISMATCH","OK"))</f>
        <v>OK</v>
      </c>
    </row>
    <row r="288" customFormat="false" ht="15" hidden="false" customHeight="false" outlineLevel="0" collapsed="false">
      <c r="A288" s="72" t="n">
        <f aca="false">'Raw - Sessions'!A262</f>
        <v>5228900601</v>
      </c>
      <c r="B288" s="72" t="str">
        <f aca="false">'Raw - Sessions'!K262</f>
        <v>BARBOURVILLE / CITY HALL</v>
      </c>
      <c r="C288" s="73" t="n">
        <f aca="false">IF(ISBLANK('Raw - Sessions'!U262),"",'Raw - Sessions'!T262)</f>
        <v>0.5</v>
      </c>
      <c r="D288" s="39" t="n">
        <f aca="false">'Raw - Sessions'!E262</f>
        <v>0</v>
      </c>
      <c r="E288" s="44" t="n">
        <f aca="false">IF(ISBLANK('Raw - Sessions'!U262),"",'Raw - Sessions'!U262)</f>
        <v>0.24</v>
      </c>
      <c r="F288" s="44" t="n">
        <f aca="false">IF(ISBLANK('Raw - Sessions'!U262),"",'Raw - Sessions'!Z262)</f>
        <v>0.01</v>
      </c>
      <c r="G288" s="44" t="n">
        <f aca="false">IF(ISBLANK('Raw - Sessions'!U262),"",'Raw - Sessions'!AE262)</f>
        <v>0</v>
      </c>
      <c r="H288" s="44" t="n">
        <f aca="false">IF(ISBLANK('Raw - Sessions'!U262),"",'Raw - Sessions'!AD262)</f>
        <v>0.02</v>
      </c>
      <c r="I288" s="44" t="n">
        <f aca="false">IF(ISBLANK('Raw - Sessions'!U262),"",'Raw - Sessions'!P262)</f>
        <v>0.25</v>
      </c>
      <c r="J288" s="44" t="n">
        <f aca="false">IF(E288="","",E288+F288+G288+'Raw - Sessions'!AA262+'Raw - Sessions'!AB262+'Raw - Sessions'!AC262)</f>
        <v>0.25</v>
      </c>
      <c r="K288" s="44" t="n">
        <f aca="false">IF(E288="","",I288-J288)</f>
        <v>0</v>
      </c>
      <c r="L288" s="72" t="str">
        <f aca="false">IF(E288="","",IF(ABS(K288)&gt;0.02,"MISMATCH","OK"))</f>
        <v>OK</v>
      </c>
      <c r="M288" s="44" t="n">
        <f aca="false">IF(ISBLANK('Raw - Sessions'!U262),"",'Raw - Sessions'!Q262)</f>
        <v>0.22</v>
      </c>
      <c r="N288" s="44" t="n">
        <f aca="false">IF(E288="","",I288-G288-H288-F288)</f>
        <v>0.22</v>
      </c>
      <c r="O288" s="44" t="n">
        <f aca="false">IF(E288="","",M288-N288)</f>
        <v>0</v>
      </c>
      <c r="P288" s="72" t="str">
        <f aca="false">IF(E288="","",IF(ABS(O288)&gt;0.02,"MISMATCH","OK"))</f>
        <v>OK</v>
      </c>
    </row>
    <row r="289" customFormat="false" ht="15" hidden="false" customHeight="false" outlineLevel="0" collapsed="false">
      <c r="A289" s="70" t="n">
        <f aca="false">'Raw - Sessions'!A263</f>
        <v>5229836451</v>
      </c>
      <c r="B289" s="70" t="str">
        <f aca="false">'Raw - Sessions'!K263</f>
        <v>BARBOURVILLE / CITY HALL</v>
      </c>
      <c r="C289" s="71" t="n">
        <f aca="false">IF(ISBLANK('Raw - Sessions'!U263),"",'Raw - Sessions'!T263)</f>
        <v>0.5</v>
      </c>
      <c r="D289" s="38" t="n">
        <f aca="false">'Raw - Sessions'!E263</f>
        <v>16.1638</v>
      </c>
      <c r="E289" s="42" t="n">
        <f aca="false">IF(ISBLANK('Raw - Sessions'!U263),"",'Raw - Sessions'!U263)</f>
        <v>12.07</v>
      </c>
      <c r="F289" s="42" t="n">
        <f aca="false">IF(ISBLANK('Raw - Sessions'!U263),"",'Raw - Sessions'!Z263)</f>
        <v>0.72</v>
      </c>
      <c r="G289" s="42" t="n">
        <f aca="false">IF(ISBLANK('Raw - Sessions'!U263),"",'Raw - Sessions'!AE263)</f>
        <v>0.99</v>
      </c>
      <c r="H289" s="42" t="n">
        <f aca="false">IF(ISBLANK('Raw - Sessions'!U263),"",'Raw - Sessions'!AD263)</f>
        <v>1.21</v>
      </c>
      <c r="I289" s="42" t="n">
        <f aca="false">IF(ISBLANK('Raw - Sessions'!U263),"",'Raw - Sessions'!P263)</f>
        <v>13.78</v>
      </c>
      <c r="J289" s="42" t="n">
        <f aca="false">IF(E289="","",E289+F289+G289+'Raw - Sessions'!AA263+'Raw - Sessions'!AB263+'Raw - Sessions'!AC263)</f>
        <v>13.78</v>
      </c>
      <c r="K289" s="42" t="n">
        <f aca="false">IF(E289="","",I289-J289)</f>
        <v>0</v>
      </c>
      <c r="L289" s="70" t="str">
        <f aca="false">IF(E289="","",IF(ABS(K289)&gt;0.02,"MISMATCH","OK"))</f>
        <v>OK</v>
      </c>
      <c r="M289" s="42" t="n">
        <f aca="false">IF(ISBLANK('Raw - Sessions'!U263),"",'Raw - Sessions'!Q263)</f>
        <v>10.86</v>
      </c>
      <c r="N289" s="42" t="n">
        <f aca="false">IF(E289="","",I289-G289-H289-F289)</f>
        <v>10.86</v>
      </c>
      <c r="O289" s="42" t="n">
        <f aca="false">IF(E289="","",M289-N289)</f>
        <v>0</v>
      </c>
      <c r="P289" s="70" t="str">
        <f aca="false">IF(E289="","",IF(ABS(O289)&gt;0.02,"MISMATCH","OK"))</f>
        <v>OK</v>
      </c>
    </row>
    <row r="290" customFormat="false" ht="15" hidden="false" customHeight="false" outlineLevel="0" collapsed="false">
      <c r="A290" s="72" t="n">
        <f aca="false">'Raw - Sessions'!A264</f>
        <v>5232460471</v>
      </c>
      <c r="B290" s="72" t="str">
        <f aca="false">'Raw - Sessions'!K264</f>
        <v>BARBOURVILLE / CITY HALL</v>
      </c>
      <c r="C290" s="73" t="n">
        <f aca="false">IF(ISBLANK('Raw - Sessions'!U264),"",'Raw - Sessions'!T264)</f>
        <v>0.5</v>
      </c>
      <c r="D290" s="39" t="n">
        <f aca="false">'Raw - Sessions'!E264</f>
        <v>46.2622</v>
      </c>
      <c r="E290" s="44" t="n">
        <f aca="false">IF(ISBLANK('Raw - Sessions'!U264),"",'Raw - Sessions'!U264)</f>
        <v>30.95</v>
      </c>
      <c r="F290" s="44" t="n">
        <f aca="false">IF(ISBLANK('Raw - Sessions'!U264),"",'Raw - Sessions'!Z264)</f>
        <v>1.86</v>
      </c>
      <c r="G290" s="44" t="n">
        <f aca="false">IF(ISBLANK('Raw - Sessions'!U264),"",'Raw - Sessions'!AE264)</f>
        <v>0.99</v>
      </c>
      <c r="H290" s="44" t="n">
        <f aca="false">IF(ISBLANK('Raw - Sessions'!U264),"",'Raw - Sessions'!AD264)</f>
        <v>3.09</v>
      </c>
      <c r="I290" s="44" t="n">
        <f aca="false">IF(ISBLANK('Raw - Sessions'!U264),"",'Raw - Sessions'!P264)</f>
        <v>33.8</v>
      </c>
      <c r="J290" s="44" t="n">
        <f aca="false">IF(E290="","",E290+F290+G290+'Raw - Sessions'!AA264+'Raw - Sessions'!AB264+'Raw - Sessions'!AC264)</f>
        <v>33.8</v>
      </c>
      <c r="K290" s="44" t="n">
        <f aca="false">IF(E290="","",I290-J290)</f>
        <v>0</v>
      </c>
      <c r="L290" s="72" t="str">
        <f aca="false">IF(E290="","",IF(ABS(K290)&gt;0.02,"MISMATCH","OK"))</f>
        <v>OK</v>
      </c>
      <c r="M290" s="44" t="n">
        <f aca="false">IF(ISBLANK('Raw - Sessions'!U264),"",'Raw - Sessions'!Q264)</f>
        <v>27.86</v>
      </c>
      <c r="N290" s="44" t="n">
        <f aca="false">IF(E290="","",I290-G290-H290-F290)</f>
        <v>27.86</v>
      </c>
      <c r="O290" s="44" t="n">
        <f aca="false">IF(E290="","",M290-N290)</f>
        <v>0</v>
      </c>
      <c r="P290" s="72" t="str">
        <f aca="false">IF(E290="","",IF(ABS(O290)&gt;0.02,"MISMATCH","OK"))</f>
        <v>OK</v>
      </c>
    </row>
    <row r="291" customFormat="false" ht="15" hidden="false" customHeight="false" outlineLevel="0" collapsed="false">
      <c r="A291" s="70" t="n">
        <f aca="false">'Raw - Sessions'!A265</f>
        <v>5241344421</v>
      </c>
      <c r="B291" s="70" t="str">
        <f aca="false">'Raw - Sessions'!K265</f>
        <v>BARBOURVILLE / CITY HALL</v>
      </c>
      <c r="C291" s="71" t="n">
        <f aca="false">IF(ISBLANK('Raw - Sessions'!U265),"",'Raw - Sessions'!T265)</f>
        <v>0.5</v>
      </c>
      <c r="D291" s="38" t="n">
        <f aca="false">'Raw - Sessions'!E265</f>
        <v>33.7246</v>
      </c>
      <c r="E291" s="42" t="n">
        <f aca="false">IF(ISBLANK('Raw - Sessions'!U265),"",'Raw - Sessions'!U265)</f>
        <v>21.19</v>
      </c>
      <c r="F291" s="42" t="n">
        <f aca="false">IF(ISBLANK('Raw - Sessions'!U265),"",'Raw - Sessions'!Z265)</f>
        <v>1.27</v>
      </c>
      <c r="G291" s="42" t="n">
        <f aca="false">IF(ISBLANK('Raw - Sessions'!U265),"",'Raw - Sessions'!AE265)</f>
        <v>0.49</v>
      </c>
      <c r="H291" s="42" t="n">
        <f aca="false">IF(ISBLANK('Raw - Sessions'!U265),"",'Raw - Sessions'!AD265)</f>
        <v>2.12</v>
      </c>
      <c r="I291" s="42" t="n">
        <f aca="false">IF(ISBLANK('Raw - Sessions'!U265),"",'Raw - Sessions'!P265)</f>
        <v>22.95</v>
      </c>
      <c r="J291" s="42" t="n">
        <f aca="false">IF(E291="","",E291+F291+G291+'Raw - Sessions'!AA265+'Raw - Sessions'!AB265+'Raw - Sessions'!AC265)</f>
        <v>22.95</v>
      </c>
      <c r="K291" s="42" t="n">
        <f aca="false">IF(E291="","",I291-J291)</f>
        <v>0</v>
      </c>
      <c r="L291" s="70" t="str">
        <f aca="false">IF(E291="","",IF(ABS(K291)&gt;0.02,"MISMATCH","OK"))</f>
        <v>OK</v>
      </c>
      <c r="M291" s="42" t="n">
        <f aca="false">IF(ISBLANK('Raw - Sessions'!U265),"",'Raw - Sessions'!Q265)</f>
        <v>19.07</v>
      </c>
      <c r="N291" s="42" t="n">
        <f aca="false">IF(E291="","",I291-G291-H291-F291)</f>
        <v>19.07</v>
      </c>
      <c r="O291" s="42" t="n">
        <f aca="false">IF(E291="","",M291-N291)</f>
        <v>0</v>
      </c>
      <c r="P291" s="70" t="str">
        <f aca="false">IF(E291="","",IF(ABS(O291)&gt;0.02,"MISMATCH","OK"))</f>
        <v>OK</v>
      </c>
    </row>
    <row r="292" customFormat="false" ht="15" hidden="false" customHeight="false" outlineLevel="0" collapsed="false">
      <c r="A292" s="72" t="n">
        <f aca="false">'Raw - Sessions'!A266</f>
        <v>5242944321</v>
      </c>
      <c r="B292" s="72" t="str">
        <f aca="false">'Raw - Sessions'!K266</f>
        <v>BARBOURVILLE / CITY HALL</v>
      </c>
      <c r="C292" s="73" t="n">
        <f aca="false">IF(ISBLANK('Raw - Sessions'!U266),"",'Raw - Sessions'!T266)</f>
        <v>0.5</v>
      </c>
      <c r="D292" s="39" t="n">
        <f aca="false">'Raw - Sessions'!E266</f>
        <v>26.944</v>
      </c>
      <c r="E292" s="44" t="n">
        <f aca="false">IF(ISBLANK('Raw - Sessions'!U266),"",'Raw - Sessions'!U266)</f>
        <v>16.91</v>
      </c>
      <c r="F292" s="44" t="n">
        <f aca="false">IF(ISBLANK('Raw - Sessions'!U266),"",'Raw - Sessions'!Z266)</f>
        <v>1.02</v>
      </c>
      <c r="G292" s="44" t="n">
        <f aca="false">IF(ISBLANK('Raw - Sessions'!U266),"",'Raw - Sessions'!AE266)</f>
        <v>0.49</v>
      </c>
      <c r="H292" s="44" t="n">
        <f aca="false">IF(ISBLANK('Raw - Sessions'!U266),"",'Raw - Sessions'!AD266)</f>
        <v>1.69</v>
      </c>
      <c r="I292" s="44" t="n">
        <f aca="false">IF(ISBLANK('Raw - Sessions'!U266),"",'Raw - Sessions'!P266)</f>
        <v>18.42</v>
      </c>
      <c r="J292" s="44" t="n">
        <f aca="false">IF(E292="","",E292+F292+G292+'Raw - Sessions'!AA266+'Raw - Sessions'!AB266+'Raw - Sessions'!AC266)</f>
        <v>18.42</v>
      </c>
      <c r="K292" s="44" t="n">
        <f aca="false">IF(E292="","",I292-J292)</f>
        <v>0</v>
      </c>
      <c r="L292" s="72" t="str">
        <f aca="false">IF(E292="","",IF(ABS(K292)&gt;0.02,"MISMATCH","OK"))</f>
        <v>OK</v>
      </c>
      <c r="M292" s="44" t="n">
        <f aca="false">IF(ISBLANK('Raw - Sessions'!U266),"",'Raw - Sessions'!Q266)</f>
        <v>15.22</v>
      </c>
      <c r="N292" s="44" t="n">
        <f aca="false">IF(E292="","",I292-G292-H292-F292)</f>
        <v>15.22</v>
      </c>
      <c r="O292" s="44" t="n">
        <f aca="false">IF(E292="","",M292-N292)</f>
        <v>0</v>
      </c>
      <c r="P292" s="72" t="str">
        <f aca="false">IF(E292="","",IF(ABS(O292)&gt;0.02,"MISMATCH","OK"))</f>
        <v>OK</v>
      </c>
    </row>
    <row r="293" customFormat="false" ht="15" hidden="false" customHeight="false" outlineLevel="0" collapsed="false">
      <c r="A293" s="70" t="n">
        <f aca="false">'Raw - Sessions'!A267</f>
        <v>5259491611</v>
      </c>
      <c r="B293" s="70" t="str">
        <f aca="false">'Raw - Sessions'!K267</f>
        <v>BARBOURVILLE / CITY HALL</v>
      </c>
      <c r="C293" s="71" t="n">
        <f aca="false">IF(ISBLANK('Raw - Sessions'!U267),"",'Raw - Sessions'!T267)</f>
        <v>0.5</v>
      </c>
      <c r="D293" s="38" t="n">
        <f aca="false">'Raw - Sessions'!E267</f>
        <v>39.3949</v>
      </c>
      <c r="E293" s="42" t="n">
        <f aca="false">IF(ISBLANK('Raw - Sessions'!U267),"",'Raw - Sessions'!U267)</f>
        <v>25.19</v>
      </c>
      <c r="F293" s="42" t="n">
        <f aca="false">IF(ISBLANK('Raw - Sessions'!U267),"",'Raw - Sessions'!Z267)</f>
        <v>1.51</v>
      </c>
      <c r="G293" s="42" t="n">
        <f aca="false">IF(ISBLANK('Raw - Sessions'!U267),"",'Raw - Sessions'!AE267)</f>
        <v>0</v>
      </c>
      <c r="H293" s="42" t="n">
        <f aca="false">IF(ISBLANK('Raw - Sessions'!U267),"",'Raw - Sessions'!AD267)</f>
        <v>2.52</v>
      </c>
      <c r="I293" s="42" t="n">
        <f aca="false">IF(ISBLANK('Raw - Sessions'!U267),"",'Raw - Sessions'!P267)</f>
        <v>26.7</v>
      </c>
      <c r="J293" s="42" t="n">
        <f aca="false">IF(E293="","",E293+F293+G293+'Raw - Sessions'!AA267+'Raw - Sessions'!AB267+'Raw - Sessions'!AC267)</f>
        <v>26.7</v>
      </c>
      <c r="K293" s="42" t="n">
        <f aca="false">IF(E293="","",I293-J293)</f>
        <v>0</v>
      </c>
      <c r="L293" s="70" t="str">
        <f aca="false">IF(E293="","",IF(ABS(K293)&gt;0.02,"MISMATCH","OK"))</f>
        <v>OK</v>
      </c>
      <c r="M293" s="42" t="n">
        <f aca="false">IF(ISBLANK('Raw - Sessions'!U267),"",'Raw - Sessions'!Q267)</f>
        <v>22.67</v>
      </c>
      <c r="N293" s="42" t="n">
        <f aca="false">IF(E293="","",I293-G293-H293-F293)</f>
        <v>22.67</v>
      </c>
      <c r="O293" s="42" t="n">
        <f aca="false">IF(E293="","",M293-N293)</f>
        <v>0</v>
      </c>
      <c r="P293" s="70" t="str">
        <f aca="false">IF(E293="","",IF(ABS(O293)&gt;0.02,"MISMATCH","OK"))</f>
        <v>OK</v>
      </c>
    </row>
    <row r="294" customFormat="false" ht="15" hidden="false" customHeight="false" outlineLevel="0" collapsed="false">
      <c r="A294" s="72" t="n">
        <f aca="false">'Raw - Sessions'!A268</f>
        <v>5259865251</v>
      </c>
      <c r="B294" s="72" t="str">
        <f aca="false">'Raw - Sessions'!K268</f>
        <v>BARBOURVILLE / CITY HALL</v>
      </c>
      <c r="C294" s="73" t="n">
        <f aca="false">IF(ISBLANK('Raw - Sessions'!U268),"",'Raw - Sessions'!T268)</f>
        <v>0.5</v>
      </c>
      <c r="D294" s="39" t="n">
        <f aca="false">'Raw - Sessions'!E268</f>
        <v>8.4955</v>
      </c>
      <c r="E294" s="44" t="n">
        <f aca="false">IF(ISBLANK('Raw - Sessions'!U268),"",'Raw - Sessions'!U268)</f>
        <v>5.61</v>
      </c>
      <c r="F294" s="44" t="n">
        <f aca="false">IF(ISBLANK('Raw - Sessions'!U268),"",'Raw - Sessions'!Z268)</f>
        <v>0.34</v>
      </c>
      <c r="G294" s="44" t="n">
        <f aca="false">IF(ISBLANK('Raw - Sessions'!U268),"",'Raw - Sessions'!AE268)</f>
        <v>0.49</v>
      </c>
      <c r="H294" s="44" t="n">
        <f aca="false">IF(ISBLANK('Raw - Sessions'!U268),"",'Raw - Sessions'!AD268)</f>
        <v>0.56</v>
      </c>
      <c r="I294" s="44" t="n">
        <f aca="false">IF(ISBLANK('Raw - Sessions'!U268),"",'Raw - Sessions'!P268)</f>
        <v>6.44</v>
      </c>
      <c r="J294" s="44" t="n">
        <f aca="false">IF(E294="","",E294+F294+G294+'Raw - Sessions'!AA268+'Raw - Sessions'!AB268+'Raw - Sessions'!AC268)</f>
        <v>6.44</v>
      </c>
      <c r="K294" s="44" t="n">
        <f aca="false">IF(E294="","",I294-J294)</f>
        <v>0</v>
      </c>
      <c r="L294" s="72" t="str">
        <f aca="false">IF(E294="","",IF(ABS(K294)&gt;0.02,"MISMATCH","OK"))</f>
        <v>OK</v>
      </c>
      <c r="M294" s="44" t="n">
        <f aca="false">IF(ISBLANK('Raw - Sessions'!U268),"",'Raw - Sessions'!Q268)</f>
        <v>5.05</v>
      </c>
      <c r="N294" s="44" t="n">
        <f aca="false">IF(E294="","",I294-G294-H294-F294)</f>
        <v>5.05</v>
      </c>
      <c r="O294" s="44" t="n">
        <f aca="false">IF(E294="","",M294-N294)</f>
        <v>0</v>
      </c>
      <c r="P294" s="72" t="str">
        <f aca="false">IF(E294="","",IF(ABS(O294)&gt;0.02,"MISMATCH","OK"))</f>
        <v>OK</v>
      </c>
    </row>
    <row r="295" customFormat="false" ht="15" hidden="false" customHeight="false" outlineLevel="0" collapsed="false">
      <c r="A295" s="70" t="n">
        <f aca="false">'Raw - Sessions'!A269</f>
        <v>5262893371</v>
      </c>
      <c r="B295" s="70" t="str">
        <f aca="false">'Raw - Sessions'!K269</f>
        <v>BARBOURVILLE / CITY HALL</v>
      </c>
      <c r="C295" s="71" t="n">
        <f aca="false">IF(ISBLANK('Raw - Sessions'!U269),"",'Raw - Sessions'!T269)</f>
        <v>0.5</v>
      </c>
      <c r="D295" s="38" t="n">
        <f aca="false">'Raw - Sessions'!E269</f>
        <v>27.8244</v>
      </c>
      <c r="E295" s="42" t="n">
        <f aca="false">IF(ISBLANK('Raw - Sessions'!U269),"",'Raw - Sessions'!U269)</f>
        <v>18.06</v>
      </c>
      <c r="F295" s="42" t="n">
        <f aca="false">IF(ISBLANK('Raw - Sessions'!U269),"",'Raw - Sessions'!Z269)</f>
        <v>1.08</v>
      </c>
      <c r="G295" s="42" t="n">
        <f aca="false">IF(ISBLANK('Raw - Sessions'!U269),"",'Raw - Sessions'!AE269)</f>
        <v>0</v>
      </c>
      <c r="H295" s="42" t="n">
        <f aca="false">IF(ISBLANK('Raw - Sessions'!U269),"",'Raw - Sessions'!AD269)</f>
        <v>1.81</v>
      </c>
      <c r="I295" s="42" t="n">
        <f aca="false">IF(ISBLANK('Raw - Sessions'!U269),"",'Raw - Sessions'!P269)</f>
        <v>19.14</v>
      </c>
      <c r="J295" s="42" t="n">
        <f aca="false">IF(E295="","",E295+F295+G295+'Raw - Sessions'!AA269+'Raw - Sessions'!AB269+'Raw - Sessions'!AC269)</f>
        <v>19.14</v>
      </c>
      <c r="K295" s="42" t="n">
        <f aca="false">IF(E295="","",I295-J295)</f>
        <v>0</v>
      </c>
      <c r="L295" s="70" t="str">
        <f aca="false">IF(E295="","",IF(ABS(K295)&gt;0.02,"MISMATCH","OK"))</f>
        <v>OK</v>
      </c>
      <c r="M295" s="42" t="n">
        <f aca="false">IF(ISBLANK('Raw - Sessions'!U269),"",'Raw - Sessions'!Q269)</f>
        <v>16.25</v>
      </c>
      <c r="N295" s="42" t="n">
        <f aca="false">IF(E295="","",I295-G295-H295-F295)</f>
        <v>16.25</v>
      </c>
      <c r="O295" s="42" t="n">
        <f aca="false">IF(E295="","",M295-N295)</f>
        <v>0</v>
      </c>
      <c r="P295" s="70" t="str">
        <f aca="false">IF(E295="","",IF(ABS(O295)&gt;0.02,"MISMATCH","OK"))</f>
        <v>OK</v>
      </c>
    </row>
    <row r="296" customFormat="false" ht="15" hidden="false" customHeight="false" outlineLevel="0" collapsed="false">
      <c r="A296" s="72" t="n">
        <f aca="false">'Raw - Sessions'!A270</f>
        <v>5269187201</v>
      </c>
      <c r="B296" s="72" t="str">
        <f aca="false">'Raw - Sessions'!K270</f>
        <v>BARBOURVILLE / CITY HALL</v>
      </c>
      <c r="C296" s="73" t="n">
        <f aca="false">IF(ISBLANK('Raw - Sessions'!U270),"",'Raw - Sessions'!T270)</f>
        <v>0.5</v>
      </c>
      <c r="D296" s="39" t="n">
        <f aca="false">'Raw - Sessions'!E270</f>
        <v>29.5188</v>
      </c>
      <c r="E296" s="44" t="n">
        <f aca="false">IF(ISBLANK('Raw - Sessions'!U270),"",'Raw - Sessions'!U270)</f>
        <v>18.67</v>
      </c>
      <c r="F296" s="44" t="n">
        <f aca="false">IF(ISBLANK('Raw - Sessions'!U270),"",'Raw - Sessions'!Z270)</f>
        <v>1.12</v>
      </c>
      <c r="G296" s="44" t="n">
        <f aca="false">IF(ISBLANK('Raw - Sessions'!U270),"",'Raw - Sessions'!AE270)</f>
        <v>0.49</v>
      </c>
      <c r="H296" s="44" t="n">
        <f aca="false">IF(ISBLANK('Raw - Sessions'!U270),"",'Raw - Sessions'!AD270)</f>
        <v>1.87</v>
      </c>
      <c r="I296" s="44" t="n">
        <f aca="false">IF(ISBLANK('Raw - Sessions'!U270),"",'Raw - Sessions'!P270)</f>
        <v>20.28</v>
      </c>
      <c r="J296" s="44" t="n">
        <f aca="false">IF(E296="","",E296+F296+G296+'Raw - Sessions'!AA270+'Raw - Sessions'!AB270+'Raw - Sessions'!AC270)</f>
        <v>20.28</v>
      </c>
      <c r="K296" s="44" t="n">
        <f aca="false">IF(E296="","",I296-J296)</f>
        <v>0</v>
      </c>
      <c r="L296" s="72" t="str">
        <f aca="false">IF(E296="","",IF(ABS(K296)&gt;0.02,"MISMATCH","OK"))</f>
        <v>OK</v>
      </c>
      <c r="M296" s="44" t="n">
        <f aca="false">IF(ISBLANK('Raw - Sessions'!U270),"",'Raw - Sessions'!Q270)</f>
        <v>16.8</v>
      </c>
      <c r="N296" s="44" t="n">
        <f aca="false">IF(E296="","",I296-G296-H296-F296)</f>
        <v>16.8</v>
      </c>
      <c r="O296" s="44" t="n">
        <f aca="false">IF(E296="","",M296-N296)</f>
        <v>0</v>
      </c>
      <c r="P296" s="72" t="str">
        <f aca="false">IF(E296="","",IF(ABS(O296)&gt;0.02,"MISMATCH","OK"))</f>
        <v>OK</v>
      </c>
    </row>
    <row r="297" customFormat="false" ht="15" hidden="false" customHeight="false" outlineLevel="0" collapsed="false">
      <c r="A297" s="70" t="n">
        <f aca="false">'Raw - Sessions'!A271</f>
        <v>5269709731</v>
      </c>
      <c r="B297" s="70" t="str">
        <f aca="false">'Raw - Sessions'!K271</f>
        <v>BARBOURVILLE / CITY HALL</v>
      </c>
      <c r="C297" s="71" t="str">
        <f aca="false">IF(ISBLANK('Raw - Sessions'!U271),"",'Raw - Sessions'!T271)</f>
        <v/>
      </c>
      <c r="D297" s="38" t="n">
        <f aca="false">'Raw - Sessions'!E271</f>
        <v>0</v>
      </c>
      <c r="E297" s="42" t="str">
        <f aca="false">IF(ISBLANK('Raw - Sessions'!U271),"",'Raw - Sessions'!U271)</f>
        <v/>
      </c>
      <c r="F297" s="42" t="str">
        <f aca="false">IF(ISBLANK('Raw - Sessions'!U271),"",'Raw - Sessions'!Z271)</f>
        <v/>
      </c>
      <c r="G297" s="42" t="str">
        <f aca="false">IF(ISBLANK('Raw - Sessions'!U271),"",'Raw - Sessions'!AE271)</f>
        <v/>
      </c>
      <c r="H297" s="42" t="str">
        <f aca="false">IF(ISBLANK('Raw - Sessions'!U271),"",'Raw - Sessions'!AD271)</f>
        <v/>
      </c>
      <c r="I297" s="42" t="str">
        <f aca="false">IF(ISBLANK('Raw - Sessions'!U271),"",'Raw - Sessions'!P271)</f>
        <v/>
      </c>
      <c r="J297" s="42" t="str">
        <f aca="false">IF(E297="","",E297+F297+G297+'Raw - Sessions'!AA271+'Raw - Sessions'!AB271+'Raw - Sessions'!AC271)</f>
        <v/>
      </c>
      <c r="K297" s="42" t="str">
        <f aca="false">IF(E297="","",I297-J297)</f>
        <v/>
      </c>
      <c r="L297" s="70" t="str">
        <f aca="false">IF(E297="","",IF(ABS(K297)&gt;0.02,"MISMATCH","OK"))</f>
        <v/>
      </c>
      <c r="M297" s="42" t="str">
        <f aca="false">IF(ISBLANK('Raw - Sessions'!U271),"",'Raw - Sessions'!Q271)</f>
        <v/>
      </c>
      <c r="N297" s="42" t="str">
        <f aca="false">IF(E297="","",I297-G297-H297-F297)</f>
        <v/>
      </c>
      <c r="O297" s="42" t="str">
        <f aca="false">IF(E297="","",M297-N297)</f>
        <v/>
      </c>
      <c r="P297" s="70" t="str">
        <f aca="false">IF(E297="","",IF(ABS(O297)&gt;0.02,"MISMATCH","OK"))</f>
        <v/>
      </c>
    </row>
    <row r="298" customFormat="false" ht="15" hidden="false" customHeight="false" outlineLevel="0" collapsed="false">
      <c r="A298" s="72" t="n">
        <f aca="false">'Raw - Sessions'!A272</f>
        <v>5273882451</v>
      </c>
      <c r="B298" s="72" t="str">
        <f aca="false">'Raw - Sessions'!K272</f>
        <v>BARBOURVILLE / CITY HALL</v>
      </c>
      <c r="C298" s="73" t="str">
        <f aca="false">IF(ISBLANK('Raw - Sessions'!U272),"",'Raw - Sessions'!T272)</f>
        <v/>
      </c>
      <c r="D298" s="39" t="n">
        <f aca="false">'Raw - Sessions'!E272</f>
        <v>0</v>
      </c>
      <c r="E298" s="44" t="str">
        <f aca="false">IF(ISBLANK('Raw - Sessions'!U272),"",'Raw - Sessions'!U272)</f>
        <v/>
      </c>
      <c r="F298" s="44" t="str">
        <f aca="false">IF(ISBLANK('Raw - Sessions'!U272),"",'Raw - Sessions'!Z272)</f>
        <v/>
      </c>
      <c r="G298" s="44" t="str">
        <f aca="false">IF(ISBLANK('Raw - Sessions'!U272),"",'Raw - Sessions'!AE272)</f>
        <v/>
      </c>
      <c r="H298" s="44" t="str">
        <f aca="false">IF(ISBLANK('Raw - Sessions'!U272),"",'Raw - Sessions'!AD272)</f>
        <v/>
      </c>
      <c r="I298" s="44" t="str">
        <f aca="false">IF(ISBLANK('Raw - Sessions'!U272),"",'Raw - Sessions'!P272)</f>
        <v/>
      </c>
      <c r="J298" s="44" t="str">
        <f aca="false">IF(E298="","",E298+F298+G298+'Raw - Sessions'!AA272+'Raw - Sessions'!AB272+'Raw - Sessions'!AC272)</f>
        <v/>
      </c>
      <c r="K298" s="44" t="str">
        <f aca="false">IF(E298="","",I298-J298)</f>
        <v/>
      </c>
      <c r="L298" s="72" t="str">
        <f aca="false">IF(E298="","",IF(ABS(K298)&gt;0.02,"MISMATCH","OK"))</f>
        <v/>
      </c>
      <c r="M298" s="44" t="str">
        <f aca="false">IF(ISBLANK('Raw - Sessions'!U272),"",'Raw - Sessions'!Q272)</f>
        <v/>
      </c>
      <c r="N298" s="44" t="str">
        <f aca="false">IF(E298="","",I298-G298-H298-F298)</f>
        <v/>
      </c>
      <c r="O298" s="44" t="str">
        <f aca="false">IF(E298="","",M298-N298)</f>
        <v/>
      </c>
      <c r="P298" s="72" t="str">
        <f aca="false">IF(E298="","",IF(ABS(O298)&gt;0.02,"MISMATCH","OK"))</f>
        <v/>
      </c>
    </row>
    <row r="299" customFormat="false" ht="15" hidden="false" customHeight="false" outlineLevel="0" collapsed="false">
      <c r="A299" s="70" t="n">
        <f aca="false">'Raw - Sessions'!A273</f>
        <v>5273887981</v>
      </c>
      <c r="B299" s="70" t="str">
        <f aca="false">'Raw - Sessions'!K273</f>
        <v>BARBOURVILLE / CITY HALL</v>
      </c>
      <c r="C299" s="71" t="n">
        <f aca="false">IF(ISBLANK('Raw - Sessions'!U273),"",'Raw - Sessions'!T273)</f>
        <v>0.5</v>
      </c>
      <c r="D299" s="38" t="n">
        <f aca="false">'Raw - Sessions'!E273</f>
        <v>0</v>
      </c>
      <c r="E299" s="42" t="n">
        <f aca="false">IF(ISBLANK('Raw - Sessions'!U273),"",'Raw - Sessions'!U273)</f>
        <v>0.27</v>
      </c>
      <c r="F299" s="42" t="n">
        <f aca="false">IF(ISBLANK('Raw - Sessions'!U273),"",'Raw - Sessions'!Z273)</f>
        <v>0.02</v>
      </c>
      <c r="G299" s="42" t="n">
        <f aca="false">IF(ISBLANK('Raw - Sessions'!U273),"",'Raw - Sessions'!AE273)</f>
        <v>0</v>
      </c>
      <c r="H299" s="42" t="n">
        <f aca="false">IF(ISBLANK('Raw - Sessions'!U273),"",'Raw - Sessions'!AD273)</f>
        <v>0.03</v>
      </c>
      <c r="I299" s="42" t="n">
        <f aca="false">IF(ISBLANK('Raw - Sessions'!U273),"",'Raw - Sessions'!P273)</f>
        <v>0.29</v>
      </c>
      <c r="J299" s="42" t="n">
        <f aca="false">IF(E299="","",E299+F299+G299+'Raw - Sessions'!AA273+'Raw - Sessions'!AB273+'Raw - Sessions'!AC273)</f>
        <v>0.29</v>
      </c>
      <c r="K299" s="42" t="n">
        <f aca="false">IF(E299="","",I299-J299)</f>
        <v>0</v>
      </c>
      <c r="L299" s="70" t="str">
        <f aca="false">IF(E299="","",IF(ABS(K299)&gt;0.02,"MISMATCH","OK"))</f>
        <v>OK</v>
      </c>
      <c r="M299" s="42" t="n">
        <f aca="false">IF(ISBLANK('Raw - Sessions'!U273),"",'Raw - Sessions'!Q273)</f>
        <v>0.24</v>
      </c>
      <c r="N299" s="42" t="n">
        <f aca="false">IF(E299="","",I299-G299-H299-F299)</f>
        <v>0.24</v>
      </c>
      <c r="O299" s="42" t="n">
        <f aca="false">IF(E299="","",M299-N299)</f>
        <v>0</v>
      </c>
      <c r="P299" s="70" t="str">
        <f aca="false">IF(E299="","",IF(ABS(O299)&gt;0.02,"MISMATCH","OK"))</f>
        <v>OK</v>
      </c>
    </row>
    <row r="300" customFormat="false" ht="15" hidden="false" customHeight="false" outlineLevel="0" collapsed="false">
      <c r="A300" s="72" t="n">
        <f aca="false">'Raw - Sessions'!A274</f>
        <v>5273905191</v>
      </c>
      <c r="B300" s="72" t="str">
        <f aca="false">'Raw - Sessions'!K274</f>
        <v>BARBOURVILLE / CITY HALL</v>
      </c>
      <c r="C300" s="73" t="n">
        <f aca="false">IF(ISBLANK('Raw - Sessions'!U274),"",'Raw - Sessions'!T274)</f>
        <v>0.5</v>
      </c>
      <c r="D300" s="39" t="n">
        <f aca="false">'Raw - Sessions'!E274</f>
        <v>0</v>
      </c>
      <c r="E300" s="44" t="n">
        <f aca="false">IF(ISBLANK('Raw - Sessions'!U274),"",'Raw - Sessions'!U274)</f>
        <v>0.2</v>
      </c>
      <c r="F300" s="44" t="n">
        <f aca="false">IF(ISBLANK('Raw - Sessions'!U274),"",'Raw - Sessions'!Z274)</f>
        <v>0.01</v>
      </c>
      <c r="G300" s="44" t="n">
        <f aca="false">IF(ISBLANK('Raw - Sessions'!U274),"",'Raw - Sessions'!AE274)</f>
        <v>0</v>
      </c>
      <c r="H300" s="44" t="n">
        <f aca="false">IF(ISBLANK('Raw - Sessions'!U274),"",'Raw - Sessions'!AD274)</f>
        <v>0.02</v>
      </c>
      <c r="I300" s="44" t="n">
        <f aca="false">IF(ISBLANK('Raw - Sessions'!U274),"",'Raw - Sessions'!P274)</f>
        <v>0.21</v>
      </c>
      <c r="J300" s="44" t="n">
        <f aca="false">IF(E300="","",E300+F300+G300+'Raw - Sessions'!AA274+'Raw - Sessions'!AB274+'Raw - Sessions'!AC274)</f>
        <v>0.21</v>
      </c>
      <c r="K300" s="44" t="n">
        <f aca="false">IF(E300="","",I300-J300)</f>
        <v>0</v>
      </c>
      <c r="L300" s="72" t="str">
        <f aca="false">IF(E300="","",IF(ABS(K300)&gt;0.02,"MISMATCH","OK"))</f>
        <v>OK</v>
      </c>
      <c r="M300" s="44" t="n">
        <f aca="false">IF(ISBLANK('Raw - Sessions'!U274),"",'Raw - Sessions'!Q274)</f>
        <v>0.18</v>
      </c>
      <c r="N300" s="44" t="n">
        <f aca="false">IF(E300="","",I300-G300-H300-F300)</f>
        <v>0.18</v>
      </c>
      <c r="O300" s="44" t="n">
        <f aca="false">IF(E300="","",M300-N300)</f>
        <v>0</v>
      </c>
      <c r="P300" s="72" t="str">
        <f aca="false">IF(E300="","",IF(ABS(O300)&gt;0.02,"MISMATCH","OK"))</f>
        <v>OK</v>
      </c>
    </row>
    <row r="301" customFormat="false" ht="15" hidden="false" customHeight="false" outlineLevel="0" collapsed="false">
      <c r="A301" s="70" t="n">
        <f aca="false">'Raw - Sessions'!A275</f>
        <v>5273930701</v>
      </c>
      <c r="B301" s="70" t="str">
        <f aca="false">'Raw - Sessions'!K275</f>
        <v>BARBOURVILLE / CITY HALL</v>
      </c>
      <c r="C301" s="71" t="str">
        <f aca="false">IF(ISBLANK('Raw - Sessions'!U275),"",'Raw - Sessions'!T275)</f>
        <v/>
      </c>
      <c r="D301" s="38" t="n">
        <f aca="false">'Raw - Sessions'!E275</f>
        <v>0</v>
      </c>
      <c r="E301" s="42" t="str">
        <f aca="false">IF(ISBLANK('Raw - Sessions'!U275),"",'Raw - Sessions'!U275)</f>
        <v/>
      </c>
      <c r="F301" s="42" t="str">
        <f aca="false">IF(ISBLANK('Raw - Sessions'!U275),"",'Raw - Sessions'!Z275)</f>
        <v/>
      </c>
      <c r="G301" s="42" t="str">
        <f aca="false">IF(ISBLANK('Raw - Sessions'!U275),"",'Raw - Sessions'!AE275)</f>
        <v/>
      </c>
      <c r="H301" s="42" t="str">
        <f aca="false">IF(ISBLANK('Raw - Sessions'!U275),"",'Raw - Sessions'!AD275)</f>
        <v/>
      </c>
      <c r="I301" s="42" t="str">
        <f aca="false">IF(ISBLANK('Raw - Sessions'!U275),"",'Raw - Sessions'!P275)</f>
        <v/>
      </c>
      <c r="J301" s="42" t="str">
        <f aca="false">IF(E301="","",E301+F301+G301+'Raw - Sessions'!AA275+'Raw - Sessions'!AB275+'Raw - Sessions'!AC275)</f>
        <v/>
      </c>
      <c r="K301" s="42" t="str">
        <f aca="false">IF(E301="","",I301-J301)</f>
        <v/>
      </c>
      <c r="L301" s="70" t="str">
        <f aca="false">IF(E301="","",IF(ABS(K301)&gt;0.02,"MISMATCH","OK"))</f>
        <v/>
      </c>
      <c r="M301" s="42" t="str">
        <f aca="false">IF(ISBLANK('Raw - Sessions'!U275),"",'Raw - Sessions'!Q275)</f>
        <v/>
      </c>
      <c r="N301" s="42" t="str">
        <f aca="false">IF(E301="","",I301-G301-H301-F301)</f>
        <v/>
      </c>
      <c r="O301" s="42" t="str">
        <f aca="false">IF(E301="","",M301-N301)</f>
        <v/>
      </c>
      <c r="P301" s="70" t="str">
        <f aca="false">IF(E301="","",IF(ABS(O301)&gt;0.02,"MISMATCH","OK"))</f>
        <v/>
      </c>
    </row>
    <row r="302" customFormat="false" ht="15" hidden="false" customHeight="false" outlineLevel="0" collapsed="false">
      <c r="A302" s="72" t="n">
        <f aca="false">'Raw - Sessions'!A276</f>
        <v>5273937091</v>
      </c>
      <c r="B302" s="72" t="str">
        <f aca="false">'Raw - Sessions'!K276</f>
        <v>BARBOURVILLE / CITY HALL</v>
      </c>
      <c r="C302" s="73" t="n">
        <f aca="false">IF(ISBLANK('Raw - Sessions'!U276),"",'Raw - Sessions'!T276)</f>
        <v>0.5</v>
      </c>
      <c r="D302" s="39" t="n">
        <f aca="false">'Raw - Sessions'!E276</f>
        <v>0</v>
      </c>
      <c r="E302" s="44" t="n">
        <f aca="false">IF(ISBLANK('Raw - Sessions'!U276),"",'Raw - Sessions'!U276)</f>
        <v>0.22</v>
      </c>
      <c r="F302" s="44" t="n">
        <f aca="false">IF(ISBLANK('Raw - Sessions'!U276),"",'Raw - Sessions'!Z276)</f>
        <v>0.01</v>
      </c>
      <c r="G302" s="44" t="n">
        <f aca="false">IF(ISBLANK('Raw - Sessions'!U276),"",'Raw - Sessions'!AE276)</f>
        <v>0</v>
      </c>
      <c r="H302" s="44" t="n">
        <f aca="false">IF(ISBLANK('Raw - Sessions'!U276),"",'Raw - Sessions'!AD276)</f>
        <v>0.02</v>
      </c>
      <c r="I302" s="44" t="n">
        <f aca="false">IF(ISBLANK('Raw - Sessions'!U276),"",'Raw - Sessions'!P276)</f>
        <v>0.23</v>
      </c>
      <c r="J302" s="44" t="n">
        <f aca="false">IF(E302="","",E302+F302+G302+'Raw - Sessions'!AA276+'Raw - Sessions'!AB276+'Raw - Sessions'!AC276)</f>
        <v>0.23</v>
      </c>
      <c r="K302" s="44" t="n">
        <f aca="false">IF(E302="","",I302-J302)</f>
        <v>0</v>
      </c>
      <c r="L302" s="72" t="str">
        <f aca="false">IF(E302="","",IF(ABS(K302)&gt;0.02,"MISMATCH","OK"))</f>
        <v>OK</v>
      </c>
      <c r="M302" s="44" t="n">
        <f aca="false">IF(ISBLANK('Raw - Sessions'!U276),"",'Raw - Sessions'!Q276)</f>
        <v>0.2</v>
      </c>
      <c r="N302" s="44" t="n">
        <f aca="false">IF(E302="","",I302-G302-H302-F302)</f>
        <v>0.2</v>
      </c>
      <c r="O302" s="44" t="n">
        <f aca="false">IF(E302="","",M302-N302)</f>
        <v>0</v>
      </c>
      <c r="P302" s="72" t="str">
        <f aca="false">IF(E302="","",IF(ABS(O302)&gt;0.02,"MISMATCH","OK"))</f>
        <v>OK</v>
      </c>
    </row>
    <row r="303" customFormat="false" ht="15" hidden="false" customHeight="false" outlineLevel="0" collapsed="false">
      <c r="A303" s="70" t="n">
        <f aca="false">'Raw - Sessions'!A277</f>
        <v>5273957681</v>
      </c>
      <c r="B303" s="70" t="str">
        <f aca="false">'Raw - Sessions'!K277</f>
        <v>BARBOURVILLE / CITY HALL</v>
      </c>
      <c r="C303" s="71" t="n">
        <f aca="false">IF(ISBLANK('Raw - Sessions'!U277),"",'Raw - Sessions'!T277)</f>
        <v>0.5</v>
      </c>
      <c r="D303" s="38" t="n">
        <f aca="false">'Raw - Sessions'!E277</f>
        <v>0</v>
      </c>
      <c r="E303" s="42" t="n">
        <f aca="false">IF(ISBLANK('Raw - Sessions'!U277),"",'Raw - Sessions'!U277)</f>
        <v>0.28</v>
      </c>
      <c r="F303" s="42" t="n">
        <f aca="false">IF(ISBLANK('Raw - Sessions'!U277),"",'Raw - Sessions'!Z277)</f>
        <v>0.02</v>
      </c>
      <c r="G303" s="42" t="n">
        <f aca="false">IF(ISBLANK('Raw - Sessions'!U277),"",'Raw - Sessions'!AE277)</f>
        <v>0</v>
      </c>
      <c r="H303" s="42" t="n">
        <f aca="false">IF(ISBLANK('Raw - Sessions'!U277),"",'Raw - Sessions'!AD277)</f>
        <v>0.03</v>
      </c>
      <c r="I303" s="42" t="n">
        <f aca="false">IF(ISBLANK('Raw - Sessions'!U277),"",'Raw - Sessions'!P277)</f>
        <v>0.3</v>
      </c>
      <c r="J303" s="42" t="n">
        <f aca="false">IF(E303="","",E303+F303+G303+'Raw - Sessions'!AA277+'Raw - Sessions'!AB277+'Raw - Sessions'!AC277)</f>
        <v>0.3</v>
      </c>
      <c r="K303" s="42" t="n">
        <f aca="false">IF(E303="","",I303-J303)</f>
        <v>0</v>
      </c>
      <c r="L303" s="70" t="str">
        <f aca="false">IF(E303="","",IF(ABS(K303)&gt;0.02,"MISMATCH","OK"))</f>
        <v>OK</v>
      </c>
      <c r="M303" s="42" t="n">
        <f aca="false">IF(ISBLANK('Raw - Sessions'!U277),"",'Raw - Sessions'!Q277)</f>
        <v>0.25</v>
      </c>
      <c r="N303" s="42" t="n">
        <f aca="false">IF(E303="","",I303-G303-H303-F303)</f>
        <v>0.25</v>
      </c>
      <c r="O303" s="42" t="n">
        <f aca="false">IF(E303="","",M303-N303)</f>
        <v>0</v>
      </c>
      <c r="P303" s="70" t="str">
        <f aca="false">IF(E303="","",IF(ABS(O303)&gt;0.02,"MISMATCH","OK"))</f>
        <v>OK</v>
      </c>
    </row>
    <row r="304" customFormat="false" ht="15" hidden="false" customHeight="false" outlineLevel="0" collapsed="false">
      <c r="A304" s="72" t="n">
        <f aca="false">'Raw - Sessions'!A278</f>
        <v>5274000771</v>
      </c>
      <c r="B304" s="72" t="str">
        <f aca="false">'Raw - Sessions'!K278</f>
        <v>BARBOURVILLE / TOURISM</v>
      </c>
      <c r="C304" s="73" t="n">
        <f aca="false">IF(ISBLANK('Raw - Sessions'!U278),"",'Raw - Sessions'!T278)</f>
        <v>0.5</v>
      </c>
      <c r="D304" s="39" t="n">
        <f aca="false">'Raw - Sessions'!E278</f>
        <v>1.450754</v>
      </c>
      <c r="E304" s="44" t="n">
        <f aca="false">IF(ISBLANK('Raw - Sessions'!U278),"",'Raw - Sessions'!U278)</f>
        <v>1.81</v>
      </c>
      <c r="F304" s="44" t="n">
        <f aca="false">IF(ISBLANK('Raw - Sessions'!U278),"",'Raw - Sessions'!Z278)</f>
        <v>0.1</v>
      </c>
      <c r="G304" s="44" t="n">
        <f aca="false">IF(ISBLANK('Raw - Sessions'!U278),"",'Raw - Sessions'!AE278)</f>
        <v>0.25</v>
      </c>
      <c r="H304" s="44" t="n">
        <f aca="false">IF(ISBLANK('Raw - Sessions'!U278),"",'Raw - Sessions'!AD278)</f>
        <v>0.18</v>
      </c>
      <c r="I304" s="44" t="n">
        <f aca="false">IF(ISBLANK('Raw - Sessions'!U278),"",'Raw - Sessions'!P278)</f>
        <v>2.16</v>
      </c>
      <c r="J304" s="44" t="n">
        <f aca="false">IF(E304="","",E304+F304+G304+'Raw - Sessions'!AA278+'Raw - Sessions'!AB278+'Raw - Sessions'!AC278)</f>
        <v>2.16</v>
      </c>
      <c r="K304" s="44" t="n">
        <f aca="false">IF(E304="","",I304-J304)</f>
        <v>0</v>
      </c>
      <c r="L304" s="72" t="str">
        <f aca="false">IF(E304="","",IF(ABS(K304)&gt;0.02,"MISMATCH","OK"))</f>
        <v>OK</v>
      </c>
      <c r="M304" s="44" t="n">
        <f aca="false">IF(ISBLANK('Raw - Sessions'!U278),"",'Raw - Sessions'!Q278)</f>
        <v>1.63</v>
      </c>
      <c r="N304" s="44" t="n">
        <f aca="false">IF(E304="","",I304-G304-H304-F304)</f>
        <v>1.63</v>
      </c>
      <c r="O304" s="44" t="n">
        <f aca="false">IF(E304="","",M304-N304)</f>
        <v>0</v>
      </c>
      <c r="P304" s="72" t="str">
        <f aca="false">IF(E304="","",IF(ABS(O304)&gt;0.02,"MISMATCH","OK"))</f>
        <v>OK</v>
      </c>
    </row>
    <row r="305" customFormat="false" ht="15" hidden="false" customHeight="false" outlineLevel="0" collapsed="false">
      <c r="A305" s="70" t="n">
        <f aca="false">'Raw - Sessions'!A279</f>
        <v>5275318291</v>
      </c>
      <c r="B305" s="70" t="str">
        <f aca="false">'Raw - Sessions'!K279</f>
        <v>BARBOURVILLE / CITY HALL</v>
      </c>
      <c r="C305" s="71" t="str">
        <f aca="false">IF(ISBLANK('Raw - Sessions'!U279),"",'Raw - Sessions'!T279)</f>
        <v/>
      </c>
      <c r="D305" s="38" t="n">
        <f aca="false">'Raw - Sessions'!E279</f>
        <v>0</v>
      </c>
      <c r="E305" s="42" t="str">
        <f aca="false">IF(ISBLANK('Raw - Sessions'!U279),"",'Raw - Sessions'!U279)</f>
        <v/>
      </c>
      <c r="F305" s="42" t="str">
        <f aca="false">IF(ISBLANK('Raw - Sessions'!U279),"",'Raw - Sessions'!Z279)</f>
        <v/>
      </c>
      <c r="G305" s="42" t="str">
        <f aca="false">IF(ISBLANK('Raw - Sessions'!U279),"",'Raw - Sessions'!AE279)</f>
        <v/>
      </c>
      <c r="H305" s="42" t="str">
        <f aca="false">IF(ISBLANK('Raw - Sessions'!U279),"",'Raw - Sessions'!AD279)</f>
        <v/>
      </c>
      <c r="I305" s="42" t="str">
        <f aca="false">IF(ISBLANK('Raw - Sessions'!U279),"",'Raw - Sessions'!P279)</f>
        <v/>
      </c>
      <c r="J305" s="42" t="str">
        <f aca="false">IF(E305="","",E305+F305+G305+'Raw - Sessions'!AA279+'Raw - Sessions'!AB279+'Raw - Sessions'!AC279)</f>
        <v/>
      </c>
      <c r="K305" s="42" t="str">
        <f aca="false">IF(E305="","",I305-J305)</f>
        <v/>
      </c>
      <c r="L305" s="70" t="str">
        <f aca="false">IF(E305="","",IF(ABS(K305)&gt;0.02,"MISMATCH","OK"))</f>
        <v/>
      </c>
      <c r="M305" s="42" t="str">
        <f aca="false">IF(ISBLANK('Raw - Sessions'!U279),"",'Raw - Sessions'!Q279)</f>
        <v/>
      </c>
      <c r="N305" s="42" t="str">
        <f aca="false">IF(E305="","",I305-G305-H305-F305)</f>
        <v/>
      </c>
      <c r="O305" s="42" t="str">
        <f aca="false">IF(E305="","",M305-N305)</f>
        <v/>
      </c>
      <c r="P305" s="70" t="str">
        <f aca="false">IF(E305="","",IF(ABS(O305)&gt;0.02,"MISMATCH","OK"))</f>
        <v/>
      </c>
    </row>
    <row r="306" customFormat="false" ht="15" hidden="false" customHeight="false" outlineLevel="0" collapsed="false">
      <c r="A306" s="72" t="n">
        <f aca="false">'Raw - Sessions'!A280</f>
        <v>5278273731</v>
      </c>
      <c r="B306" s="72" t="str">
        <f aca="false">'Raw - Sessions'!K280</f>
        <v>BARBOURVILLE / CITY HALL</v>
      </c>
      <c r="C306" s="73" t="n">
        <f aca="false">IF(ISBLANK('Raw - Sessions'!U280),"",'Raw - Sessions'!T280)</f>
        <v>0.5</v>
      </c>
      <c r="D306" s="39" t="n">
        <f aca="false">'Raw - Sessions'!E280</f>
        <v>11.8481</v>
      </c>
      <c r="E306" s="44" t="n">
        <f aca="false">IF(ISBLANK('Raw - Sessions'!U280),"",'Raw - Sessions'!U280)</f>
        <v>7.97</v>
      </c>
      <c r="F306" s="44" t="n">
        <f aca="false">IF(ISBLANK('Raw - Sessions'!U280),"",'Raw - Sessions'!Z280)</f>
        <v>0.48</v>
      </c>
      <c r="G306" s="44" t="n">
        <f aca="false">IF(ISBLANK('Raw - Sessions'!U280),"",'Raw - Sessions'!AE280)</f>
        <v>0</v>
      </c>
      <c r="H306" s="44" t="n">
        <f aca="false">IF(ISBLANK('Raw - Sessions'!U280),"",'Raw - Sessions'!AD280)</f>
        <v>0.8</v>
      </c>
      <c r="I306" s="44" t="n">
        <f aca="false">IF(ISBLANK('Raw - Sessions'!U280),"",'Raw - Sessions'!P280)</f>
        <v>8.45</v>
      </c>
      <c r="J306" s="44" t="n">
        <f aca="false">IF(E306="","",E306+F306+G306+'Raw - Sessions'!AA280+'Raw - Sessions'!AB280+'Raw - Sessions'!AC280)</f>
        <v>8.45</v>
      </c>
      <c r="K306" s="44" t="n">
        <f aca="false">IF(E306="","",I306-J306)</f>
        <v>0</v>
      </c>
      <c r="L306" s="72" t="str">
        <f aca="false">IF(E306="","",IF(ABS(K306)&gt;0.02,"MISMATCH","OK"))</f>
        <v>OK</v>
      </c>
      <c r="M306" s="44" t="n">
        <f aca="false">IF(ISBLANK('Raw - Sessions'!U280),"",'Raw - Sessions'!Q280)</f>
        <v>7.17</v>
      </c>
      <c r="N306" s="44" t="n">
        <f aca="false">IF(E306="","",I306-G306-H306-F306)</f>
        <v>7.17</v>
      </c>
      <c r="O306" s="44" t="n">
        <f aca="false">IF(E306="","",M306-N306)</f>
        <v>0</v>
      </c>
      <c r="P306" s="72" t="str">
        <f aca="false">IF(E306="","",IF(ABS(O306)&gt;0.02,"MISMATCH","OK"))</f>
        <v>OK</v>
      </c>
    </row>
    <row r="307" customFormat="false" ht="15" hidden="false" customHeight="false" outlineLevel="0" collapsed="false">
      <c r="A307" s="70" t="n">
        <f aca="false">'Raw - Sessions'!A281</f>
        <v>5280836741</v>
      </c>
      <c r="B307" s="70" t="str">
        <f aca="false">'Raw - Sessions'!K281</f>
        <v>BARBOURVILLE / CITY HALL</v>
      </c>
      <c r="C307" s="71" t="n">
        <f aca="false">IF(ISBLANK('Raw - Sessions'!U281),"",'Raw - Sessions'!T281)</f>
        <v>0.5</v>
      </c>
      <c r="D307" s="38" t="n">
        <f aca="false">'Raw - Sessions'!E281</f>
        <v>9.7997</v>
      </c>
      <c r="E307" s="42" t="n">
        <f aca="false">IF(ISBLANK('Raw - Sessions'!U281),"",'Raw - Sessions'!U281)</f>
        <v>6.59</v>
      </c>
      <c r="F307" s="42" t="n">
        <f aca="false">IF(ISBLANK('Raw - Sessions'!U281),"",'Raw - Sessions'!Z281)</f>
        <v>0.39</v>
      </c>
      <c r="G307" s="42" t="n">
        <f aca="false">IF(ISBLANK('Raw - Sessions'!U281),"",'Raw - Sessions'!AE281)</f>
        <v>0.99</v>
      </c>
      <c r="H307" s="42" t="n">
        <f aca="false">IF(ISBLANK('Raw - Sessions'!U281),"",'Raw - Sessions'!AD281)</f>
        <v>0.66</v>
      </c>
      <c r="I307" s="42" t="n">
        <f aca="false">IF(ISBLANK('Raw - Sessions'!U281),"",'Raw - Sessions'!P281)</f>
        <v>7.97</v>
      </c>
      <c r="J307" s="42" t="n">
        <f aca="false">IF(E307="","",E307+F307+G307+'Raw - Sessions'!AA281+'Raw - Sessions'!AB281+'Raw - Sessions'!AC281)</f>
        <v>7.97</v>
      </c>
      <c r="K307" s="42" t="n">
        <f aca="false">IF(E307="","",I307-J307)</f>
        <v>0</v>
      </c>
      <c r="L307" s="70" t="str">
        <f aca="false">IF(E307="","",IF(ABS(K307)&gt;0.02,"MISMATCH","OK"))</f>
        <v>OK</v>
      </c>
      <c r="M307" s="42" t="n">
        <f aca="false">IF(ISBLANK('Raw - Sessions'!U281),"",'Raw - Sessions'!Q281)</f>
        <v>5.93</v>
      </c>
      <c r="N307" s="42" t="n">
        <f aca="false">IF(E307="","",I307-G307-H307-F307)</f>
        <v>5.93</v>
      </c>
      <c r="O307" s="42" t="n">
        <f aca="false">IF(E307="","",M307-N307)</f>
        <v>0</v>
      </c>
      <c r="P307" s="70" t="str">
        <f aca="false">IF(E307="","",IF(ABS(O307)&gt;0.02,"MISMATCH","OK"))</f>
        <v>OK</v>
      </c>
    </row>
    <row r="308" customFormat="false" ht="15" hidden="false" customHeight="false" outlineLevel="0" collapsed="false">
      <c r="A308" s="72" t="n">
        <f aca="false">'Raw - Sessions'!A282</f>
        <v>5284525031</v>
      </c>
      <c r="B308" s="72" t="str">
        <f aca="false">'Raw - Sessions'!K282</f>
        <v>BARBOURVILLE / TOURISM</v>
      </c>
      <c r="C308" s="73" t="n">
        <f aca="false">IF(ISBLANK('Raw - Sessions'!U282),"",'Raw - Sessions'!T282)</f>
        <v>0.5</v>
      </c>
      <c r="D308" s="39" t="n">
        <f aca="false">'Raw - Sessions'!E282</f>
        <v>2.828075</v>
      </c>
      <c r="E308" s="44" t="n">
        <f aca="false">IF(ISBLANK('Raw - Sessions'!U282),"",'Raw - Sessions'!U282)</f>
        <v>3.46</v>
      </c>
      <c r="F308" s="44" t="n">
        <f aca="false">IF(ISBLANK('Raw - Sessions'!U282),"",'Raw - Sessions'!Z282)</f>
        <v>0.2</v>
      </c>
      <c r="G308" s="44" t="n">
        <f aca="false">IF(ISBLANK('Raw - Sessions'!U282),"",'Raw - Sessions'!AE282)</f>
        <v>0.49</v>
      </c>
      <c r="H308" s="44" t="n">
        <f aca="false">IF(ISBLANK('Raw - Sessions'!U282),"",'Raw - Sessions'!AD282)</f>
        <v>0.35</v>
      </c>
      <c r="I308" s="44" t="n">
        <f aca="false">IF(ISBLANK('Raw - Sessions'!U282),"",'Raw - Sessions'!P282)</f>
        <v>4.15</v>
      </c>
      <c r="J308" s="44" t="n">
        <f aca="false">IF(E308="","",E308+F308+G308+'Raw - Sessions'!AA282+'Raw - Sessions'!AB282+'Raw - Sessions'!AC282)</f>
        <v>4.15</v>
      </c>
      <c r="K308" s="44" t="n">
        <f aca="false">IF(E308="","",I308-J308)</f>
        <v>0</v>
      </c>
      <c r="L308" s="72" t="str">
        <f aca="false">IF(E308="","",IF(ABS(K308)&gt;0.02,"MISMATCH","OK"))</f>
        <v>OK</v>
      </c>
      <c r="M308" s="44" t="n">
        <f aca="false">IF(ISBLANK('Raw - Sessions'!U282),"",'Raw - Sessions'!Q282)</f>
        <v>3.11</v>
      </c>
      <c r="N308" s="44" t="n">
        <f aca="false">IF(E308="","",I308-G308-H308-F308)</f>
        <v>3.11</v>
      </c>
      <c r="O308" s="44" t="n">
        <f aca="false">IF(E308="","",M308-N308)</f>
        <v>0</v>
      </c>
      <c r="P308" s="72" t="str">
        <f aca="false">IF(E308="","",IF(ABS(O308)&gt;0.02,"MISMATCH","OK"))</f>
        <v>OK</v>
      </c>
    </row>
    <row r="309" customFormat="false" ht="15" hidden="false" customHeight="false" outlineLevel="0" collapsed="false">
      <c r="A309" s="70" t="n">
        <f aca="false">'Raw - Sessions'!A283</f>
        <v>5285094601</v>
      </c>
      <c r="B309" s="70" t="str">
        <f aca="false">'Raw - Sessions'!K283</f>
        <v>BARBOURVILLE / CITY HALL</v>
      </c>
      <c r="C309" s="71" t="str">
        <f aca="false">IF(ISBLANK('Raw - Sessions'!U283),"",'Raw - Sessions'!T283)</f>
        <v/>
      </c>
      <c r="D309" s="38" t="n">
        <f aca="false">'Raw - Sessions'!E283</f>
        <v>0</v>
      </c>
      <c r="E309" s="42" t="str">
        <f aca="false">IF(ISBLANK('Raw - Sessions'!U283),"",'Raw - Sessions'!U283)</f>
        <v/>
      </c>
      <c r="F309" s="42" t="str">
        <f aca="false">IF(ISBLANK('Raw - Sessions'!U283),"",'Raw - Sessions'!Z283)</f>
        <v/>
      </c>
      <c r="G309" s="42" t="str">
        <f aca="false">IF(ISBLANK('Raw - Sessions'!U283),"",'Raw - Sessions'!AE283)</f>
        <v/>
      </c>
      <c r="H309" s="42" t="str">
        <f aca="false">IF(ISBLANK('Raw - Sessions'!U283),"",'Raw - Sessions'!AD283)</f>
        <v/>
      </c>
      <c r="I309" s="42" t="str">
        <f aca="false">IF(ISBLANK('Raw - Sessions'!U283),"",'Raw - Sessions'!P283)</f>
        <v/>
      </c>
      <c r="J309" s="42" t="str">
        <f aca="false">IF(E309="","",E309+F309+G309+'Raw - Sessions'!AA283+'Raw - Sessions'!AB283+'Raw - Sessions'!AC283)</f>
        <v/>
      </c>
      <c r="K309" s="42" t="str">
        <f aca="false">IF(E309="","",I309-J309)</f>
        <v/>
      </c>
      <c r="L309" s="70" t="str">
        <f aca="false">IF(E309="","",IF(ABS(K309)&gt;0.02,"MISMATCH","OK"))</f>
        <v/>
      </c>
      <c r="M309" s="42" t="str">
        <f aca="false">IF(ISBLANK('Raw - Sessions'!U283),"",'Raw - Sessions'!Q283)</f>
        <v/>
      </c>
      <c r="N309" s="42" t="str">
        <f aca="false">IF(E309="","",I309-G309-H309-F309)</f>
        <v/>
      </c>
      <c r="O309" s="42" t="str">
        <f aca="false">IF(E309="","",M309-N309)</f>
        <v/>
      </c>
      <c r="P309" s="70" t="str">
        <f aca="false">IF(E309="","",IF(ABS(O309)&gt;0.02,"MISMATCH","OK"))</f>
        <v/>
      </c>
    </row>
    <row r="310" customFormat="false" ht="15" hidden="false" customHeight="false" outlineLevel="0" collapsed="false">
      <c r="A310" s="72" t="n">
        <f aca="false">'Raw - Sessions'!A284</f>
        <v>5285115921</v>
      </c>
      <c r="B310" s="72" t="str">
        <f aca="false">'Raw - Sessions'!K284</f>
        <v>BARBOURVILLE / TOURISM</v>
      </c>
      <c r="C310" s="73" t="str">
        <f aca="false">IF(ISBLANK('Raw - Sessions'!U284),"",'Raw - Sessions'!T284)</f>
        <v/>
      </c>
      <c r="D310" s="39" t="n">
        <f aca="false">'Raw - Sessions'!E284</f>
        <v>0</v>
      </c>
      <c r="E310" s="44" t="str">
        <f aca="false">IF(ISBLANK('Raw - Sessions'!U284),"",'Raw - Sessions'!U284)</f>
        <v/>
      </c>
      <c r="F310" s="44" t="str">
        <f aca="false">IF(ISBLANK('Raw - Sessions'!U284),"",'Raw - Sessions'!Z284)</f>
        <v/>
      </c>
      <c r="G310" s="44" t="str">
        <f aca="false">IF(ISBLANK('Raw - Sessions'!U284),"",'Raw - Sessions'!AE284)</f>
        <v/>
      </c>
      <c r="H310" s="44" t="str">
        <f aca="false">IF(ISBLANK('Raw - Sessions'!U284),"",'Raw - Sessions'!AD284)</f>
        <v/>
      </c>
      <c r="I310" s="44" t="str">
        <f aca="false">IF(ISBLANK('Raw - Sessions'!U284),"",'Raw - Sessions'!P284)</f>
        <v/>
      </c>
      <c r="J310" s="44" t="str">
        <f aca="false">IF(E310="","",E310+F310+G310+'Raw - Sessions'!AA284+'Raw - Sessions'!AB284+'Raw - Sessions'!AC284)</f>
        <v/>
      </c>
      <c r="K310" s="44" t="str">
        <f aca="false">IF(E310="","",I310-J310)</f>
        <v/>
      </c>
      <c r="L310" s="72" t="str">
        <f aca="false">IF(E310="","",IF(ABS(K310)&gt;0.02,"MISMATCH","OK"))</f>
        <v/>
      </c>
      <c r="M310" s="44" t="str">
        <f aca="false">IF(ISBLANK('Raw - Sessions'!U284),"",'Raw - Sessions'!Q284)</f>
        <v/>
      </c>
      <c r="N310" s="44" t="str">
        <f aca="false">IF(E310="","",I310-G310-H310-F310)</f>
        <v/>
      </c>
      <c r="O310" s="44" t="str">
        <f aca="false">IF(E310="","",M310-N310)</f>
        <v/>
      </c>
      <c r="P310" s="72" t="str">
        <f aca="false">IF(E310="","",IF(ABS(O310)&gt;0.02,"MISMATCH","OK"))</f>
        <v/>
      </c>
    </row>
    <row r="311" customFormat="false" ht="15" hidden="false" customHeight="false" outlineLevel="0" collapsed="false">
      <c r="A311" s="70" t="n">
        <f aca="false">'Raw - Sessions'!A285</f>
        <v>5285117891</v>
      </c>
      <c r="B311" s="70" t="str">
        <f aca="false">'Raw - Sessions'!K285</f>
        <v>BARBOURVILLE / TOURISM</v>
      </c>
      <c r="C311" s="71" t="n">
        <f aca="false">IF(ISBLANK('Raw - Sessions'!U285),"",'Raw - Sessions'!T285)</f>
        <v>0.5</v>
      </c>
      <c r="D311" s="38" t="n">
        <f aca="false">'Raw - Sessions'!E285</f>
        <v>9.448799</v>
      </c>
      <c r="E311" s="42" t="n">
        <f aca="false">IF(ISBLANK('Raw - Sessions'!U285),"",'Raw - Sessions'!U285)</f>
        <v>13.31</v>
      </c>
      <c r="F311" s="42" t="n">
        <f aca="false">IF(ISBLANK('Raw - Sessions'!U285),"",'Raw - Sessions'!Z285)</f>
        <v>0.8</v>
      </c>
      <c r="G311" s="42" t="n">
        <f aca="false">IF(ISBLANK('Raw - Sessions'!U285),"",'Raw - Sessions'!AE285)</f>
        <v>0.25</v>
      </c>
      <c r="H311" s="42" t="n">
        <f aca="false">IF(ISBLANK('Raw - Sessions'!U285),"",'Raw - Sessions'!AD285)</f>
        <v>1.33</v>
      </c>
      <c r="I311" s="42" t="n">
        <f aca="false">IF(ISBLANK('Raw - Sessions'!U285),"",'Raw - Sessions'!P285)</f>
        <v>14.36</v>
      </c>
      <c r="J311" s="42" t="n">
        <f aca="false">IF(E311="","",E311+F311+G311+'Raw - Sessions'!AA285+'Raw - Sessions'!AB285+'Raw - Sessions'!AC285)</f>
        <v>14.36</v>
      </c>
      <c r="K311" s="42" t="n">
        <f aca="false">IF(E311="","",I311-J311)</f>
        <v>0</v>
      </c>
      <c r="L311" s="70" t="str">
        <f aca="false">IF(E311="","",IF(ABS(K311)&gt;0.02,"MISMATCH","OK"))</f>
        <v>OK</v>
      </c>
      <c r="M311" s="42" t="n">
        <f aca="false">IF(ISBLANK('Raw - Sessions'!U285),"",'Raw - Sessions'!Q285)</f>
        <v>11.98</v>
      </c>
      <c r="N311" s="42" t="n">
        <f aca="false">IF(E311="","",I311-G311-H311-F311)</f>
        <v>11.98</v>
      </c>
      <c r="O311" s="42" t="n">
        <f aca="false">IF(E311="","",M311-N311)</f>
        <v>0</v>
      </c>
      <c r="P311" s="70" t="str">
        <f aca="false">IF(E311="","",IF(ABS(O311)&gt;0.02,"MISMATCH","OK"))</f>
        <v>OK</v>
      </c>
    </row>
    <row r="312" customFormat="false" ht="15" hidden="false" customHeight="false" outlineLevel="0" collapsed="false">
      <c r="A312" s="72" t="n">
        <f aca="false">'Raw - Sessions'!A286</f>
        <v>5291586711</v>
      </c>
      <c r="B312" s="72" t="str">
        <f aca="false">'Raw - Sessions'!K286</f>
        <v>BARBOURVILLE / CITY HALL</v>
      </c>
      <c r="C312" s="73" t="n">
        <f aca="false">IF(ISBLANK('Raw - Sessions'!U286),"",'Raw - Sessions'!T286)</f>
        <v>0.5</v>
      </c>
      <c r="D312" s="39" t="n">
        <f aca="false">'Raw - Sessions'!E286</f>
        <v>24.9589</v>
      </c>
      <c r="E312" s="44" t="n">
        <f aca="false">IF(ISBLANK('Raw - Sessions'!U286),"",'Raw - Sessions'!U286)</f>
        <v>16.07</v>
      </c>
      <c r="F312" s="44" t="n">
        <f aca="false">IF(ISBLANK('Raw - Sessions'!U286),"",'Raw - Sessions'!Z286)</f>
        <v>0.97</v>
      </c>
      <c r="G312" s="44" t="n">
        <f aca="false">IF(ISBLANK('Raw - Sessions'!U286),"",'Raw - Sessions'!AE286)</f>
        <v>0.99</v>
      </c>
      <c r="H312" s="44" t="n">
        <f aca="false">IF(ISBLANK('Raw - Sessions'!U286),"",'Raw - Sessions'!AD286)</f>
        <v>1.61</v>
      </c>
      <c r="I312" s="44" t="n">
        <f aca="false">IF(ISBLANK('Raw - Sessions'!U286),"",'Raw - Sessions'!P286)</f>
        <v>18.03</v>
      </c>
      <c r="J312" s="44" t="n">
        <f aca="false">IF(E312="","",E312+F312+G312+'Raw - Sessions'!AA286+'Raw - Sessions'!AB286+'Raw - Sessions'!AC286)</f>
        <v>18.03</v>
      </c>
      <c r="K312" s="44" t="n">
        <f aca="false">IF(E312="","",I312-J312)</f>
        <v>0</v>
      </c>
      <c r="L312" s="72" t="str">
        <f aca="false">IF(E312="","",IF(ABS(K312)&gt;0.02,"MISMATCH","OK"))</f>
        <v>OK</v>
      </c>
      <c r="M312" s="44" t="n">
        <f aca="false">IF(ISBLANK('Raw - Sessions'!U286),"",'Raw - Sessions'!Q286)</f>
        <v>14.46</v>
      </c>
      <c r="N312" s="44" t="n">
        <f aca="false">IF(E312="","",I312-G312-H312-F312)</f>
        <v>14.46</v>
      </c>
      <c r="O312" s="44" t="n">
        <f aca="false">IF(E312="","",M312-N312)</f>
        <v>0</v>
      </c>
      <c r="P312" s="72" t="str">
        <f aca="false">IF(E312="","",IF(ABS(O312)&gt;0.02,"MISMATCH","OK"))</f>
        <v>OK</v>
      </c>
    </row>
    <row r="313" customFormat="false" ht="15" hidden="false" customHeight="false" outlineLevel="0" collapsed="false">
      <c r="A313" s="70" t="n">
        <f aca="false">'Raw - Sessions'!A287</f>
        <v>5294369691</v>
      </c>
      <c r="B313" s="70" t="str">
        <f aca="false">'Raw - Sessions'!K287</f>
        <v>BARBOURVILLE / CITY HALL</v>
      </c>
      <c r="C313" s="71" t="n">
        <f aca="false">IF(ISBLANK('Raw - Sessions'!U287),"",'Raw - Sessions'!T287)</f>
        <v>0.5</v>
      </c>
      <c r="D313" s="38" t="n">
        <f aca="false">'Raw - Sessions'!E287</f>
        <v>5.3948</v>
      </c>
      <c r="E313" s="42" t="n">
        <f aca="false">IF(ISBLANK('Raw - Sessions'!U287),"",'Raw - Sessions'!U287)</f>
        <v>3.48</v>
      </c>
      <c r="F313" s="42" t="n">
        <f aca="false">IF(ISBLANK('Raw - Sessions'!U287),"",'Raw - Sessions'!Z287)</f>
        <v>0.21</v>
      </c>
      <c r="G313" s="42" t="n">
        <f aca="false">IF(ISBLANK('Raw - Sessions'!U287),"",'Raw - Sessions'!AE287)</f>
        <v>0.99</v>
      </c>
      <c r="H313" s="42" t="n">
        <f aca="false">IF(ISBLANK('Raw - Sessions'!U287),"",'Raw - Sessions'!AD287)</f>
        <v>0.35</v>
      </c>
      <c r="I313" s="42" t="n">
        <f aca="false">IF(ISBLANK('Raw - Sessions'!U287),"",'Raw - Sessions'!P287)</f>
        <v>4.68</v>
      </c>
      <c r="J313" s="42" t="n">
        <f aca="false">IF(E313="","",E313+F313+G313+'Raw - Sessions'!AA287+'Raw - Sessions'!AB287+'Raw - Sessions'!AC287)</f>
        <v>4.68</v>
      </c>
      <c r="K313" s="42" t="n">
        <f aca="false">IF(E313="","",I313-J313)</f>
        <v>0</v>
      </c>
      <c r="L313" s="70" t="str">
        <f aca="false">IF(E313="","",IF(ABS(K313)&gt;0.02,"MISMATCH","OK"))</f>
        <v>OK</v>
      </c>
      <c r="M313" s="42" t="n">
        <f aca="false">IF(ISBLANK('Raw - Sessions'!U287),"",'Raw - Sessions'!Q287)</f>
        <v>3.13</v>
      </c>
      <c r="N313" s="42" t="n">
        <f aca="false">IF(E313="","",I313-G313-H313-F313)</f>
        <v>3.13</v>
      </c>
      <c r="O313" s="42" t="n">
        <f aca="false">IF(E313="","",M313-N313)</f>
        <v>0</v>
      </c>
      <c r="P313" s="70" t="str">
        <f aca="false">IF(E313="","",IF(ABS(O313)&gt;0.02,"MISMATCH","OK"))</f>
        <v>OK</v>
      </c>
    </row>
    <row r="314" customFormat="false" ht="15" hidden="false" customHeight="false" outlineLevel="0" collapsed="false">
      <c r="A314" s="72" t="n">
        <f aca="false">'Raw - Sessions'!A288</f>
        <v>5294457821</v>
      </c>
      <c r="B314" s="72" t="str">
        <f aca="false">'Raw - Sessions'!K288</f>
        <v>BARBOURVILLE / CITY HALL</v>
      </c>
      <c r="C314" s="73" t="n">
        <f aca="false">IF(ISBLANK('Raw - Sessions'!U288),"",'Raw - Sessions'!T288)</f>
        <v>0.5</v>
      </c>
      <c r="D314" s="39" t="n">
        <f aca="false">'Raw - Sessions'!E288</f>
        <v>18.0934</v>
      </c>
      <c r="E314" s="44" t="n">
        <f aca="false">IF(ISBLANK('Raw - Sessions'!U288),"",'Raw - Sessions'!U288)</f>
        <v>11.69</v>
      </c>
      <c r="F314" s="44" t="n">
        <f aca="false">IF(ISBLANK('Raw - Sessions'!U288),"",'Raw - Sessions'!Z288)</f>
        <v>0.7</v>
      </c>
      <c r="G314" s="44" t="n">
        <f aca="false">IF(ISBLANK('Raw - Sessions'!U288),"",'Raw - Sessions'!AE288)</f>
        <v>0.49</v>
      </c>
      <c r="H314" s="44" t="n">
        <f aca="false">IF(ISBLANK('Raw - Sessions'!U288),"",'Raw - Sessions'!AD288)</f>
        <v>1.17</v>
      </c>
      <c r="I314" s="44" t="n">
        <f aca="false">IF(ISBLANK('Raw - Sessions'!U288),"",'Raw - Sessions'!P288)</f>
        <v>12.88</v>
      </c>
      <c r="J314" s="44" t="n">
        <f aca="false">IF(E314="","",E314+F314+G314+'Raw - Sessions'!AA288+'Raw - Sessions'!AB288+'Raw - Sessions'!AC288)</f>
        <v>12.88</v>
      </c>
      <c r="K314" s="44" t="n">
        <f aca="false">IF(E314="","",I314-J314)</f>
        <v>0</v>
      </c>
      <c r="L314" s="72" t="str">
        <f aca="false">IF(E314="","",IF(ABS(K314)&gt;0.02,"MISMATCH","OK"))</f>
        <v>OK</v>
      </c>
      <c r="M314" s="44" t="n">
        <f aca="false">IF(ISBLANK('Raw - Sessions'!U288),"",'Raw - Sessions'!Q288)</f>
        <v>10.52</v>
      </c>
      <c r="N314" s="44" t="n">
        <f aca="false">IF(E314="","",I314-G314-H314-F314)</f>
        <v>10.52</v>
      </c>
      <c r="O314" s="44" t="n">
        <f aca="false">IF(E314="","",M314-N314)</f>
        <v>0</v>
      </c>
      <c r="P314" s="72" t="str">
        <f aca="false">IF(E314="","",IF(ABS(O314)&gt;0.02,"MISMATCH","OK"))</f>
        <v>OK</v>
      </c>
    </row>
    <row r="315" customFormat="false" ht="15" hidden="false" customHeight="false" outlineLevel="0" collapsed="false">
      <c r="A315" s="70" t="n">
        <f aca="false">'Raw - Sessions'!A289</f>
        <v>5300107181</v>
      </c>
      <c r="B315" s="70" t="str">
        <f aca="false">'Raw - Sessions'!K289</f>
        <v>BARBOURVILLE / CITY HALL</v>
      </c>
      <c r="C315" s="71" t="n">
        <f aca="false">IF(ISBLANK('Raw - Sessions'!U289),"",'Raw - Sessions'!T289)</f>
        <v>0.5</v>
      </c>
      <c r="D315" s="38" t="n">
        <f aca="false">'Raw - Sessions'!E289</f>
        <v>16.0578</v>
      </c>
      <c r="E315" s="42" t="n">
        <f aca="false">IF(ISBLANK('Raw - Sessions'!U289),"",'Raw - Sessions'!U289)</f>
        <v>10.39</v>
      </c>
      <c r="F315" s="42" t="n">
        <f aca="false">IF(ISBLANK('Raw - Sessions'!U289),"",'Raw - Sessions'!Z289)</f>
        <v>0.62</v>
      </c>
      <c r="G315" s="42" t="n">
        <f aca="false">IF(ISBLANK('Raw - Sessions'!U289),"",'Raw - Sessions'!AE289)</f>
        <v>0.49</v>
      </c>
      <c r="H315" s="42" t="n">
        <f aca="false">IF(ISBLANK('Raw - Sessions'!U289),"",'Raw - Sessions'!AD289)</f>
        <v>1.04</v>
      </c>
      <c r="I315" s="42" t="n">
        <f aca="false">IF(ISBLANK('Raw - Sessions'!U289),"",'Raw - Sessions'!P289)</f>
        <v>11.5</v>
      </c>
      <c r="J315" s="42" t="n">
        <f aca="false">IF(E315="","",E315+F315+G315+'Raw - Sessions'!AA289+'Raw - Sessions'!AB289+'Raw - Sessions'!AC289)</f>
        <v>11.5</v>
      </c>
      <c r="K315" s="42" t="n">
        <f aca="false">IF(E315="","",I315-J315)</f>
        <v>0</v>
      </c>
      <c r="L315" s="70" t="str">
        <f aca="false">IF(E315="","",IF(ABS(K315)&gt;0.02,"MISMATCH","OK"))</f>
        <v>OK</v>
      </c>
      <c r="M315" s="42" t="n">
        <f aca="false">IF(ISBLANK('Raw - Sessions'!U289),"",'Raw - Sessions'!Q289)</f>
        <v>9.35</v>
      </c>
      <c r="N315" s="42" t="n">
        <f aca="false">IF(E315="","",I315-G315-H315-F315)</f>
        <v>9.35</v>
      </c>
      <c r="O315" s="42" t="n">
        <f aca="false">IF(E315="","",M315-N315)</f>
        <v>0</v>
      </c>
      <c r="P315" s="70" t="str">
        <f aca="false">IF(E315="","",IF(ABS(O315)&gt;0.02,"MISMATCH","OK"))</f>
        <v>OK</v>
      </c>
    </row>
    <row r="316" customFormat="false" ht="15" hidden="false" customHeight="false" outlineLevel="0" collapsed="false">
      <c r="A316" s="72" t="n">
        <f aca="false">'Raw - Sessions'!A290</f>
        <v>5300880821</v>
      </c>
      <c r="B316" s="72" t="str">
        <f aca="false">'Raw - Sessions'!K290</f>
        <v>BARBOURVILLE / CITY HALL</v>
      </c>
      <c r="C316" s="73" t="str">
        <f aca="false">IF(ISBLANK('Raw - Sessions'!U290),"",'Raw - Sessions'!T290)</f>
        <v/>
      </c>
      <c r="D316" s="39" t="n">
        <f aca="false">'Raw - Sessions'!E290</f>
        <v>0</v>
      </c>
      <c r="E316" s="44" t="str">
        <f aca="false">IF(ISBLANK('Raw - Sessions'!U290),"",'Raw - Sessions'!U290)</f>
        <v/>
      </c>
      <c r="F316" s="44" t="str">
        <f aca="false">IF(ISBLANK('Raw - Sessions'!U290),"",'Raw - Sessions'!Z290)</f>
        <v/>
      </c>
      <c r="G316" s="44" t="str">
        <f aca="false">IF(ISBLANK('Raw - Sessions'!U290),"",'Raw - Sessions'!AE290)</f>
        <v/>
      </c>
      <c r="H316" s="44" t="str">
        <f aca="false">IF(ISBLANK('Raw - Sessions'!U290),"",'Raw - Sessions'!AD290)</f>
        <v/>
      </c>
      <c r="I316" s="44" t="str">
        <f aca="false">IF(ISBLANK('Raw - Sessions'!U290),"",'Raw - Sessions'!P290)</f>
        <v/>
      </c>
      <c r="J316" s="44" t="str">
        <f aca="false">IF(E316="","",E316+F316+G316+'Raw - Sessions'!AA290+'Raw - Sessions'!AB290+'Raw - Sessions'!AC290)</f>
        <v/>
      </c>
      <c r="K316" s="44" t="str">
        <f aca="false">IF(E316="","",I316-J316)</f>
        <v/>
      </c>
      <c r="L316" s="72" t="str">
        <f aca="false">IF(E316="","",IF(ABS(K316)&gt;0.02,"MISMATCH","OK"))</f>
        <v/>
      </c>
      <c r="M316" s="44" t="str">
        <f aca="false">IF(ISBLANK('Raw - Sessions'!U290),"",'Raw - Sessions'!Q290)</f>
        <v/>
      </c>
      <c r="N316" s="44" t="str">
        <f aca="false">IF(E316="","",I316-G316-H316-F316)</f>
        <v/>
      </c>
      <c r="O316" s="44" t="str">
        <f aca="false">IF(E316="","",M316-N316)</f>
        <v/>
      </c>
      <c r="P316" s="72" t="str">
        <f aca="false">IF(E316="","",IF(ABS(O316)&gt;0.02,"MISMATCH","OK"))</f>
        <v/>
      </c>
    </row>
    <row r="317" customFormat="false" ht="15" hidden="false" customHeight="false" outlineLevel="0" collapsed="false">
      <c r="A317" s="70" t="n">
        <f aca="false">'Raw - Sessions'!A291</f>
        <v>5306718701</v>
      </c>
      <c r="B317" s="70" t="str">
        <f aca="false">'Raw - Sessions'!K291</f>
        <v>BARBOURVILLE / CITY HALL</v>
      </c>
      <c r="C317" s="71" t="n">
        <f aca="false">IF(ISBLANK('Raw - Sessions'!U291),"",'Raw - Sessions'!T291)</f>
        <v>0.5</v>
      </c>
      <c r="D317" s="38" t="n">
        <f aca="false">'Raw - Sessions'!E291</f>
        <v>29.0876</v>
      </c>
      <c r="E317" s="42" t="n">
        <f aca="false">IF(ISBLANK('Raw - Sessions'!U291),"",'Raw - Sessions'!U291)</f>
        <v>18.37</v>
      </c>
      <c r="F317" s="42" t="n">
        <f aca="false">IF(ISBLANK('Raw - Sessions'!U291),"",'Raw - Sessions'!Z291)</f>
        <v>1.1</v>
      </c>
      <c r="G317" s="42" t="n">
        <f aca="false">IF(ISBLANK('Raw - Sessions'!U291),"",'Raw - Sessions'!AE291)</f>
        <v>0</v>
      </c>
      <c r="H317" s="42" t="n">
        <f aca="false">IF(ISBLANK('Raw - Sessions'!U291),"",'Raw - Sessions'!AD291)</f>
        <v>1.84</v>
      </c>
      <c r="I317" s="42" t="n">
        <f aca="false">IF(ISBLANK('Raw - Sessions'!U291),"",'Raw - Sessions'!P291)</f>
        <v>19.47</v>
      </c>
      <c r="J317" s="42" t="n">
        <f aca="false">IF(E317="","",E317+F317+G317+'Raw - Sessions'!AA291+'Raw - Sessions'!AB291+'Raw - Sessions'!AC291)</f>
        <v>19.47</v>
      </c>
      <c r="K317" s="42" t="n">
        <f aca="false">IF(E317="","",I317-J317)</f>
        <v>0</v>
      </c>
      <c r="L317" s="70" t="str">
        <f aca="false">IF(E317="","",IF(ABS(K317)&gt;0.02,"MISMATCH","OK"))</f>
        <v>OK</v>
      </c>
      <c r="M317" s="42" t="n">
        <f aca="false">IF(ISBLANK('Raw - Sessions'!U291),"",'Raw - Sessions'!Q291)</f>
        <v>16.53</v>
      </c>
      <c r="N317" s="42" t="n">
        <f aca="false">IF(E317="","",I317-G317-H317-F317)</f>
        <v>16.53</v>
      </c>
      <c r="O317" s="42" t="n">
        <f aca="false">IF(E317="","",M317-N317)</f>
        <v>0</v>
      </c>
      <c r="P317" s="70" t="str">
        <f aca="false">IF(E317="","",IF(ABS(O317)&gt;0.02,"MISMATCH","OK"))</f>
        <v>OK</v>
      </c>
    </row>
    <row r="318" customFormat="false" ht="15" hidden="false" customHeight="false" outlineLevel="0" collapsed="false">
      <c r="A318" s="72" t="n">
        <f aca="false">'Raw - Sessions'!A292</f>
        <v>5312043551</v>
      </c>
      <c r="B318" s="72" t="str">
        <f aca="false">'Raw - Sessions'!K292</f>
        <v>BARBOURVILLE / TOURISM</v>
      </c>
      <c r="C318" s="73" t="n">
        <f aca="false">IF(ISBLANK('Raw - Sessions'!U292),"",'Raw - Sessions'!T292)</f>
        <v>0.5</v>
      </c>
      <c r="D318" s="39" t="n">
        <f aca="false">'Raw - Sessions'!E292</f>
        <v>12.304789</v>
      </c>
      <c r="E318" s="44" t="n">
        <f aca="false">IF(ISBLANK('Raw - Sessions'!U292),"",'Raw - Sessions'!U292)</f>
        <v>24.73</v>
      </c>
      <c r="F318" s="44" t="n">
        <f aca="false">IF(ISBLANK('Raw - Sessions'!U292),"",'Raw - Sessions'!Z292)</f>
        <v>1.48</v>
      </c>
      <c r="G318" s="44" t="n">
        <f aca="false">IF(ISBLANK('Raw - Sessions'!U292),"",'Raw - Sessions'!AE292)</f>
        <v>0.49</v>
      </c>
      <c r="H318" s="44" t="n">
        <f aca="false">IF(ISBLANK('Raw - Sessions'!U292),"",'Raw - Sessions'!AD292)</f>
        <v>2.47</v>
      </c>
      <c r="I318" s="44" t="n">
        <f aca="false">IF(ISBLANK('Raw - Sessions'!U292),"",'Raw - Sessions'!P292)</f>
        <v>26.7</v>
      </c>
      <c r="J318" s="44" t="n">
        <f aca="false">IF(E318="","",E318+F318+G318+'Raw - Sessions'!AA292+'Raw - Sessions'!AB292+'Raw - Sessions'!AC292)</f>
        <v>26.7</v>
      </c>
      <c r="K318" s="44" t="n">
        <f aca="false">IF(E318="","",I318-J318)</f>
        <v>0</v>
      </c>
      <c r="L318" s="72" t="str">
        <f aca="false">IF(E318="","",IF(ABS(K318)&gt;0.02,"MISMATCH","OK"))</f>
        <v>OK</v>
      </c>
      <c r="M318" s="44" t="n">
        <f aca="false">IF(ISBLANK('Raw - Sessions'!U292),"",'Raw - Sessions'!Q292)</f>
        <v>22.26</v>
      </c>
      <c r="N318" s="44" t="n">
        <f aca="false">IF(E318="","",I318-G318-H318-F318)</f>
        <v>22.26</v>
      </c>
      <c r="O318" s="44" t="n">
        <f aca="false">IF(E318="","",M318-N318)</f>
        <v>0</v>
      </c>
      <c r="P318" s="72" t="str">
        <f aca="false">IF(E318="","",IF(ABS(O318)&gt;0.02,"MISMATCH","OK"))</f>
        <v>OK</v>
      </c>
    </row>
    <row r="320" customFormat="false" ht="39.75" hidden="false" customHeight="true" outlineLevel="0" collapsed="false">
      <c r="A320" s="31" t="s">
        <v>168</v>
      </c>
      <c r="B320" s="31"/>
      <c r="C320" s="31"/>
      <c r="D320" s="31"/>
      <c r="E320" s="31"/>
      <c r="F320" s="31"/>
      <c r="G320" s="31"/>
      <c r="H320" s="31"/>
    </row>
  </sheetData>
  <autoFilter ref="A30:P318"/>
  <mergeCells count="22">
    <mergeCell ref="A4:B4"/>
    <mergeCell ref="C4:D4"/>
    <mergeCell ref="E4:F4"/>
    <mergeCell ref="G4:H4"/>
    <mergeCell ref="A5:B6"/>
    <mergeCell ref="C5:D6"/>
    <mergeCell ref="E5:F6"/>
    <mergeCell ref="G5:H6"/>
    <mergeCell ref="A17:E17"/>
    <mergeCell ref="A21:F21"/>
    <mergeCell ref="A22:F22"/>
    <mergeCell ref="A23:F23"/>
    <mergeCell ref="A24:F24"/>
    <mergeCell ref="A26:B26"/>
    <mergeCell ref="C26:D26"/>
    <mergeCell ref="E26:F26"/>
    <mergeCell ref="G26:H26"/>
    <mergeCell ref="A27:B28"/>
    <mergeCell ref="C27:D28"/>
    <mergeCell ref="E27:F28"/>
    <mergeCell ref="G27:H28"/>
    <mergeCell ref="A320:H320"/>
  </mergeCells>
  <conditionalFormatting sqref="C27">
    <cfRule type="expression" priority="2" aboveAverage="0" equalAverage="0" bottom="0" percent="0" rank="0" text="" dxfId="5">
      <formula>C27&gt;0</formula>
    </cfRule>
  </conditionalFormatting>
  <conditionalFormatting sqref="E27">
    <cfRule type="expression" priority="3" aboveAverage="0" equalAverage="0" bottom="0" percent="0" rank="0" text="" dxfId="5">
      <formula>E27&gt;0</formula>
    </cfRule>
  </conditionalFormatting>
  <conditionalFormatting sqref="G27">
    <cfRule type="expression" priority="4" aboveAverage="0" equalAverage="0" bottom="0" percent="0" rank="0" text="" dxfId="5">
      <formula>G27&gt;0</formula>
    </cfRule>
  </conditionalFormatting>
  <conditionalFormatting sqref="A31:P318">
    <cfRule type="expression" priority="5" aboveAverage="0" equalAverage="0" bottom="0" percent="0" rank="0" text="" dxfId="6">
      <formula>OR($L31="MISMATCH",$P31="MISMATCH")</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14"/>
  </cols>
  <sheetData>
    <row r="1" customFormat="false" ht="16.15" hidden="false" customHeight="false" outlineLevel="0" collapsed="false">
      <c r="A1" s="50" t="s">
        <v>169</v>
      </c>
    </row>
    <row r="2" customFormat="false" ht="15" hidden="false" customHeight="false" outlineLevel="0" collapsed="false">
      <c r="A2" s="30" t="s">
        <v>170</v>
      </c>
    </row>
    <row r="4" customFormat="false" ht="15" hidden="false" customHeight="false" outlineLevel="0" collapsed="false">
      <c r="A4" s="40" t="s">
        <v>73</v>
      </c>
      <c r="B4" s="40" t="s">
        <v>51</v>
      </c>
      <c r="C4" s="40" t="s">
        <v>54</v>
      </c>
    </row>
    <row r="5" customFormat="false" ht="15" hidden="false" customHeight="false" outlineLevel="0" collapsed="false">
      <c r="A5" s="14" t="str">
        <f aca="false">'Raw - Zip-County-State'!K5</f>
        <v>KY</v>
      </c>
      <c r="B5" s="14" t="n">
        <f aca="false">'Raw - Zip-County-State'!L5</f>
        <v>96</v>
      </c>
      <c r="C5" s="42" t="n">
        <f aca="false">'Raw - Zip-County-State'!M5</f>
        <v>1775.37</v>
      </c>
    </row>
    <row r="6" customFormat="false" ht="15" hidden="false" customHeight="false" outlineLevel="0" collapsed="false">
      <c r="A6" s="17" t="str">
        <f aca="false">'Raw - Zip-County-State'!K6</f>
        <v>TN</v>
      </c>
      <c r="B6" s="17" t="n">
        <f aca="false">'Raw - Zip-County-State'!L6</f>
        <v>18</v>
      </c>
      <c r="C6" s="44" t="n">
        <f aca="false">'Raw - Zip-County-State'!M6</f>
        <v>212.02</v>
      </c>
    </row>
    <row r="7" customFormat="false" ht="15" hidden="false" customHeight="false" outlineLevel="0" collapsed="false">
      <c r="A7" s="14" t="str">
        <f aca="false">'Raw - Zip-County-State'!K7</f>
        <v>OH</v>
      </c>
      <c r="B7" s="14" t="n">
        <f aca="false">'Raw - Zip-County-State'!L7</f>
        <v>10</v>
      </c>
      <c r="C7" s="42" t="n">
        <f aca="false">'Raw - Zip-County-State'!M7</f>
        <v>159.73</v>
      </c>
    </row>
    <row r="8" customFormat="false" ht="15" hidden="false" customHeight="false" outlineLevel="0" collapsed="false">
      <c r="A8" s="17" t="str">
        <f aca="false">'Raw - Zip-County-State'!K8</f>
        <v>NC</v>
      </c>
      <c r="B8" s="17" t="n">
        <f aca="false">'Raw - Zip-County-State'!L8</f>
        <v>9</v>
      </c>
      <c r="C8" s="44" t="n">
        <f aca="false">'Raw - Zip-County-State'!M8</f>
        <v>176.72</v>
      </c>
    </row>
    <row r="9" customFormat="false" ht="15" hidden="false" customHeight="false" outlineLevel="0" collapsed="false">
      <c r="A9" s="14" t="str">
        <f aca="false">'Raw - Zip-County-State'!K9</f>
        <v>IL</v>
      </c>
      <c r="B9" s="14" t="n">
        <f aca="false">'Raw - Zip-County-State'!L9</f>
        <v>5</v>
      </c>
      <c r="C9" s="42" t="n">
        <f aca="false">'Raw - Zip-County-State'!M9</f>
        <v>37.59</v>
      </c>
    </row>
    <row r="10" customFormat="false" ht="15" hidden="false" customHeight="false" outlineLevel="0" collapsed="false">
      <c r="A10" s="17" t="str">
        <f aca="false">'Raw - Zip-County-State'!K10</f>
        <v>FL</v>
      </c>
      <c r="B10" s="17" t="n">
        <f aca="false">'Raw - Zip-County-State'!L10</f>
        <v>3</v>
      </c>
      <c r="C10" s="44" t="n">
        <f aca="false">'Raw - Zip-County-State'!M10</f>
        <v>76.03</v>
      </c>
    </row>
    <row r="11" customFormat="false" ht="15" hidden="false" customHeight="false" outlineLevel="0" collapsed="false">
      <c r="A11" s="14" t="str">
        <f aca="false">'Raw - Zip-County-State'!K11</f>
        <v>SC</v>
      </c>
      <c r="B11" s="14" t="n">
        <f aca="false">'Raw - Zip-County-State'!L11</f>
        <v>3</v>
      </c>
      <c r="C11" s="42" t="n">
        <f aca="false">'Raw - Zip-County-State'!M11</f>
        <v>30.12</v>
      </c>
    </row>
    <row r="12" customFormat="false" ht="15" hidden="false" customHeight="false" outlineLevel="0" collapsed="false">
      <c r="A12" s="17" t="str">
        <f aca="false">'Raw - Zip-County-State'!K12</f>
        <v>MI</v>
      </c>
      <c r="B12" s="17" t="n">
        <f aca="false">'Raw - Zip-County-State'!L12</f>
        <v>3</v>
      </c>
      <c r="C12" s="44" t="n">
        <f aca="false">'Raw - Zip-County-State'!M12</f>
        <v>65.07</v>
      </c>
    </row>
    <row r="13" customFormat="false" ht="15" hidden="false" customHeight="false" outlineLevel="0" collapsed="false">
      <c r="A13" s="14" t="str">
        <f aca="false">'Raw - Zip-County-State'!K13</f>
        <v>WI</v>
      </c>
      <c r="B13" s="14" t="n">
        <f aca="false">'Raw - Zip-County-State'!L13</f>
        <v>3</v>
      </c>
      <c r="C13" s="42" t="n">
        <f aca="false">'Raw - Zip-County-State'!M13</f>
        <v>50.77</v>
      </c>
    </row>
    <row r="14" customFormat="false" ht="15" hidden="false" customHeight="false" outlineLevel="0" collapsed="false">
      <c r="A14" s="17" t="str">
        <f aca="false">'Raw - Zip-County-State'!K14</f>
        <v>IN</v>
      </c>
      <c r="B14" s="17" t="n">
        <f aca="false">'Raw - Zip-County-State'!L14</f>
        <v>2</v>
      </c>
      <c r="C14" s="44" t="n">
        <f aca="false">'Raw - Zip-County-State'!M14</f>
        <v>55.22</v>
      </c>
    </row>
    <row r="15" customFormat="false" ht="15" hidden="false" customHeight="false" outlineLevel="0" collapsed="false">
      <c r="A15" s="14" t="str">
        <f aca="false">'Raw - Zip-County-State'!K15</f>
        <v>GA</v>
      </c>
      <c r="B15" s="14" t="n">
        <f aca="false">'Raw - Zip-County-State'!L15</f>
        <v>2</v>
      </c>
      <c r="C15" s="42" t="n">
        <f aca="false">'Raw - Zip-County-State'!M15</f>
        <v>45.25</v>
      </c>
    </row>
    <row r="16" customFormat="false" ht="15" hidden="false" customHeight="false" outlineLevel="0" collapsed="false">
      <c r="A16" s="17" t="str">
        <f aca="false">'Raw - Zip-County-State'!K16</f>
        <v>TX</v>
      </c>
      <c r="B16" s="17" t="n">
        <f aca="false">'Raw - Zip-County-State'!L16</f>
        <v>2</v>
      </c>
      <c r="C16" s="44" t="n">
        <f aca="false">'Raw - Zip-County-State'!M16</f>
        <v>39.78</v>
      </c>
    </row>
    <row r="17" customFormat="false" ht="15" hidden="false" customHeight="false" outlineLevel="0" collapsed="false">
      <c r="A17" s="14" t="str">
        <f aca="false">'Raw - Zip-County-State'!K17</f>
        <v>PA</v>
      </c>
      <c r="B17" s="14" t="n">
        <f aca="false">'Raw - Zip-County-State'!L17</f>
        <v>2</v>
      </c>
      <c r="C17" s="42" t="n">
        <f aca="false">'Raw - Zip-County-State'!M17</f>
        <v>23.3</v>
      </c>
    </row>
    <row r="18" customFormat="false" ht="15" hidden="false" customHeight="false" outlineLevel="0" collapsed="false">
      <c r="A18" s="17" t="str">
        <f aca="false">'Raw - Zip-County-State'!K18</f>
        <v>CT</v>
      </c>
      <c r="B18" s="17" t="n">
        <f aca="false">'Raw - Zip-County-State'!L18</f>
        <v>1</v>
      </c>
      <c r="C18" s="44" t="n">
        <f aca="false">'Raw - Zip-County-State'!M18</f>
        <v>11.01</v>
      </c>
    </row>
    <row r="19" customFormat="false" ht="15" hidden="false" customHeight="false" outlineLevel="0" collapsed="false">
      <c r="A19" s="14" t="str">
        <f aca="false">'Raw - Zip-County-State'!K19</f>
        <v>KS</v>
      </c>
      <c r="B19" s="14" t="n">
        <f aca="false">'Raw - Zip-County-State'!L19</f>
        <v>1</v>
      </c>
      <c r="C19" s="42" t="n">
        <f aca="false">'Raw - Zip-County-State'!M19</f>
        <v>19.14</v>
      </c>
    </row>
    <row r="20" customFormat="false" ht="15" hidden="false" customHeight="false" outlineLevel="0" collapsed="false">
      <c r="A20" s="17" t="str">
        <f aca="false">'Raw - Zip-County-State'!K20</f>
        <v>MO</v>
      </c>
      <c r="B20" s="17" t="n">
        <f aca="false">'Raw - Zip-County-State'!L20</f>
        <v>1</v>
      </c>
      <c r="C20" s="44" t="n">
        <f aca="false">'Raw - Zip-County-State'!M20</f>
        <v>6.36</v>
      </c>
    </row>
    <row r="21" customFormat="false" ht="15" hidden="false" customHeight="false" outlineLevel="0" collapsed="false">
      <c r="A21" s="14" t="str">
        <f aca="false">'Raw - Zip-County-State'!K21</f>
        <v>MN</v>
      </c>
      <c r="B21" s="14" t="n">
        <f aca="false">'Raw - Zip-County-State'!L21</f>
        <v>1</v>
      </c>
      <c r="C21" s="42" t="n">
        <f aca="false">'Raw - Zip-County-State'!M21</f>
        <v>26.7</v>
      </c>
    </row>
    <row r="22" customFormat="false" ht="15" hidden="false" customHeight="false" outlineLevel="0" collapsed="false">
      <c r="A22" s="17" t="str">
        <f aca="false">'Raw - Zip-County-State'!K22</f>
        <v>MD</v>
      </c>
      <c r="B22" s="17" t="n">
        <f aca="false">'Raw - Zip-County-State'!L22</f>
        <v>1</v>
      </c>
      <c r="C22" s="44" t="n">
        <f aca="false">'Raw - Zip-County-State'!M22</f>
        <v>20.28</v>
      </c>
    </row>
    <row r="23" customFormat="false" ht="15" hidden="false" customHeight="false" outlineLevel="0" collapsed="false">
      <c r="A23" s="14" t="str">
        <f aca="false">'Raw - Zip-County-State'!K23</f>
        <v>OK</v>
      </c>
      <c r="B23" s="14" t="n">
        <f aca="false">'Raw - Zip-County-State'!L23</f>
        <v>1</v>
      </c>
      <c r="C23" s="42" t="n">
        <f aca="false">'Raw - Zip-County-State'!M23</f>
        <v>8.45</v>
      </c>
    </row>
    <row r="25" customFormat="false" ht="15" hidden="false" customHeight="false" outlineLevel="0" collapsed="false">
      <c r="A25" s="4" t="s">
        <v>171</v>
      </c>
    </row>
    <row r="26" customFormat="false" ht="15" hidden="false" customHeight="false" outlineLevel="0" collapsed="false">
      <c r="A26" s="13" t="s">
        <v>172</v>
      </c>
      <c r="B26" s="13" t="s">
        <v>51</v>
      </c>
    </row>
    <row r="27" customFormat="false" ht="15" hidden="false" customHeight="false" outlineLevel="0" collapsed="false">
      <c r="A27" s="14" t="s">
        <v>173</v>
      </c>
      <c r="B27" s="14" t="n">
        <f aca="false">COUNTIF('Raw - Sessions'!$M$5:$M$292,"40906")</f>
        <v>37</v>
      </c>
    </row>
    <row r="28" customFormat="false" ht="15" hidden="false" customHeight="false" outlineLevel="0" collapsed="false">
      <c r="A28" s="14" t="s">
        <v>174</v>
      </c>
      <c r="B28" s="14" t="n">
        <f aca="false">COUNTIF('Raw - Sessions'!$O$5:$O$292,"KY")-B27</f>
        <v>59</v>
      </c>
    </row>
    <row r="29" customFormat="false" ht="15" hidden="false" customHeight="false" outlineLevel="0" collapsed="false">
      <c r="A29" s="14" t="s">
        <v>175</v>
      </c>
      <c r="B29" s="14" t="n">
        <f aca="false">COUNTIFS('Raw - Sessions'!$O$5:$O$292,"&lt;&gt;",'Raw - Sessions'!$O$5:$O$292,"&lt;&gt;KY")</f>
        <v>68</v>
      </c>
    </row>
    <row r="30" customFormat="false" ht="15" hidden="false" customHeight="false" outlineLevel="0" collapsed="false">
      <c r="A30" s="14" t="s">
        <v>176</v>
      </c>
      <c r="B30" s="14" t="n">
        <f aca="false">(288)-COUNT('Raw - Sessions'!$O$5:$O$292)</f>
        <v>288</v>
      </c>
    </row>
    <row r="32" customFormat="false" ht="27.75" hidden="false" customHeight="true" outlineLevel="0" collapsed="false">
      <c r="A32" s="7" t="s">
        <v>177</v>
      </c>
      <c r="B32" s="7"/>
      <c r="C32" s="7"/>
      <c r="D32" s="7"/>
    </row>
  </sheetData>
  <mergeCells count="1">
    <mergeCell ref="A32:D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1" customFormat="false" ht="25.5" hidden="false" customHeight="true" outlineLevel="0" collapsed="false">
      <c r="A1" s="29" t="s">
        <v>178</v>
      </c>
      <c r="B1" s="29"/>
      <c r="C1" s="29"/>
      <c r="D1" s="29"/>
      <c r="E1" s="29"/>
      <c r="F1" s="29"/>
      <c r="G1" s="29"/>
      <c r="H1" s="29"/>
    </row>
    <row r="3" customFormat="false" ht="15" hidden="false" customHeight="false" outlineLevel="0" collapsed="false">
      <c r="B3" s="4" t="s">
        <v>179</v>
      </c>
    </row>
    <row r="4" customFormat="false" ht="39.75" hidden="false" customHeight="true" outlineLevel="0" collapsed="false">
      <c r="B4" s="5" t="str">
        <f aca="false">"Usage: "&amp;COUNTA('Raw - Sessions'!$A$5:$A$292)&amp;" sessions over the reporting period, averaging "&amp;TEXT(AVERAGE('Raw - Sessions'!$D$5:$D$292)*60,"0")&amp;" minutes per session (median "&amp;TEXT(MEDIAN('Raw - Sessions'!$D$5:$D$292)*60,"0")&amp;" min) and about "&amp;TEXT('Daily Summary'!E5,"0.0")&amp;" sessions on an active day."</f>
        <v>Usage: 288 sessions over the reporting period, averaging 44 minutes per session (median 31 min) and about 2.0 sessions on an active day.</v>
      </c>
    </row>
    <row r="5" customFormat="false" ht="39.75" hidden="false" customHeight="true" outlineLevel="0" collapsed="false">
      <c r="B5" s="5" t="str">
        <f aca="false">"Load intensity: "&amp;TEXT(COUNTIF('Raw - Sessions'!$H$5:$H$292,TRUE())/COUNTA('Raw - Sessions'!$A$5:$A$292),"0%")&amp;" of sessions reached a peak power draw above 10 kW, and on average "&amp;TEXT(AVERAGE('Raw - Sessions'!$J$5:$J$292),"0%")&amp;" of a session's plugged-in time was spent actively drawing more than 10 kW (the rest is likely finishing/trickle charging or idle plug-in time)."</f>
        <v>Load intensity: 64% of sessions reached a peak power draw above 10 kW, and on average 81% of a session's plugged-in time was spent actively drawing more than 10 kW (the rest is likely finishing/trickle charging or idle plug-in time).</v>
      </c>
    </row>
    <row r="6" customFormat="false" ht="39.75" hidden="false" customHeight="true" outlineLevel="0" collapsed="false">
      <c r="B6" s="5" t="s">
        <v>180</v>
      </c>
    </row>
    <row r="7" customFormat="false" ht="39.75" hidden="false" customHeight="true" outlineLevel="0" collapsed="false">
      <c r="B7" s="5" t="s">
        <v>181</v>
      </c>
    </row>
    <row r="8" customFormat="false" ht="39.75" hidden="false" customHeight="true" outlineLevel="0" collapsed="false">
      <c r="B8" s="5" t="str">
        <f aca="false">"Two very different chargers: City Hall (Level 3/DCFC) does the vast majority of the volume - "&amp;COUNTIF('Raw - Sessions'!$K$5:$K$292,"BARBOURVILLE / CITY HALL")&amp;" of "&amp;COUNTA('Raw - Sessions'!$A$5:$A$292)&amp;" sessions and about "&amp;TEXT(SUMIF('Raw - Sessions'!$K$5:$K$292,"BARBOURVILLE / CITY HALL",'Raw - Sessions'!$E$5:$E$292),"#,##0")&amp;" of "&amp;TEXT(SUM('Raw - Sessions'!$E$5:$E$292),"#,##0")&amp;" kWh - while Tourism (Level 2) sees far fewer, longer sessions ("&amp;COUNTIF('Raw - Sessions'!$K$5:$K$292,"BARBOURVILLE / TOURISM")&amp;" sessions, avg ~"&amp;TEXT(AVERAGEIFS('Raw - Sessions'!$D$5:$D$292,'Raw - Sessions'!$K$5:$K$292,"BARBOURVILLE / TOURISM")*60,"0")&amp;" min vs. ~"&amp;TEXT(AVERAGEIFS('Raw - Sessions'!$D$5:$D$292,'Raw - Sessions'!$K$5:$K$292,"BARBOURVILLE / CITY HALL")*60,"0")&amp;" min at City Hall) and can never exceed roughly 7.4 kW, so it behaves more like a top-off-while-you-visit-downtown charger than a fast-charging stop. See the Tourism (Level 2) and City Hall (Level 3) tabs for each charger on its own."</f>
        <v>Two very different chargers: City Hall (Level 3/DCFC) does the vast majority of the volume - 239 of 288 sessions and about 5,824 of 6,217 kWh - while Tourism (Level 2) sees far fewer, longer sessions (49 sessions, avg ~78 min vs. ~38 min at City Hall) and can never exceed roughly 7.4 kW, so it behaves more like a top-off-while-you-visit-downtown charger than a fast-charging stop. See the Tourism (Level 2) and City Hall (Level 3) tabs for each charger on its own.</v>
      </c>
    </row>
    <row r="9" customFormat="false" ht="39.75" hidden="false" customHeight="true" outlineLevel="0" collapsed="false">
      <c r="B9" s="5" t="s">
        <v>182</v>
      </c>
    </row>
    <row r="11" customFormat="false" ht="15" hidden="false" customHeight="false" outlineLevel="0" collapsed="false">
      <c r="B11" s="4" t="s">
        <v>183</v>
      </c>
    </row>
    <row r="12" customFormat="false" ht="15" hidden="false" customHeight="false" outlineLevel="0" collapsed="false">
      <c r="B12" s="74" t="s">
        <v>184</v>
      </c>
    </row>
    <row r="13" customFormat="false" ht="43.5" hidden="false" customHeight="true" outlineLevel="0" collapsed="false">
      <c r="B13" s="5" t="s">
        <v>185</v>
      </c>
    </row>
    <row r="14" customFormat="false" ht="15" hidden="false" customHeight="false" outlineLevel="0" collapsed="false">
      <c r="B14" s="74" t="s">
        <v>186</v>
      </c>
    </row>
    <row r="15" customFormat="false" ht="43.5" hidden="false" customHeight="true" outlineLevel="0" collapsed="false">
      <c r="B15" s="5" t="s">
        <v>187</v>
      </c>
    </row>
    <row r="16" customFormat="false" ht="15" hidden="false" customHeight="false" outlineLevel="0" collapsed="false">
      <c r="B16" s="74" t="s">
        <v>188</v>
      </c>
    </row>
    <row r="17" customFormat="false" ht="43.5" hidden="false" customHeight="true" outlineLevel="0" collapsed="false">
      <c r="B17" s="5" t="s">
        <v>189</v>
      </c>
    </row>
    <row r="18" customFormat="false" ht="15" hidden="false" customHeight="false" outlineLevel="0" collapsed="false">
      <c r="B18" s="74" t="s">
        <v>190</v>
      </c>
    </row>
    <row r="19" customFormat="false" ht="43.5" hidden="false" customHeight="true" outlineLevel="0" collapsed="false">
      <c r="B19" s="5" t="s">
        <v>191</v>
      </c>
    </row>
    <row r="20" customFormat="false" ht="15" hidden="false" customHeight="false" outlineLevel="0" collapsed="false">
      <c r="B20" s="74" t="s">
        <v>192</v>
      </c>
    </row>
    <row r="21" customFormat="false" ht="43.5" hidden="false" customHeight="true" outlineLevel="0" collapsed="false">
      <c r="B21" s="5" t="s">
        <v>193</v>
      </c>
    </row>
    <row r="23" customFormat="false" ht="15" hidden="false" customHeight="false" outlineLevel="0" collapsed="false">
      <c r="B23" s="4" t="s">
        <v>194</v>
      </c>
    </row>
    <row r="24" customFormat="false" ht="39.75" hidden="false" customHeight="true" outlineLevel="0" collapsed="false">
      <c r="B24" s="5" t="str">
        <f aca="false">"The Barbourville City Hall / Tourism chargers delivered about "&amp;TEXT(SUM('Raw - Sessions'!$E$5:$E$292),"#,##0")&amp;" kWh and generated about $"&amp;TEXT(SUM('Raw - Sessions'!$P$5:$P$292),"#,##0")&amp;" in gross session revenue over the past 12 months, across "&amp;COUNTA('Raw - Sessions'!$A$5:$A$292)&amp;" charging sessions."</f>
        <v>The Barbourville City Hall / Tourism chargers delivered about 6,217 kWh and generated about $4,036 in gross session revenue over the past 12 months, across 288 charging sessions.</v>
      </c>
    </row>
    <row r="25" customFormat="false" ht="39.75" hidden="false" customHeight="true" outlineLevel="0" collapsed="false">
      <c r="B25" s="5" t="s">
        <v>195</v>
      </c>
    </row>
    <row r="26" customFormat="false" ht="39.75" hidden="false" customHeight="true" outlineLevel="0" collapsed="false">
      <c r="B26" s="5" t="s">
        <v>196</v>
      </c>
    </row>
    <row r="27" customFormat="false" ht="39.75" hidden="false" customHeight="true" outlineLevel="0" collapsed="false">
      <c r="B27" s="5" t="s">
        <v>197</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2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10" min="8" style="0" width="14"/>
    <col collapsed="false" customWidth="true" hidden="false" outlineLevel="0" max="11" min="11" style="0" width="20"/>
    <col collapsed="false" customWidth="true" hidden="false" outlineLevel="0" max="12" min="12" style="0" width="16"/>
    <col collapsed="false" customWidth="true" hidden="false" outlineLevel="0" max="13" min="13" style="0" width="10"/>
    <col collapsed="false" customWidth="true" hidden="false" outlineLevel="0" max="14" min="14" style="0" width="16"/>
    <col collapsed="false" customWidth="true" hidden="false" outlineLevel="0" max="15" min="15" style="0" width="10"/>
    <col collapsed="false" customWidth="true" hidden="false" outlineLevel="0" max="18" min="16" style="0" width="14"/>
    <col collapsed="false" customWidth="true" hidden="false" outlineLevel="0" max="25" min="19" style="0" width="16"/>
    <col collapsed="false" customWidth="true" hidden="false" outlineLevel="0" max="33" min="26" style="0" width="15"/>
  </cols>
  <sheetData>
    <row r="1" customFormat="false" ht="16.15" hidden="false" customHeight="false" outlineLevel="0" collapsed="false">
      <c r="A1" s="50" t="s">
        <v>198</v>
      </c>
    </row>
    <row r="2" customFormat="false" ht="15" hidden="false" customHeight="false" outlineLevel="0" collapsed="false">
      <c r="A2" s="30" t="s">
        <v>199</v>
      </c>
    </row>
    <row r="4" customFormat="false" ht="46.25" hidden="false" customHeight="false" outlineLevel="0" collapsed="false">
      <c r="A4" s="75" t="s">
        <v>154</v>
      </c>
      <c r="B4" s="75" t="s">
        <v>200</v>
      </c>
      <c r="C4" s="75" t="s">
        <v>201</v>
      </c>
      <c r="D4" s="75" t="s">
        <v>202</v>
      </c>
      <c r="E4" s="75" t="s">
        <v>52</v>
      </c>
      <c r="F4" s="75" t="s">
        <v>203</v>
      </c>
      <c r="G4" s="75" t="s">
        <v>63</v>
      </c>
      <c r="H4" s="75" t="s">
        <v>204</v>
      </c>
      <c r="I4" s="75" t="s">
        <v>205</v>
      </c>
      <c r="J4" s="75" t="s">
        <v>206</v>
      </c>
      <c r="K4" s="75" t="s">
        <v>155</v>
      </c>
      <c r="L4" s="75" t="s">
        <v>207</v>
      </c>
      <c r="M4" s="75" t="s">
        <v>208</v>
      </c>
      <c r="N4" s="75" t="s">
        <v>209</v>
      </c>
      <c r="O4" s="75" t="s">
        <v>73</v>
      </c>
      <c r="P4" s="75" t="s">
        <v>210</v>
      </c>
      <c r="Q4" s="75" t="s">
        <v>211</v>
      </c>
      <c r="R4" s="13" t="s">
        <v>212</v>
      </c>
      <c r="S4" s="76" t="s">
        <v>213</v>
      </c>
      <c r="T4" s="37" t="s">
        <v>156</v>
      </c>
      <c r="U4" s="37" t="s">
        <v>214</v>
      </c>
      <c r="V4" s="37" t="s">
        <v>215</v>
      </c>
      <c r="W4" s="37" t="s">
        <v>216</v>
      </c>
      <c r="X4" s="37" t="s">
        <v>103</v>
      </c>
      <c r="Y4" s="37" t="s">
        <v>113</v>
      </c>
      <c r="Z4" s="37" t="s">
        <v>217</v>
      </c>
      <c r="AA4" s="37" t="s">
        <v>218</v>
      </c>
      <c r="AB4" s="37" t="s">
        <v>219</v>
      </c>
      <c r="AC4" s="37" t="s">
        <v>220</v>
      </c>
      <c r="AD4" s="37" t="s">
        <v>221</v>
      </c>
      <c r="AE4" s="37" t="s">
        <v>222</v>
      </c>
      <c r="AF4" s="37" t="s">
        <v>223</v>
      </c>
      <c r="AG4" s="37" t="s">
        <v>224</v>
      </c>
    </row>
    <row r="5" customFormat="false" ht="15" hidden="false" customHeight="false" outlineLevel="0" collapsed="false">
      <c r="A5" s="14" t="n">
        <v>4511566811</v>
      </c>
      <c r="B5" s="77" t="n">
        <v>45945.7474768519</v>
      </c>
      <c r="C5" s="77" t="n">
        <v>45945.7979050926</v>
      </c>
      <c r="D5" s="38" t="n">
        <v>1.21027777777778</v>
      </c>
      <c r="E5" s="38" t="n">
        <v>8.483508</v>
      </c>
      <c r="F5" s="38" t="n">
        <v>7.1494</v>
      </c>
      <c r="G5" s="14" t="s">
        <v>66</v>
      </c>
      <c r="H5" s="78" t="b">
        <f aca="false">FALSE()</f>
        <v>0</v>
      </c>
      <c r="I5" s="78" t="b">
        <f aca="false">FALSE()</f>
        <v>0</v>
      </c>
      <c r="J5" s="55" t="n">
        <v>0</v>
      </c>
      <c r="K5" s="14" t="s">
        <v>225</v>
      </c>
      <c r="L5" s="14" t="s">
        <v>226</v>
      </c>
      <c r="M5" s="14" t="s">
        <v>227</v>
      </c>
      <c r="N5" s="14"/>
      <c r="O5" s="14" t="s">
        <v>228</v>
      </c>
      <c r="P5" s="42" t="n">
        <v>2.25</v>
      </c>
      <c r="Q5" s="42" t="n">
        <v>1.91</v>
      </c>
      <c r="R5" s="53" t="n">
        <f aca="false">INT(B5)</f>
        <v>45945</v>
      </c>
      <c r="S5" s="14" t="n">
        <f aca="false">IF(AND(I5=TRUE(),COUNTIFS($R$5:R5,R5,$I$5:I5,TRUE())=1),1,0)</f>
        <v>0</v>
      </c>
      <c r="T5" s="71" t="n">
        <v>0.25</v>
      </c>
      <c r="U5" s="42" t="n">
        <v>2.12</v>
      </c>
      <c r="V5" s="42" t="n">
        <v>2.120877</v>
      </c>
      <c r="W5" s="42" t="n">
        <f aca="false">SUM(Z5:AE5)</f>
        <v>0.34</v>
      </c>
      <c r="X5" s="14" t="s">
        <v>107</v>
      </c>
      <c r="Y5" s="53" t="n">
        <v>45943</v>
      </c>
      <c r="Z5" s="42" t="n">
        <v>0.13</v>
      </c>
      <c r="AA5" s="42" t="n">
        <v>0</v>
      </c>
      <c r="AB5" s="42" t="n">
        <v>0</v>
      </c>
      <c r="AC5" s="42" t="n">
        <v>0</v>
      </c>
      <c r="AD5" s="42" t="n">
        <v>0.21</v>
      </c>
      <c r="AE5" s="42" t="n">
        <v>0</v>
      </c>
      <c r="AF5" s="14" t="n">
        <f aca="false">IF(AND(E5&gt;0,COUNTIFS($R$5:R5,R5,$E$5:E5,"&gt;0")=1),1,0)</f>
        <v>1</v>
      </c>
      <c r="AG5" s="14" t="n">
        <f aca="false">IF(AND(E5&gt;0,COUNTIFS($R$5:R5,R5,$K$5:K5,K5,$E$5:E5,"&gt;0")=1),1,0)</f>
        <v>1</v>
      </c>
    </row>
    <row r="6" customFormat="false" ht="15" hidden="false" customHeight="false" outlineLevel="0" collapsed="false">
      <c r="A6" s="17" t="n">
        <v>4523627951</v>
      </c>
      <c r="B6" s="79" t="n">
        <v>45949.6969444445</v>
      </c>
      <c r="C6" s="79" t="n">
        <v>45949.7017476852</v>
      </c>
      <c r="D6" s="39" t="n">
        <v>0.115277777777778</v>
      </c>
      <c r="E6" s="39" t="n">
        <v>4.8593</v>
      </c>
      <c r="F6" s="39" t="n">
        <v>56.004</v>
      </c>
      <c r="G6" s="17" t="s">
        <v>66</v>
      </c>
      <c r="H6" s="80" t="b">
        <f aca="false">TRUE()</f>
        <v>1</v>
      </c>
      <c r="I6" s="80" t="b">
        <f aca="false">FALSE()</f>
        <v>0</v>
      </c>
      <c r="J6" s="81" t="n">
        <v>1</v>
      </c>
      <c r="K6" s="17" t="s">
        <v>229</v>
      </c>
      <c r="L6" s="17" t="s">
        <v>226</v>
      </c>
      <c r="M6" s="17" t="s">
        <v>230</v>
      </c>
      <c r="N6" s="17"/>
      <c r="O6" s="17" t="s">
        <v>228</v>
      </c>
      <c r="P6" s="44" t="n">
        <v>1.28</v>
      </c>
      <c r="Q6" s="44" t="n">
        <v>1.09</v>
      </c>
      <c r="R6" s="54" t="n">
        <f aca="false">INT(B6)</f>
        <v>45949</v>
      </c>
      <c r="S6" s="17" t="n">
        <f aca="false">IF(AND(I6=TRUE(),COUNTIFS($R$5:R6,R6,$I$5:I6,TRUE())=1),1,0)</f>
        <v>0</v>
      </c>
      <c r="T6" s="73" t="n">
        <v>0.25</v>
      </c>
      <c r="U6" s="44" t="n">
        <v>1.21</v>
      </c>
      <c r="V6" s="44" t="n">
        <v>1.214825</v>
      </c>
      <c r="W6" s="44" t="n">
        <f aca="false">SUM(Z6:AE6)</f>
        <v>0.19</v>
      </c>
      <c r="X6" s="17" t="s">
        <v>111</v>
      </c>
      <c r="Y6" s="54" t="n">
        <v>45943</v>
      </c>
      <c r="Z6" s="44" t="n">
        <v>0.07</v>
      </c>
      <c r="AA6" s="44" t="n">
        <v>0</v>
      </c>
      <c r="AB6" s="44" t="n">
        <v>0</v>
      </c>
      <c r="AC6" s="44" t="n">
        <v>0</v>
      </c>
      <c r="AD6" s="44" t="n">
        <v>0.12</v>
      </c>
      <c r="AE6" s="44" t="n">
        <v>0</v>
      </c>
      <c r="AF6" s="17" t="n">
        <f aca="false">IF(AND(E6&gt;0,COUNTIFS($R$5:R6,R6,$E$5:E6,"&gt;0")=1),1,0)</f>
        <v>1</v>
      </c>
      <c r="AG6" s="17" t="n">
        <f aca="false">IF(AND(E6&gt;0,COUNTIFS($R$5:R6,R6,$K$5:K6,K6,$E$5:E6,"&gt;0")=1),1,0)</f>
        <v>1</v>
      </c>
    </row>
    <row r="7" customFormat="false" ht="15" hidden="false" customHeight="false" outlineLevel="0" collapsed="false">
      <c r="A7" s="14" t="n">
        <v>4524317961</v>
      </c>
      <c r="B7" s="77" t="n">
        <v>45949.9062152778</v>
      </c>
      <c r="C7" s="77" t="n">
        <v>45949.9151041667</v>
      </c>
      <c r="D7" s="38" t="n">
        <v>0.213333333333333</v>
      </c>
      <c r="E7" s="38" t="n">
        <v>9.2283</v>
      </c>
      <c r="F7" s="38" t="n">
        <v>0</v>
      </c>
      <c r="G7" s="14" t="s">
        <v>67</v>
      </c>
      <c r="H7" s="78" t="b">
        <f aca="false">FALSE()</f>
        <v>0</v>
      </c>
      <c r="I7" s="78" t="b">
        <f aca="false">FALSE()</f>
        <v>0</v>
      </c>
      <c r="J7" s="55"/>
      <c r="K7" s="14" t="s">
        <v>229</v>
      </c>
      <c r="L7" s="14" t="s">
        <v>226</v>
      </c>
      <c r="M7" s="14"/>
      <c r="N7" s="14"/>
      <c r="O7" s="14"/>
      <c r="P7" s="42"/>
      <c r="Q7" s="42"/>
      <c r="R7" s="53" t="n">
        <f aca="false">INT(B7)</f>
        <v>45949</v>
      </c>
      <c r="S7" s="14" t="n">
        <f aca="false">IF(AND(I7=TRUE(),COUNTIFS($R$5:R7,R7,$I$5:I7,TRUE())=1),1,0)</f>
        <v>0</v>
      </c>
      <c r="T7" s="71"/>
      <c r="U7" s="42"/>
      <c r="V7" s="42"/>
      <c r="W7" s="42" t="n">
        <f aca="false">SUM(Z7:AE7)</f>
        <v>0</v>
      </c>
      <c r="X7" s="14" t="s">
        <v>111</v>
      </c>
      <c r="Y7" s="53" t="n">
        <v>45943</v>
      </c>
      <c r="Z7" s="42"/>
      <c r="AA7" s="42"/>
      <c r="AB7" s="42"/>
      <c r="AC7" s="42"/>
      <c r="AD7" s="42"/>
      <c r="AE7" s="42"/>
      <c r="AF7" s="14" t="n">
        <f aca="false">IF(AND(E7&gt;0,COUNTIFS($R$5:R7,R7,$E$5:E7,"&gt;0")=1),1,0)</f>
        <v>0</v>
      </c>
      <c r="AG7" s="14" t="n">
        <f aca="false">IF(AND(E7&gt;0,COUNTIFS($R$5:R7,R7,$K$5:K7,K7,$E$5:E7,"&gt;0")=1),1,0)</f>
        <v>0</v>
      </c>
    </row>
    <row r="8" customFormat="false" ht="15" hidden="false" customHeight="false" outlineLevel="0" collapsed="false">
      <c r="A8" s="17" t="n">
        <v>4526984361</v>
      </c>
      <c r="B8" s="79" t="n">
        <v>45950.7893865741</v>
      </c>
      <c r="C8" s="79" t="n">
        <v>45950.7901736111</v>
      </c>
      <c r="D8" s="39" t="n">
        <v>0.0188888888888888</v>
      </c>
      <c r="E8" s="39" t="n">
        <v>0</v>
      </c>
      <c r="F8" s="39" t="n">
        <v>0</v>
      </c>
      <c r="G8" s="17" t="s">
        <v>67</v>
      </c>
      <c r="H8" s="80" t="b">
        <f aca="false">FALSE()</f>
        <v>0</v>
      </c>
      <c r="I8" s="80" t="b">
        <f aca="false">FALSE()</f>
        <v>0</v>
      </c>
      <c r="J8" s="81"/>
      <c r="K8" s="17" t="s">
        <v>229</v>
      </c>
      <c r="L8" s="17" t="s">
        <v>226</v>
      </c>
      <c r="M8" s="17"/>
      <c r="N8" s="17"/>
      <c r="O8" s="17"/>
      <c r="P8" s="44"/>
      <c r="Q8" s="44"/>
      <c r="R8" s="54" t="n">
        <f aca="false">INT(B8)</f>
        <v>45950</v>
      </c>
      <c r="S8" s="17" t="n">
        <f aca="false">IF(AND(I8=TRUE(),COUNTIFS($R$5:R8,R8,$I$5:I8,TRUE())=1),1,0)</f>
        <v>0</v>
      </c>
      <c r="T8" s="73"/>
      <c r="U8" s="44"/>
      <c r="V8" s="44"/>
      <c r="W8" s="44" t="n">
        <f aca="false">SUM(Z8:AE8)</f>
        <v>0</v>
      </c>
      <c r="X8" s="17" t="s">
        <v>105</v>
      </c>
      <c r="Y8" s="54" t="n">
        <v>45950</v>
      </c>
      <c r="Z8" s="44"/>
      <c r="AA8" s="44"/>
      <c r="AB8" s="44"/>
      <c r="AC8" s="44"/>
      <c r="AD8" s="44"/>
      <c r="AE8" s="44"/>
      <c r="AF8" s="17" t="n">
        <f aca="false">IF(AND(E8&gt;0,COUNTIFS($R$5:R8,R8,$E$5:E8,"&gt;0")=1),1,0)</f>
        <v>0</v>
      </c>
      <c r="AG8" s="17" t="n">
        <f aca="false">IF(AND(E8&gt;0,COUNTIFS($R$5:R8,R8,$K$5:K8,K8,$E$5:E8,"&gt;0")=1),1,0)</f>
        <v>0</v>
      </c>
    </row>
    <row r="9" customFormat="false" ht="15" hidden="false" customHeight="false" outlineLevel="0" collapsed="false">
      <c r="A9" s="14" t="n">
        <v>4526989521</v>
      </c>
      <c r="B9" s="77" t="n">
        <v>45950.7903819445</v>
      </c>
      <c r="C9" s="77" t="n">
        <v>45950.8387152778</v>
      </c>
      <c r="D9" s="38" t="n">
        <v>1.16</v>
      </c>
      <c r="E9" s="38" t="n">
        <v>26.1175</v>
      </c>
      <c r="F9" s="38" t="n">
        <v>62.474</v>
      </c>
      <c r="G9" s="14" t="s">
        <v>67</v>
      </c>
      <c r="H9" s="78" t="b">
        <f aca="false">TRUE()</f>
        <v>1</v>
      </c>
      <c r="I9" s="78" t="b">
        <f aca="false">FALSE()</f>
        <v>0</v>
      </c>
      <c r="J9" s="55" t="n">
        <v>1</v>
      </c>
      <c r="K9" s="14" t="s">
        <v>229</v>
      </c>
      <c r="L9" s="14" t="s">
        <v>226</v>
      </c>
      <c r="M9" s="14" t="s">
        <v>230</v>
      </c>
      <c r="N9" s="14"/>
      <c r="O9" s="14" t="s">
        <v>228</v>
      </c>
      <c r="P9" s="42" t="n">
        <v>6.92</v>
      </c>
      <c r="Q9" s="42" t="n">
        <v>5.88</v>
      </c>
      <c r="R9" s="53" t="n">
        <f aca="false">INT(B9)</f>
        <v>45950</v>
      </c>
      <c r="S9" s="14" t="n">
        <f aca="false">IF(AND(I9=TRUE(),COUNTIFS($R$5:R9,R9,$I$5:I9,TRUE())=1),1,0)</f>
        <v>0</v>
      </c>
      <c r="T9" s="71" t="n">
        <v>0.25</v>
      </c>
      <c r="U9" s="42" t="n">
        <v>6.53</v>
      </c>
      <c r="V9" s="42" t="n">
        <v>6.529375</v>
      </c>
      <c r="W9" s="42" t="n">
        <f aca="false">SUM(Z9:AE9)</f>
        <v>1.04</v>
      </c>
      <c r="X9" s="14" t="s">
        <v>105</v>
      </c>
      <c r="Y9" s="53" t="n">
        <v>45950</v>
      </c>
      <c r="Z9" s="42" t="n">
        <v>0.39</v>
      </c>
      <c r="AA9" s="42" t="n">
        <v>0</v>
      </c>
      <c r="AB9" s="42" t="n">
        <v>0</v>
      </c>
      <c r="AC9" s="42" t="n">
        <v>0</v>
      </c>
      <c r="AD9" s="42" t="n">
        <v>0.65</v>
      </c>
      <c r="AE9" s="42" t="n">
        <v>0</v>
      </c>
      <c r="AF9" s="14" t="n">
        <f aca="false">IF(AND(E9&gt;0,COUNTIFS($R$5:R9,R9,$E$5:E9,"&gt;0")=1),1,0)</f>
        <v>1</v>
      </c>
      <c r="AG9" s="14" t="n">
        <f aca="false">IF(AND(E9&gt;0,COUNTIFS($R$5:R9,R9,$K$5:K9,K9,$E$5:E9,"&gt;0")=1),1,0)</f>
        <v>1</v>
      </c>
    </row>
    <row r="10" customFormat="false" ht="15" hidden="false" customHeight="false" outlineLevel="0" collapsed="false">
      <c r="A10" s="17" t="n">
        <v>4530183221</v>
      </c>
      <c r="B10" s="79" t="n">
        <v>45951.7118402778</v>
      </c>
      <c r="C10" s="79" t="n">
        <v>45951.7437615741</v>
      </c>
      <c r="D10" s="39" t="n">
        <v>0.766111111111111</v>
      </c>
      <c r="E10" s="39" t="n">
        <v>42.2076</v>
      </c>
      <c r="F10" s="39" t="n">
        <v>61.541</v>
      </c>
      <c r="G10" s="17" t="s">
        <v>66</v>
      </c>
      <c r="H10" s="80" t="b">
        <f aca="false">TRUE()</f>
        <v>1</v>
      </c>
      <c r="I10" s="80" t="b">
        <f aca="false">FALSE()</f>
        <v>0</v>
      </c>
      <c r="J10" s="81" t="n">
        <v>1</v>
      </c>
      <c r="K10" s="17" t="s">
        <v>229</v>
      </c>
      <c r="L10" s="17" t="s">
        <v>226</v>
      </c>
      <c r="M10" s="17" t="s">
        <v>231</v>
      </c>
      <c r="N10" s="17"/>
      <c r="O10" s="17" t="s">
        <v>232</v>
      </c>
      <c r="P10" s="44" t="n">
        <v>11.18</v>
      </c>
      <c r="Q10" s="44" t="n">
        <v>9.5</v>
      </c>
      <c r="R10" s="54" t="n">
        <f aca="false">INT(B10)</f>
        <v>45951</v>
      </c>
      <c r="S10" s="17" t="n">
        <f aca="false">IF(AND(I10=TRUE(),COUNTIFS($R$5:R10,R10,$I$5:I10,TRUE())=1),1,0)</f>
        <v>0</v>
      </c>
      <c r="T10" s="73" t="n">
        <v>0.25</v>
      </c>
      <c r="U10" s="44" t="n">
        <v>10.55</v>
      </c>
      <c r="V10" s="44" t="n">
        <v>10.5519</v>
      </c>
      <c r="W10" s="44" t="n">
        <f aca="false">SUM(Z10:AE10)</f>
        <v>1.68</v>
      </c>
      <c r="X10" s="17" t="s">
        <v>106</v>
      </c>
      <c r="Y10" s="54" t="n">
        <v>45950</v>
      </c>
      <c r="Z10" s="44" t="n">
        <v>0.63</v>
      </c>
      <c r="AA10" s="44" t="n">
        <v>0</v>
      </c>
      <c r="AB10" s="44" t="n">
        <v>0</v>
      </c>
      <c r="AC10" s="44" t="n">
        <v>0</v>
      </c>
      <c r="AD10" s="44" t="n">
        <v>1.05</v>
      </c>
      <c r="AE10" s="44" t="n">
        <v>0</v>
      </c>
      <c r="AF10" s="17" t="n">
        <f aca="false">IF(AND(E10&gt;0,COUNTIFS($R$5:R10,R10,$E$5:E10,"&gt;0")=1),1,0)</f>
        <v>1</v>
      </c>
      <c r="AG10" s="17" t="n">
        <f aca="false">IF(AND(E10&gt;0,COUNTIFS($R$5:R10,R10,$K$5:K10,K10,$E$5:E10,"&gt;0")=1),1,0)</f>
        <v>1</v>
      </c>
    </row>
    <row r="11" customFormat="false" ht="15" hidden="false" customHeight="false" outlineLevel="0" collapsed="false">
      <c r="A11" s="14" t="n">
        <v>4530304121</v>
      </c>
      <c r="B11" s="77" t="n">
        <v>45951.7438657407</v>
      </c>
      <c r="C11" s="77" t="n">
        <v>45951.7517361111</v>
      </c>
      <c r="D11" s="38" t="n">
        <v>0.188888888888889</v>
      </c>
      <c r="E11" s="38" t="n">
        <v>0.583891</v>
      </c>
      <c r="F11" s="38" t="n">
        <v>3.8065</v>
      </c>
      <c r="G11" s="14" t="s">
        <v>66</v>
      </c>
      <c r="H11" s="78" t="b">
        <f aca="false">FALSE()</f>
        <v>0</v>
      </c>
      <c r="I11" s="78" t="b">
        <f aca="false">FALSE()</f>
        <v>0</v>
      </c>
      <c r="J11" s="55" t="n">
        <v>0</v>
      </c>
      <c r="K11" s="14" t="s">
        <v>225</v>
      </c>
      <c r="L11" s="14" t="s">
        <v>233</v>
      </c>
      <c r="M11" s="14"/>
      <c r="N11" s="14"/>
      <c r="O11" s="14"/>
      <c r="P11" s="42" t="n">
        <v>0.16</v>
      </c>
      <c r="Q11" s="42" t="n">
        <v>0.14</v>
      </c>
      <c r="R11" s="53" t="n">
        <f aca="false">INT(B11)</f>
        <v>45951</v>
      </c>
      <c r="S11" s="14" t="n">
        <f aca="false">IF(AND(I11=TRUE(),COUNTIFS($R$5:R11,R11,$I$5:I11,TRUE())=1),1,0)</f>
        <v>0</v>
      </c>
      <c r="T11" s="71" t="n">
        <v>0.25</v>
      </c>
      <c r="U11" s="42" t="n">
        <v>0.15</v>
      </c>
      <c r="V11" s="42" t="n">
        <v>0.14597275</v>
      </c>
      <c r="W11" s="42" t="n">
        <f aca="false">SUM(Z11:AE11)</f>
        <v>0.02</v>
      </c>
      <c r="X11" s="14" t="s">
        <v>106</v>
      </c>
      <c r="Y11" s="53" t="n">
        <v>45950</v>
      </c>
      <c r="Z11" s="42" t="n">
        <v>0.01</v>
      </c>
      <c r="AA11" s="42" t="n">
        <v>0</v>
      </c>
      <c r="AB11" s="42" t="n">
        <v>0</v>
      </c>
      <c r="AC11" s="42" t="n">
        <v>0</v>
      </c>
      <c r="AD11" s="42" t="n">
        <v>0.01</v>
      </c>
      <c r="AE11" s="42" t="n">
        <v>0</v>
      </c>
      <c r="AF11" s="14" t="n">
        <f aca="false">IF(AND(E11&gt;0,COUNTIFS($R$5:R11,R11,$E$5:E11,"&gt;0")=1),1,0)</f>
        <v>0</v>
      </c>
      <c r="AG11" s="14" t="n">
        <f aca="false">IF(AND(E11&gt;0,COUNTIFS($R$5:R11,R11,$K$5:K11,K11,$E$5:E11,"&gt;0")=1),1,0)</f>
        <v>1</v>
      </c>
    </row>
    <row r="12" customFormat="false" ht="15" hidden="false" customHeight="false" outlineLevel="0" collapsed="false">
      <c r="A12" s="17" t="n">
        <v>4530323111</v>
      </c>
      <c r="B12" s="79" t="n">
        <v>45951.7483101852</v>
      </c>
      <c r="C12" s="79" t="n">
        <v>45951.7484722222</v>
      </c>
      <c r="D12" s="39" t="n">
        <v>0.0038888888888888</v>
      </c>
      <c r="E12" s="39" t="n">
        <v>0</v>
      </c>
      <c r="F12" s="39"/>
      <c r="G12" s="17" t="s">
        <v>66</v>
      </c>
      <c r="H12" s="80" t="b">
        <f aca="false">FALSE()</f>
        <v>0</v>
      </c>
      <c r="I12" s="80" t="b">
        <f aca="false">FALSE()</f>
        <v>0</v>
      </c>
      <c r="J12" s="81"/>
      <c r="K12" s="17" t="s">
        <v>225</v>
      </c>
      <c r="L12" s="17" t="s">
        <v>233</v>
      </c>
      <c r="M12" s="17"/>
      <c r="N12" s="17"/>
      <c r="O12" s="17"/>
      <c r="P12" s="44"/>
      <c r="Q12" s="44"/>
      <c r="R12" s="54" t="n">
        <f aca="false">INT(B12)</f>
        <v>45951</v>
      </c>
      <c r="S12" s="17" t="n">
        <f aca="false">IF(AND(I12=TRUE(),COUNTIFS($R$5:R12,R12,$I$5:I12,TRUE())=1),1,0)</f>
        <v>0</v>
      </c>
      <c r="T12" s="73"/>
      <c r="U12" s="44"/>
      <c r="V12" s="44"/>
      <c r="W12" s="44" t="n">
        <f aca="false">SUM(Z12:AE12)</f>
        <v>0</v>
      </c>
      <c r="X12" s="17" t="s">
        <v>106</v>
      </c>
      <c r="Y12" s="54" t="n">
        <v>45950</v>
      </c>
      <c r="Z12" s="44"/>
      <c r="AA12" s="44"/>
      <c r="AB12" s="44"/>
      <c r="AC12" s="44"/>
      <c r="AD12" s="44"/>
      <c r="AE12" s="44"/>
      <c r="AF12" s="17" t="n">
        <f aca="false">IF(AND(E12&gt;0,COUNTIFS($R$5:R12,R12,$E$5:E12,"&gt;0")=1),1,0)</f>
        <v>0</v>
      </c>
      <c r="AG12" s="17" t="n">
        <f aca="false">IF(AND(E12&gt;0,COUNTIFS($R$5:R12,R12,$K$5:K12,K12,$E$5:E12,"&gt;0")=1),1,0)</f>
        <v>0</v>
      </c>
    </row>
    <row r="13" customFormat="false" ht="15" hidden="false" customHeight="false" outlineLevel="0" collapsed="false">
      <c r="A13" s="14" t="n">
        <v>4530350941</v>
      </c>
      <c r="B13" s="77" t="n">
        <v>45951.7559490741</v>
      </c>
      <c r="C13" s="77" t="n">
        <v>45951.7559953704</v>
      </c>
      <c r="D13" s="38" t="n">
        <v>0.0011111111111111</v>
      </c>
      <c r="E13" s="38" t="n">
        <v>0</v>
      </c>
      <c r="F13" s="38"/>
      <c r="G13" s="14" t="s">
        <v>67</v>
      </c>
      <c r="H13" s="78" t="b">
        <f aca="false">FALSE()</f>
        <v>0</v>
      </c>
      <c r="I13" s="78" t="b">
        <f aca="false">FALSE()</f>
        <v>0</v>
      </c>
      <c r="J13" s="55"/>
      <c r="K13" s="14" t="s">
        <v>225</v>
      </c>
      <c r="L13" s="14" t="s">
        <v>233</v>
      </c>
      <c r="M13" s="14"/>
      <c r="N13" s="14"/>
      <c r="O13" s="14"/>
      <c r="P13" s="42"/>
      <c r="Q13" s="42"/>
      <c r="R13" s="53" t="n">
        <f aca="false">INT(B13)</f>
        <v>45951</v>
      </c>
      <c r="S13" s="14" t="n">
        <f aca="false">IF(AND(I13=TRUE(),COUNTIFS($R$5:R13,R13,$I$5:I13,TRUE())=1),1,0)</f>
        <v>0</v>
      </c>
      <c r="T13" s="71"/>
      <c r="U13" s="42"/>
      <c r="V13" s="42"/>
      <c r="W13" s="42" t="n">
        <f aca="false">SUM(Z13:AE13)</f>
        <v>0</v>
      </c>
      <c r="X13" s="14" t="s">
        <v>106</v>
      </c>
      <c r="Y13" s="53" t="n">
        <v>45950</v>
      </c>
      <c r="Z13" s="42"/>
      <c r="AA13" s="42"/>
      <c r="AB13" s="42"/>
      <c r="AC13" s="42"/>
      <c r="AD13" s="42"/>
      <c r="AE13" s="42"/>
      <c r="AF13" s="14" t="n">
        <f aca="false">IF(AND(E13&gt;0,COUNTIFS($R$5:R13,R13,$E$5:E13,"&gt;0")=1),1,0)</f>
        <v>0</v>
      </c>
      <c r="AG13" s="14" t="n">
        <f aca="false">IF(AND(E13&gt;0,COUNTIFS($R$5:R13,R13,$K$5:K13,K13,$E$5:E13,"&gt;0")=1),1,0)</f>
        <v>0</v>
      </c>
    </row>
    <row r="14" customFormat="false" ht="15" hidden="false" customHeight="false" outlineLevel="0" collapsed="false">
      <c r="A14" s="17" t="n">
        <v>4530386071</v>
      </c>
      <c r="B14" s="79" t="n">
        <v>45951.7653935185</v>
      </c>
      <c r="C14" s="79" t="n">
        <v>45951.9968171296</v>
      </c>
      <c r="D14" s="39" t="n">
        <v>5.55416666666667</v>
      </c>
      <c r="E14" s="39" t="n">
        <v>12.813871</v>
      </c>
      <c r="F14" s="39" t="n">
        <v>3.7016</v>
      </c>
      <c r="G14" s="17" t="s">
        <v>67</v>
      </c>
      <c r="H14" s="80" t="b">
        <f aca="false">FALSE()</f>
        <v>0</v>
      </c>
      <c r="I14" s="80" t="b">
        <f aca="false">FALSE()</f>
        <v>0</v>
      </c>
      <c r="J14" s="81" t="n">
        <v>0</v>
      </c>
      <c r="K14" s="17" t="s">
        <v>225</v>
      </c>
      <c r="L14" s="17" t="s">
        <v>233</v>
      </c>
      <c r="M14" s="17"/>
      <c r="N14" s="17"/>
      <c r="O14" s="17"/>
      <c r="P14" s="44" t="n">
        <v>3.39</v>
      </c>
      <c r="Q14" s="44" t="n">
        <v>2.88</v>
      </c>
      <c r="R14" s="54" t="n">
        <f aca="false">INT(B14)</f>
        <v>45951</v>
      </c>
      <c r="S14" s="17" t="n">
        <f aca="false">IF(AND(I14=TRUE(),COUNTIFS($R$5:R14,R14,$I$5:I14,TRUE())=1),1,0)</f>
        <v>0</v>
      </c>
      <c r="T14" s="73" t="n">
        <v>0.25</v>
      </c>
      <c r="U14" s="44" t="n">
        <v>3.2</v>
      </c>
      <c r="V14" s="44" t="n">
        <v>3.20346775</v>
      </c>
      <c r="W14" s="44" t="n">
        <f aca="false">SUM(Z14:AE14)</f>
        <v>0.51</v>
      </c>
      <c r="X14" s="17" t="s">
        <v>106</v>
      </c>
      <c r="Y14" s="54" t="n">
        <v>45950</v>
      </c>
      <c r="Z14" s="44" t="n">
        <v>0.19</v>
      </c>
      <c r="AA14" s="44" t="n">
        <v>0</v>
      </c>
      <c r="AB14" s="44" t="n">
        <v>0</v>
      </c>
      <c r="AC14" s="44" t="n">
        <v>0</v>
      </c>
      <c r="AD14" s="44" t="n">
        <v>0.32</v>
      </c>
      <c r="AE14" s="44" t="n">
        <v>0</v>
      </c>
      <c r="AF14" s="17" t="n">
        <f aca="false">IF(AND(E14&gt;0,COUNTIFS($R$5:R14,R14,$E$5:E14,"&gt;0")=1),1,0)</f>
        <v>0</v>
      </c>
      <c r="AG14" s="17" t="n">
        <f aca="false">IF(AND(E14&gt;0,COUNTIFS($R$5:R14,R14,$K$5:K14,K14,$E$5:E14,"&gt;0")=1),1,0)</f>
        <v>0</v>
      </c>
    </row>
    <row r="15" customFormat="false" ht="15" hidden="false" customHeight="false" outlineLevel="0" collapsed="false">
      <c r="A15" s="14" t="n">
        <v>4533809491</v>
      </c>
      <c r="B15" s="77" t="n">
        <v>45952.7857986111</v>
      </c>
      <c r="C15" s="77" t="n">
        <v>45952.8405208333</v>
      </c>
      <c r="D15" s="38" t="n">
        <v>1.31333333333333</v>
      </c>
      <c r="E15" s="38" t="n">
        <v>42.079498</v>
      </c>
      <c r="F15" s="38" t="n">
        <v>62.523</v>
      </c>
      <c r="G15" s="14" t="s">
        <v>67</v>
      </c>
      <c r="H15" s="78" t="b">
        <f aca="false">TRUE()</f>
        <v>1</v>
      </c>
      <c r="I15" s="78" t="b">
        <f aca="false">FALSE()</f>
        <v>0</v>
      </c>
      <c r="J15" s="55" t="n">
        <v>1</v>
      </c>
      <c r="K15" s="14" t="s">
        <v>229</v>
      </c>
      <c r="L15" s="14" t="s">
        <v>226</v>
      </c>
      <c r="M15" s="14" t="s">
        <v>230</v>
      </c>
      <c r="N15" s="14"/>
      <c r="O15" s="14" t="s">
        <v>228</v>
      </c>
      <c r="P15" s="42" t="n">
        <v>23.09</v>
      </c>
      <c r="Q15" s="42" t="n">
        <v>19.87</v>
      </c>
      <c r="R15" s="53" t="n">
        <f aca="false">INT(B15)</f>
        <v>45952</v>
      </c>
      <c r="S15" s="14" t="n">
        <f aca="false">IF(AND(I15=TRUE(),COUNTIFS($R$5:R15,R15,$I$5:I15,TRUE())=1),1,0)</f>
        <v>0</v>
      </c>
      <c r="T15" s="71" t="n">
        <v>0.4</v>
      </c>
      <c r="U15" s="42" t="n">
        <v>22.08</v>
      </c>
      <c r="V15" s="42" t="n">
        <v>16.8317992</v>
      </c>
      <c r="W15" s="42" t="n">
        <f aca="false">SUM(Z15:AE15)</f>
        <v>3.22</v>
      </c>
      <c r="X15" s="14" t="s">
        <v>107</v>
      </c>
      <c r="Y15" s="53" t="n">
        <v>45950</v>
      </c>
      <c r="Z15" s="42" t="n">
        <v>1.01</v>
      </c>
      <c r="AA15" s="42" t="n">
        <v>0</v>
      </c>
      <c r="AB15" s="42" t="n">
        <v>0</v>
      </c>
      <c r="AC15" s="42" t="n">
        <v>0</v>
      </c>
      <c r="AD15" s="42" t="n">
        <v>2.21</v>
      </c>
      <c r="AE15" s="42" t="n">
        <v>0</v>
      </c>
      <c r="AF15" s="14" t="n">
        <f aca="false">IF(AND(E15&gt;0,COUNTIFS($R$5:R15,R15,$E$5:E15,"&gt;0")=1),1,0)</f>
        <v>1</v>
      </c>
      <c r="AG15" s="14" t="n">
        <f aca="false">IF(AND(E15&gt;0,COUNTIFS($R$5:R15,R15,$K$5:K15,K15,$E$5:E15,"&gt;0")=1),1,0)</f>
        <v>1</v>
      </c>
    </row>
    <row r="16" customFormat="false" ht="15" hidden="false" customHeight="false" outlineLevel="0" collapsed="false">
      <c r="A16" s="17" t="n">
        <v>4540153751</v>
      </c>
      <c r="B16" s="79" t="n">
        <v>45954.6730324074</v>
      </c>
      <c r="C16" s="79" t="n">
        <v>45954.6884490741</v>
      </c>
      <c r="D16" s="39" t="n">
        <v>0.37</v>
      </c>
      <c r="E16" s="39" t="n">
        <v>8.8275</v>
      </c>
      <c r="F16" s="39" t="n">
        <v>47.125</v>
      </c>
      <c r="G16" s="17" t="s">
        <v>66</v>
      </c>
      <c r="H16" s="80" t="b">
        <f aca="false">TRUE()</f>
        <v>1</v>
      </c>
      <c r="I16" s="80" t="b">
        <f aca="false">FALSE()</f>
        <v>0</v>
      </c>
      <c r="J16" s="81" t="n">
        <v>1</v>
      </c>
      <c r="K16" s="17" t="s">
        <v>229</v>
      </c>
      <c r="L16" s="17" t="s">
        <v>226</v>
      </c>
      <c r="M16" s="17" t="s">
        <v>234</v>
      </c>
      <c r="N16" s="17" t="s">
        <v>235</v>
      </c>
      <c r="O16" s="17" t="s">
        <v>228</v>
      </c>
      <c r="P16" s="44" t="n">
        <v>5.22</v>
      </c>
      <c r="Q16" s="44" t="n">
        <v>4.51</v>
      </c>
      <c r="R16" s="54" t="n">
        <f aca="false">INT(B16)</f>
        <v>45954</v>
      </c>
      <c r="S16" s="17" t="n">
        <f aca="false">IF(AND(I16=TRUE(),COUNTIFS($R$5:R16,R16,$I$5:I16,TRUE())=1),1,0)</f>
        <v>0</v>
      </c>
      <c r="T16" s="73" t="n">
        <v>0.4</v>
      </c>
      <c r="U16" s="44" t="n">
        <v>5.01</v>
      </c>
      <c r="V16" s="44" t="n">
        <v>3.531</v>
      </c>
      <c r="W16" s="44" t="n">
        <f aca="false">SUM(Z16:AE16)</f>
        <v>0.71</v>
      </c>
      <c r="X16" s="17" t="s">
        <v>109</v>
      </c>
      <c r="Y16" s="54" t="n">
        <v>45950</v>
      </c>
      <c r="Z16" s="44" t="n">
        <v>0.21</v>
      </c>
      <c r="AA16" s="44" t="n">
        <v>0</v>
      </c>
      <c r="AB16" s="44" t="n">
        <v>0</v>
      </c>
      <c r="AC16" s="44" t="n">
        <v>0</v>
      </c>
      <c r="AD16" s="44" t="n">
        <v>0.5</v>
      </c>
      <c r="AE16" s="44" t="n">
        <v>0</v>
      </c>
      <c r="AF16" s="17" t="n">
        <f aca="false">IF(AND(E16&gt;0,COUNTIFS($R$5:R16,R16,$E$5:E16,"&gt;0")=1),1,0)</f>
        <v>1</v>
      </c>
      <c r="AG16" s="17" t="n">
        <f aca="false">IF(AND(E16&gt;0,COUNTIFS($R$5:R16,R16,$K$5:K16,K16,$E$5:E16,"&gt;0")=1),1,0)</f>
        <v>1</v>
      </c>
    </row>
    <row r="17" customFormat="false" ht="15" hidden="false" customHeight="false" outlineLevel="0" collapsed="false">
      <c r="A17" s="14" t="n">
        <v>4540492661</v>
      </c>
      <c r="B17" s="77" t="n">
        <v>45954.7545486111</v>
      </c>
      <c r="C17" s="77" t="n">
        <v>45954.7583217593</v>
      </c>
      <c r="D17" s="38" t="n">
        <v>0.0905555555555555</v>
      </c>
      <c r="E17" s="38" t="n">
        <v>0</v>
      </c>
      <c r="F17" s="38" t="n">
        <v>0</v>
      </c>
      <c r="G17" s="14" t="s">
        <v>67</v>
      </c>
      <c r="H17" s="78" t="b">
        <f aca="false">FALSE()</f>
        <v>0</v>
      </c>
      <c r="I17" s="78" t="b">
        <f aca="false">FALSE()</f>
        <v>0</v>
      </c>
      <c r="J17" s="55"/>
      <c r="K17" s="14" t="s">
        <v>229</v>
      </c>
      <c r="L17" s="14" t="s">
        <v>226</v>
      </c>
      <c r="M17" s="14" t="s">
        <v>236</v>
      </c>
      <c r="N17" s="14" t="s">
        <v>237</v>
      </c>
      <c r="O17" s="14" t="s">
        <v>232</v>
      </c>
      <c r="P17" s="42" t="n">
        <v>0.36</v>
      </c>
      <c r="Q17" s="42" t="n">
        <v>0.32</v>
      </c>
      <c r="R17" s="53" t="n">
        <f aca="false">INT(B17)</f>
        <v>45954</v>
      </c>
      <c r="S17" s="14" t="n">
        <f aca="false">IF(AND(I17=TRUE(),COUNTIFS($R$5:R17,R17,$I$5:I17,TRUE())=1),1,0)</f>
        <v>0</v>
      </c>
      <c r="T17" s="71" t="n">
        <v>0.4</v>
      </c>
      <c r="U17" s="42" t="n">
        <v>0.36</v>
      </c>
      <c r="V17" s="42" t="n">
        <v>0</v>
      </c>
      <c r="W17" s="42" t="n">
        <f aca="false">SUM(Z17:AE17)</f>
        <v>0.04</v>
      </c>
      <c r="X17" s="14" t="s">
        <v>109</v>
      </c>
      <c r="Y17" s="53" t="n">
        <v>45950</v>
      </c>
      <c r="Z17" s="42" t="n">
        <v>0</v>
      </c>
      <c r="AA17" s="42" t="n">
        <v>0</v>
      </c>
      <c r="AB17" s="42" t="n">
        <v>0</v>
      </c>
      <c r="AC17" s="42" t="n">
        <v>0</v>
      </c>
      <c r="AD17" s="42" t="n">
        <v>0.04</v>
      </c>
      <c r="AE17" s="42" t="n">
        <v>0</v>
      </c>
      <c r="AF17" s="14" t="n">
        <f aca="false">IF(AND(E17&gt;0,COUNTIFS($R$5:R17,R17,$E$5:E17,"&gt;0")=1),1,0)</f>
        <v>0</v>
      </c>
      <c r="AG17" s="14" t="n">
        <f aca="false">IF(AND(E17&gt;0,COUNTIFS($R$5:R17,R17,$K$5:K17,K17,$E$5:E17,"&gt;0")=1),1,0)</f>
        <v>0</v>
      </c>
    </row>
    <row r="18" customFormat="false" ht="15" hidden="false" customHeight="false" outlineLevel="0" collapsed="false">
      <c r="A18" s="17" t="n">
        <v>4540515451</v>
      </c>
      <c r="B18" s="79" t="n">
        <v>45954.7606134259</v>
      </c>
      <c r="C18" s="79" t="n">
        <v>45954.7616203704</v>
      </c>
      <c r="D18" s="39" t="n">
        <v>0.0241666666666666</v>
      </c>
      <c r="E18" s="39" t="n">
        <v>0</v>
      </c>
      <c r="F18" s="39" t="n">
        <v>0</v>
      </c>
      <c r="G18" s="17" t="s">
        <v>67</v>
      </c>
      <c r="H18" s="80" t="b">
        <f aca="false">FALSE()</f>
        <v>0</v>
      </c>
      <c r="I18" s="80" t="b">
        <f aca="false">FALSE()</f>
        <v>0</v>
      </c>
      <c r="J18" s="81"/>
      <c r="K18" s="17" t="s">
        <v>229</v>
      </c>
      <c r="L18" s="17" t="s">
        <v>226</v>
      </c>
      <c r="M18" s="17"/>
      <c r="N18" s="17"/>
      <c r="O18" s="17"/>
      <c r="P18" s="44"/>
      <c r="Q18" s="44"/>
      <c r="R18" s="54" t="n">
        <f aca="false">INT(B18)</f>
        <v>45954</v>
      </c>
      <c r="S18" s="17" t="n">
        <f aca="false">IF(AND(I18=TRUE(),COUNTIFS($R$5:R18,R18,$I$5:I18,TRUE())=1),1,0)</f>
        <v>0</v>
      </c>
      <c r="T18" s="73"/>
      <c r="U18" s="44"/>
      <c r="V18" s="44"/>
      <c r="W18" s="44" t="n">
        <f aca="false">SUM(Z18:AE18)</f>
        <v>0</v>
      </c>
      <c r="X18" s="17" t="s">
        <v>109</v>
      </c>
      <c r="Y18" s="54" t="n">
        <v>45950</v>
      </c>
      <c r="Z18" s="44"/>
      <c r="AA18" s="44"/>
      <c r="AB18" s="44"/>
      <c r="AC18" s="44"/>
      <c r="AD18" s="44"/>
      <c r="AE18" s="44"/>
      <c r="AF18" s="17" t="n">
        <f aca="false">IF(AND(E18&gt;0,COUNTIFS($R$5:R18,R18,$E$5:E18,"&gt;0")=1),1,0)</f>
        <v>0</v>
      </c>
      <c r="AG18" s="17" t="n">
        <f aca="false">IF(AND(E18&gt;0,COUNTIFS($R$5:R18,R18,$K$5:K18,K18,$E$5:E18,"&gt;0")=1),1,0)</f>
        <v>0</v>
      </c>
    </row>
    <row r="19" customFormat="false" ht="15" hidden="false" customHeight="false" outlineLevel="0" collapsed="false">
      <c r="A19" s="14" t="n">
        <v>4540546531</v>
      </c>
      <c r="B19" s="77" t="n">
        <v>45954.7687384259</v>
      </c>
      <c r="C19" s="77" t="n">
        <v>45954.8025</v>
      </c>
      <c r="D19" s="38" t="n">
        <v>0.810277777777778</v>
      </c>
      <c r="E19" s="38" t="n">
        <v>46.164501</v>
      </c>
      <c r="F19" s="38" t="n">
        <v>60.907</v>
      </c>
      <c r="G19" s="14" t="s">
        <v>67</v>
      </c>
      <c r="H19" s="78" t="b">
        <f aca="false">TRUE()</f>
        <v>1</v>
      </c>
      <c r="I19" s="78" t="b">
        <f aca="false">FALSE()</f>
        <v>0</v>
      </c>
      <c r="J19" s="55" t="n">
        <v>1</v>
      </c>
      <c r="K19" s="14" t="s">
        <v>229</v>
      </c>
      <c r="L19" s="14" t="s">
        <v>226</v>
      </c>
      <c r="M19" s="14" t="s">
        <v>236</v>
      </c>
      <c r="N19" s="14" t="s">
        <v>237</v>
      </c>
      <c r="O19" s="14" t="s">
        <v>232</v>
      </c>
      <c r="P19" s="42" t="n">
        <v>22.82</v>
      </c>
      <c r="Q19" s="42" t="n">
        <v>19.54</v>
      </c>
      <c r="R19" s="53" t="n">
        <f aca="false">INT(B19)</f>
        <v>45954</v>
      </c>
      <c r="S19" s="14" t="n">
        <f aca="false">IF(AND(I19=TRUE(),COUNTIFS($R$5:R19,R19,$I$5:I19,TRUE())=1),1,0)</f>
        <v>0</v>
      </c>
      <c r="T19" s="71" t="n">
        <v>0.4</v>
      </c>
      <c r="U19" s="42" t="n">
        <v>21.71</v>
      </c>
      <c r="V19" s="42" t="n">
        <v>18.4658004</v>
      </c>
      <c r="W19" s="42" t="n">
        <f aca="false">SUM(Z19:AE19)</f>
        <v>3.28</v>
      </c>
      <c r="X19" s="14" t="s">
        <v>109</v>
      </c>
      <c r="Y19" s="53" t="n">
        <v>45950</v>
      </c>
      <c r="Z19" s="42" t="n">
        <v>1.11</v>
      </c>
      <c r="AA19" s="42" t="n">
        <v>0</v>
      </c>
      <c r="AB19" s="42" t="n">
        <v>0</v>
      </c>
      <c r="AC19" s="42" t="n">
        <v>0</v>
      </c>
      <c r="AD19" s="42" t="n">
        <v>2.17</v>
      </c>
      <c r="AE19" s="42" t="n">
        <v>0</v>
      </c>
      <c r="AF19" s="14" t="n">
        <f aca="false">IF(AND(E19&gt;0,COUNTIFS($R$5:R19,R19,$E$5:E19,"&gt;0")=1),1,0)</f>
        <v>0</v>
      </c>
      <c r="AG19" s="14" t="n">
        <f aca="false">IF(AND(E19&gt;0,COUNTIFS($R$5:R19,R19,$K$5:K19,K19,$E$5:E19,"&gt;0")=1),1,0)</f>
        <v>0</v>
      </c>
    </row>
    <row r="20" customFormat="false" ht="15" hidden="false" customHeight="false" outlineLevel="0" collapsed="false">
      <c r="A20" s="17" t="n">
        <v>4540698941</v>
      </c>
      <c r="B20" s="79" t="n">
        <v>45954.8055324074</v>
      </c>
      <c r="C20" s="79" t="n">
        <v>45954.821087963</v>
      </c>
      <c r="D20" s="39" t="n">
        <v>0.373333333333333</v>
      </c>
      <c r="E20" s="39" t="n">
        <v>21.1</v>
      </c>
      <c r="F20" s="39" t="n">
        <v>62.487</v>
      </c>
      <c r="G20" s="17" t="s">
        <v>67</v>
      </c>
      <c r="H20" s="80" t="b">
        <f aca="false">TRUE()</f>
        <v>1</v>
      </c>
      <c r="I20" s="80" t="b">
        <f aca="false">FALSE()</f>
        <v>0</v>
      </c>
      <c r="J20" s="81" t="n">
        <v>1</v>
      </c>
      <c r="K20" s="17" t="s">
        <v>229</v>
      </c>
      <c r="L20" s="17" t="s">
        <v>233</v>
      </c>
      <c r="M20" s="17"/>
      <c r="N20" s="17"/>
      <c r="O20" s="17"/>
      <c r="P20" s="44" t="n">
        <v>10.44</v>
      </c>
      <c r="Q20" s="44" t="n">
        <v>8.94</v>
      </c>
      <c r="R20" s="54" t="n">
        <f aca="false">INT(B20)</f>
        <v>45954</v>
      </c>
      <c r="S20" s="17" t="n">
        <f aca="false">IF(AND(I20=TRUE(),COUNTIFS($R$5:R20,R20,$I$5:I20,TRUE())=1),1,0)</f>
        <v>0</v>
      </c>
      <c r="T20" s="73" t="n">
        <v>0.4</v>
      </c>
      <c r="U20" s="44" t="n">
        <v>9.93</v>
      </c>
      <c r="V20" s="44" t="n">
        <v>8.44</v>
      </c>
      <c r="W20" s="44" t="n">
        <f aca="false">SUM(Z20:AE20)</f>
        <v>1.5</v>
      </c>
      <c r="X20" s="17" t="s">
        <v>109</v>
      </c>
      <c r="Y20" s="54" t="n">
        <v>45950</v>
      </c>
      <c r="Z20" s="44" t="n">
        <v>0.51</v>
      </c>
      <c r="AA20" s="44" t="n">
        <v>0</v>
      </c>
      <c r="AB20" s="44" t="n">
        <v>0</v>
      </c>
      <c r="AC20" s="44" t="n">
        <v>0</v>
      </c>
      <c r="AD20" s="44" t="n">
        <v>0.99</v>
      </c>
      <c r="AE20" s="44" t="n">
        <v>0</v>
      </c>
      <c r="AF20" s="17" t="n">
        <f aca="false">IF(AND(E20&gt;0,COUNTIFS($R$5:R20,R20,$E$5:E20,"&gt;0")=1),1,0)</f>
        <v>0</v>
      </c>
      <c r="AG20" s="17" t="n">
        <f aca="false">IF(AND(E20&gt;0,COUNTIFS($R$5:R20,R20,$K$5:K20,K20,$E$5:E20,"&gt;0")=1),1,0)</f>
        <v>0</v>
      </c>
    </row>
    <row r="21" customFormat="false" ht="15" hidden="false" customHeight="false" outlineLevel="0" collapsed="false">
      <c r="A21" s="14" t="n">
        <v>4540773061</v>
      </c>
      <c r="B21" s="77" t="n">
        <v>45954.8225694444</v>
      </c>
      <c r="C21" s="77" t="n">
        <v>45954.8503240741</v>
      </c>
      <c r="D21" s="38" t="n">
        <v>0.666111111111111</v>
      </c>
      <c r="E21" s="38" t="n">
        <v>14.3674</v>
      </c>
      <c r="F21" s="38" t="n">
        <v>46.875</v>
      </c>
      <c r="G21" s="14" t="s">
        <v>67</v>
      </c>
      <c r="H21" s="78" t="b">
        <f aca="false">TRUE()</f>
        <v>1</v>
      </c>
      <c r="I21" s="78" t="b">
        <f aca="false">FALSE()</f>
        <v>0</v>
      </c>
      <c r="J21" s="55" t="n">
        <v>0.983606557377049</v>
      </c>
      <c r="K21" s="14" t="s">
        <v>229</v>
      </c>
      <c r="L21" s="14" t="s">
        <v>226</v>
      </c>
      <c r="M21" s="14" t="s">
        <v>234</v>
      </c>
      <c r="N21" s="14" t="s">
        <v>235</v>
      </c>
      <c r="O21" s="14" t="s">
        <v>228</v>
      </c>
      <c r="P21" s="42" t="n">
        <v>8.76</v>
      </c>
      <c r="Q21" s="42" t="n">
        <v>7.57</v>
      </c>
      <c r="R21" s="53" t="n">
        <f aca="false">INT(B21)</f>
        <v>45954</v>
      </c>
      <c r="S21" s="14" t="n">
        <f aca="false">IF(AND(I21=TRUE(),COUNTIFS($R$5:R21,R21,$I$5:I21,TRUE())=1),1,0)</f>
        <v>0</v>
      </c>
      <c r="T21" s="71" t="n">
        <v>0.4</v>
      </c>
      <c r="U21" s="42" t="n">
        <v>8.41</v>
      </c>
      <c r="V21" s="42" t="n">
        <v>5.74696</v>
      </c>
      <c r="W21" s="42" t="n">
        <f aca="false">SUM(Z21:AE21)</f>
        <v>1.19</v>
      </c>
      <c r="X21" s="14" t="s">
        <v>109</v>
      </c>
      <c r="Y21" s="53" t="n">
        <v>45950</v>
      </c>
      <c r="Z21" s="42" t="n">
        <v>0.35</v>
      </c>
      <c r="AA21" s="42" t="n">
        <v>0</v>
      </c>
      <c r="AB21" s="42" t="n">
        <v>0</v>
      </c>
      <c r="AC21" s="42" t="n">
        <v>0</v>
      </c>
      <c r="AD21" s="42" t="n">
        <v>0.84</v>
      </c>
      <c r="AE21" s="42" t="n">
        <v>0</v>
      </c>
      <c r="AF21" s="14" t="n">
        <f aca="false">IF(AND(E21&gt;0,COUNTIFS($R$5:R21,R21,$E$5:E21,"&gt;0")=1),1,0)</f>
        <v>0</v>
      </c>
      <c r="AG21" s="14" t="n">
        <f aca="false">IF(AND(E21&gt;0,COUNTIFS($R$5:R21,R21,$K$5:K21,K21,$E$5:E21,"&gt;0")=1),1,0)</f>
        <v>0</v>
      </c>
    </row>
    <row r="22" customFormat="false" ht="15" hidden="false" customHeight="false" outlineLevel="0" collapsed="false">
      <c r="A22" s="17" t="n">
        <v>4543524101</v>
      </c>
      <c r="B22" s="79" t="n">
        <v>45955.8398611111</v>
      </c>
      <c r="C22" s="79" t="n">
        <v>45955.848287037</v>
      </c>
      <c r="D22" s="39" t="n">
        <v>0.202222222222222</v>
      </c>
      <c r="E22" s="39" t="n">
        <v>5.3031</v>
      </c>
      <c r="F22" s="39" t="n">
        <v>48.625</v>
      </c>
      <c r="G22" s="17" t="s">
        <v>67</v>
      </c>
      <c r="H22" s="80" t="b">
        <f aca="false">TRUE()</f>
        <v>1</v>
      </c>
      <c r="I22" s="80" t="b">
        <f aca="false">FALSE()</f>
        <v>0</v>
      </c>
      <c r="J22" s="81" t="n">
        <v>1</v>
      </c>
      <c r="K22" s="17" t="s">
        <v>229</v>
      </c>
      <c r="L22" s="17" t="s">
        <v>226</v>
      </c>
      <c r="M22" s="17" t="s">
        <v>227</v>
      </c>
      <c r="N22" s="17"/>
      <c r="O22" s="17" t="s">
        <v>228</v>
      </c>
      <c r="P22" s="44" t="n">
        <v>3.06</v>
      </c>
      <c r="Q22" s="44" t="n">
        <v>2.64</v>
      </c>
      <c r="R22" s="54" t="n">
        <f aca="false">INT(B22)</f>
        <v>45955</v>
      </c>
      <c r="S22" s="17" t="n">
        <f aca="false">IF(AND(I22=TRUE(),COUNTIFS($R$5:R22,R22,$I$5:I22,TRUE())=1),1,0)</f>
        <v>0</v>
      </c>
      <c r="T22" s="73" t="n">
        <v>0.4</v>
      </c>
      <c r="U22" s="44" t="n">
        <v>2.93</v>
      </c>
      <c r="V22" s="44" t="n">
        <v>2.12124</v>
      </c>
      <c r="W22" s="44" t="n">
        <f aca="false">SUM(Z22:AE22)</f>
        <v>0.42</v>
      </c>
      <c r="X22" s="17" t="s">
        <v>110</v>
      </c>
      <c r="Y22" s="54" t="n">
        <v>45950</v>
      </c>
      <c r="Z22" s="44" t="n">
        <v>0.13</v>
      </c>
      <c r="AA22" s="44" t="n">
        <v>0</v>
      </c>
      <c r="AB22" s="44" t="n">
        <v>0</v>
      </c>
      <c r="AC22" s="44" t="n">
        <v>0</v>
      </c>
      <c r="AD22" s="44" t="n">
        <v>0.29</v>
      </c>
      <c r="AE22" s="44" t="n">
        <v>0</v>
      </c>
      <c r="AF22" s="17" t="n">
        <f aca="false">IF(AND(E22&gt;0,COUNTIFS($R$5:R22,R22,$E$5:E22,"&gt;0")=1),1,0)</f>
        <v>1</v>
      </c>
      <c r="AG22" s="17" t="n">
        <f aca="false">IF(AND(E22&gt;0,COUNTIFS($R$5:R22,R22,$K$5:K22,K22,$E$5:E22,"&gt;0")=1),1,0)</f>
        <v>1</v>
      </c>
    </row>
    <row r="23" customFormat="false" ht="15" hidden="false" customHeight="false" outlineLevel="0" collapsed="false">
      <c r="A23" s="14" t="n">
        <v>4545939491</v>
      </c>
      <c r="B23" s="77" t="n">
        <v>45956.8818518519</v>
      </c>
      <c r="C23" s="77" t="n">
        <v>45956.8824074074</v>
      </c>
      <c r="D23" s="38" t="n">
        <v>0.0133333333333333</v>
      </c>
      <c r="E23" s="38" t="n">
        <v>0</v>
      </c>
      <c r="F23" s="38" t="n">
        <v>0</v>
      </c>
      <c r="G23" s="14" t="s">
        <v>67</v>
      </c>
      <c r="H23" s="78" t="b">
        <f aca="false">FALSE()</f>
        <v>0</v>
      </c>
      <c r="I23" s="78" t="b">
        <f aca="false">FALSE()</f>
        <v>0</v>
      </c>
      <c r="J23" s="55"/>
      <c r="K23" s="14" t="s">
        <v>229</v>
      </c>
      <c r="L23" s="14" t="s">
        <v>226</v>
      </c>
      <c r="M23" s="14"/>
      <c r="N23" s="14"/>
      <c r="O23" s="14"/>
      <c r="P23" s="42"/>
      <c r="Q23" s="42"/>
      <c r="R23" s="53" t="n">
        <f aca="false">INT(B23)</f>
        <v>45956</v>
      </c>
      <c r="S23" s="14" t="n">
        <f aca="false">IF(AND(I23=TRUE(),COUNTIFS($R$5:R23,R23,$I$5:I23,TRUE())=1),1,0)</f>
        <v>0</v>
      </c>
      <c r="T23" s="71"/>
      <c r="U23" s="42"/>
      <c r="V23" s="42"/>
      <c r="W23" s="42" t="n">
        <f aca="false">SUM(Z23:AE23)</f>
        <v>0</v>
      </c>
      <c r="X23" s="14" t="s">
        <v>111</v>
      </c>
      <c r="Y23" s="53" t="n">
        <v>45950</v>
      </c>
      <c r="Z23" s="42"/>
      <c r="AA23" s="42"/>
      <c r="AB23" s="42"/>
      <c r="AC23" s="42"/>
      <c r="AD23" s="42"/>
      <c r="AE23" s="42"/>
      <c r="AF23" s="14" t="n">
        <f aca="false">IF(AND(E23&gt;0,COUNTIFS($R$5:R23,R23,$E$5:E23,"&gt;0")=1),1,0)</f>
        <v>0</v>
      </c>
      <c r="AG23" s="14" t="n">
        <f aca="false">IF(AND(E23&gt;0,COUNTIFS($R$5:R23,R23,$K$5:K23,K23,$E$5:E23,"&gt;0")=1),1,0)</f>
        <v>0</v>
      </c>
    </row>
    <row r="24" customFormat="false" ht="15" hidden="false" customHeight="false" outlineLevel="0" collapsed="false">
      <c r="A24" s="17" t="n">
        <v>4545941821</v>
      </c>
      <c r="B24" s="79" t="n">
        <v>45956.8827083333</v>
      </c>
      <c r="C24" s="79" t="n">
        <v>45956.8871527778</v>
      </c>
      <c r="D24" s="39" t="n">
        <v>0.106666666666667</v>
      </c>
      <c r="E24" s="39" t="n">
        <v>5.4966</v>
      </c>
      <c r="F24" s="39" t="n">
        <v>58.5</v>
      </c>
      <c r="G24" s="17" t="s">
        <v>67</v>
      </c>
      <c r="H24" s="80" t="b">
        <f aca="false">TRUE()</f>
        <v>1</v>
      </c>
      <c r="I24" s="80" t="b">
        <f aca="false">FALSE()</f>
        <v>0</v>
      </c>
      <c r="J24" s="81" t="n">
        <v>1</v>
      </c>
      <c r="K24" s="17" t="s">
        <v>229</v>
      </c>
      <c r="L24" s="17" t="s">
        <v>226</v>
      </c>
      <c r="M24" s="17" t="s">
        <v>238</v>
      </c>
      <c r="N24" s="17"/>
      <c r="O24" s="17" t="s">
        <v>232</v>
      </c>
      <c r="P24" s="44" t="n">
        <v>2.76</v>
      </c>
      <c r="Q24" s="44" t="n">
        <v>2.37</v>
      </c>
      <c r="R24" s="54" t="n">
        <f aca="false">INT(B24)</f>
        <v>45956</v>
      </c>
      <c r="S24" s="17" t="n">
        <f aca="false">IF(AND(I24=TRUE(),COUNTIFS($R$5:R24,R24,$I$5:I24,TRUE())=1),1,0)</f>
        <v>0</v>
      </c>
      <c r="T24" s="73" t="n">
        <v>0.4</v>
      </c>
      <c r="U24" s="44" t="n">
        <v>2.63</v>
      </c>
      <c r="V24" s="44" t="n">
        <v>2.19864</v>
      </c>
      <c r="W24" s="44" t="n">
        <f aca="false">SUM(Z24:AE24)</f>
        <v>0.39</v>
      </c>
      <c r="X24" s="17" t="s">
        <v>111</v>
      </c>
      <c r="Y24" s="54" t="n">
        <v>45950</v>
      </c>
      <c r="Z24" s="44" t="n">
        <v>0.13</v>
      </c>
      <c r="AA24" s="44" t="n">
        <v>0</v>
      </c>
      <c r="AB24" s="44" t="n">
        <v>0</v>
      </c>
      <c r="AC24" s="44" t="n">
        <v>0</v>
      </c>
      <c r="AD24" s="44" t="n">
        <v>0.26</v>
      </c>
      <c r="AE24" s="44" t="n">
        <v>0</v>
      </c>
      <c r="AF24" s="17" t="n">
        <f aca="false">IF(AND(E24&gt;0,COUNTIFS($R$5:R24,R24,$E$5:E24,"&gt;0")=1),1,0)</f>
        <v>1</v>
      </c>
      <c r="AG24" s="17" t="n">
        <f aca="false">IF(AND(E24&gt;0,COUNTIFS($R$5:R24,R24,$K$5:K24,K24,$E$5:E24,"&gt;0")=1),1,0)</f>
        <v>1</v>
      </c>
    </row>
    <row r="25" customFormat="false" ht="15" hidden="false" customHeight="false" outlineLevel="0" collapsed="false">
      <c r="A25" s="14" t="n">
        <v>4547937941</v>
      </c>
      <c r="B25" s="77" t="n">
        <v>45957.6419097222</v>
      </c>
      <c r="C25" s="77" t="n">
        <v>45957.6572800926</v>
      </c>
      <c r="D25" s="38" t="n">
        <v>0.368888888888889</v>
      </c>
      <c r="E25" s="38" t="n">
        <v>22.2493</v>
      </c>
      <c r="F25" s="38" t="n">
        <v>62.868</v>
      </c>
      <c r="G25" s="14" t="s">
        <v>66</v>
      </c>
      <c r="H25" s="78" t="b">
        <f aca="false">TRUE()</f>
        <v>1</v>
      </c>
      <c r="I25" s="78" t="b">
        <f aca="false">FALSE()</f>
        <v>0</v>
      </c>
      <c r="J25" s="55" t="n">
        <v>1</v>
      </c>
      <c r="K25" s="14" t="s">
        <v>229</v>
      </c>
      <c r="L25" s="14" t="s">
        <v>233</v>
      </c>
      <c r="M25" s="14"/>
      <c r="N25" s="14"/>
      <c r="O25" s="14"/>
      <c r="P25" s="42" t="n">
        <v>10.91</v>
      </c>
      <c r="Q25" s="42" t="n">
        <v>9.34</v>
      </c>
      <c r="R25" s="53" t="n">
        <f aca="false">INT(B25)</f>
        <v>45957</v>
      </c>
      <c r="S25" s="14" t="n">
        <f aca="false">IF(AND(I25=TRUE(),COUNTIFS($R$5:R25,R25,$I$5:I25,TRUE())=1),1,0)</f>
        <v>0</v>
      </c>
      <c r="T25" s="71" t="n">
        <v>0.4</v>
      </c>
      <c r="U25" s="42" t="n">
        <v>10.38</v>
      </c>
      <c r="V25" s="42" t="n">
        <v>8.89972</v>
      </c>
      <c r="W25" s="42" t="n">
        <f aca="false">SUM(Z25:AE25)</f>
        <v>1.57</v>
      </c>
      <c r="X25" s="14" t="s">
        <v>105</v>
      </c>
      <c r="Y25" s="53" t="n">
        <v>45957</v>
      </c>
      <c r="Z25" s="42" t="n">
        <v>0.53</v>
      </c>
      <c r="AA25" s="42" t="n">
        <v>0</v>
      </c>
      <c r="AB25" s="42" t="n">
        <v>0</v>
      </c>
      <c r="AC25" s="42" t="n">
        <v>0</v>
      </c>
      <c r="AD25" s="42" t="n">
        <v>1.04</v>
      </c>
      <c r="AE25" s="42" t="n">
        <v>0</v>
      </c>
      <c r="AF25" s="14" t="n">
        <f aca="false">IF(AND(E25&gt;0,COUNTIFS($R$5:R25,R25,$E$5:E25,"&gt;0")=1),1,0)</f>
        <v>1</v>
      </c>
      <c r="AG25" s="14" t="n">
        <f aca="false">IF(AND(E25&gt;0,COUNTIFS($R$5:R25,R25,$K$5:K25,K25,$E$5:E25,"&gt;0")=1),1,0)</f>
        <v>1</v>
      </c>
    </row>
    <row r="26" customFormat="false" ht="15" hidden="false" customHeight="false" outlineLevel="0" collapsed="false">
      <c r="A26" s="17" t="n">
        <v>4549967281</v>
      </c>
      <c r="B26" s="79" t="n">
        <v>45958.1145949074</v>
      </c>
      <c r="C26" s="79" t="n">
        <v>45958.1150694444</v>
      </c>
      <c r="D26" s="39" t="n">
        <v>0.0113888888888888</v>
      </c>
      <c r="E26" s="39" t="n">
        <v>0</v>
      </c>
      <c r="F26" s="39" t="n">
        <v>0</v>
      </c>
      <c r="G26" s="17" t="s">
        <v>68</v>
      </c>
      <c r="H26" s="80" t="b">
        <f aca="false">FALSE()</f>
        <v>0</v>
      </c>
      <c r="I26" s="80" t="b">
        <f aca="false">TRUE()</f>
        <v>1</v>
      </c>
      <c r="J26" s="81"/>
      <c r="K26" s="17" t="s">
        <v>229</v>
      </c>
      <c r="L26" s="17" t="s">
        <v>226</v>
      </c>
      <c r="M26" s="17"/>
      <c r="N26" s="17"/>
      <c r="O26" s="17"/>
      <c r="P26" s="44"/>
      <c r="Q26" s="44"/>
      <c r="R26" s="54" t="n">
        <f aca="false">INT(B26)</f>
        <v>45958</v>
      </c>
      <c r="S26" s="17" t="n">
        <f aca="false">IF(AND(I26=TRUE(),COUNTIFS($R$5:R26,R26,$I$5:I26,TRUE())=1),1,0)</f>
        <v>1</v>
      </c>
      <c r="T26" s="73"/>
      <c r="U26" s="44"/>
      <c r="V26" s="44"/>
      <c r="W26" s="44" t="n">
        <f aca="false">SUM(Z26:AE26)</f>
        <v>0</v>
      </c>
      <c r="X26" s="17" t="s">
        <v>106</v>
      </c>
      <c r="Y26" s="54" t="n">
        <v>45957</v>
      </c>
      <c r="Z26" s="44"/>
      <c r="AA26" s="44"/>
      <c r="AB26" s="44"/>
      <c r="AC26" s="44"/>
      <c r="AD26" s="44"/>
      <c r="AE26" s="44"/>
      <c r="AF26" s="17" t="n">
        <f aca="false">IF(AND(E26&gt;0,COUNTIFS($R$5:R26,R26,$E$5:E26,"&gt;0")=1),1,0)</f>
        <v>0</v>
      </c>
      <c r="AG26" s="17" t="n">
        <f aca="false">IF(AND(E26&gt;0,COUNTIFS($R$5:R26,R26,$K$5:K26,K26,$E$5:E26,"&gt;0")=1),1,0)</f>
        <v>0</v>
      </c>
    </row>
    <row r="27" customFormat="false" ht="15" hidden="false" customHeight="false" outlineLevel="0" collapsed="false">
      <c r="A27" s="14" t="n">
        <v>4549969211</v>
      </c>
      <c r="B27" s="77" t="n">
        <v>45958.1153125</v>
      </c>
      <c r="C27" s="77" t="n">
        <v>45958.1465740741</v>
      </c>
      <c r="D27" s="38" t="n">
        <v>0.750277777777778</v>
      </c>
      <c r="E27" s="38" t="n">
        <v>28.066799</v>
      </c>
      <c r="F27" s="38" t="n">
        <v>53.549</v>
      </c>
      <c r="G27" s="14" t="s">
        <v>68</v>
      </c>
      <c r="H27" s="78" t="b">
        <f aca="false">TRUE()</f>
        <v>1</v>
      </c>
      <c r="I27" s="78" t="b">
        <f aca="false">TRUE()</f>
        <v>1</v>
      </c>
      <c r="J27" s="55" t="n">
        <v>1</v>
      </c>
      <c r="K27" s="14" t="s">
        <v>229</v>
      </c>
      <c r="L27" s="14" t="s">
        <v>226</v>
      </c>
      <c r="M27" s="14" t="s">
        <v>239</v>
      </c>
      <c r="N27" s="14" t="s">
        <v>240</v>
      </c>
      <c r="O27" s="14" t="s">
        <v>228</v>
      </c>
      <c r="P27" s="42" t="n">
        <v>14.9</v>
      </c>
      <c r="Q27" s="42" t="n">
        <v>12.81</v>
      </c>
      <c r="R27" s="53" t="n">
        <f aca="false">INT(B27)</f>
        <v>45958</v>
      </c>
      <c r="S27" s="14" t="n">
        <f aca="false">IF(AND(I27=TRUE(),COUNTIFS($R$5:R27,R27,$I$5:I27,TRUE())=1),1,0)</f>
        <v>0</v>
      </c>
      <c r="T27" s="71" t="n">
        <v>0.4</v>
      </c>
      <c r="U27" s="42" t="n">
        <v>14.23</v>
      </c>
      <c r="V27" s="42" t="n">
        <v>11.2267196</v>
      </c>
      <c r="W27" s="42" t="n">
        <f aca="false">SUM(Z27:AE27)</f>
        <v>2.09</v>
      </c>
      <c r="X27" s="14" t="s">
        <v>106</v>
      </c>
      <c r="Y27" s="53" t="n">
        <v>45957</v>
      </c>
      <c r="Z27" s="42" t="n">
        <v>0.67</v>
      </c>
      <c r="AA27" s="42" t="n">
        <v>0</v>
      </c>
      <c r="AB27" s="42" t="n">
        <v>0</v>
      </c>
      <c r="AC27" s="42" t="n">
        <v>0</v>
      </c>
      <c r="AD27" s="42" t="n">
        <v>1.42</v>
      </c>
      <c r="AE27" s="42" t="n">
        <v>0</v>
      </c>
      <c r="AF27" s="14" t="n">
        <f aca="false">IF(AND(E27&gt;0,COUNTIFS($R$5:R27,R27,$E$5:E27,"&gt;0")=1),1,0)</f>
        <v>1</v>
      </c>
      <c r="AG27" s="14" t="n">
        <f aca="false">IF(AND(E27&gt;0,COUNTIFS($R$5:R27,R27,$K$5:K27,K27,$E$5:E27,"&gt;0")=1),1,0)</f>
        <v>1</v>
      </c>
    </row>
    <row r="28" customFormat="false" ht="15" hidden="false" customHeight="false" outlineLevel="0" collapsed="false">
      <c r="A28" s="17" t="n">
        <v>4552702471</v>
      </c>
      <c r="B28" s="79" t="n">
        <v>45958.9517824074</v>
      </c>
      <c r="C28" s="79" t="n">
        <v>45959.0311226852</v>
      </c>
      <c r="D28" s="39" t="n">
        <v>1.90416666666667</v>
      </c>
      <c r="E28" s="39" t="n">
        <v>66.149902</v>
      </c>
      <c r="F28" s="39" t="n">
        <v>62.474</v>
      </c>
      <c r="G28" s="17" t="s">
        <v>68</v>
      </c>
      <c r="H28" s="80" t="b">
        <f aca="false">TRUE()</f>
        <v>1</v>
      </c>
      <c r="I28" s="80" t="b">
        <f aca="false">TRUE()</f>
        <v>1</v>
      </c>
      <c r="J28" s="81" t="n">
        <v>1</v>
      </c>
      <c r="K28" s="17" t="s">
        <v>229</v>
      </c>
      <c r="L28" s="17" t="s">
        <v>226</v>
      </c>
      <c r="M28" s="17" t="s">
        <v>230</v>
      </c>
      <c r="N28" s="17"/>
      <c r="O28" s="17" t="s">
        <v>228</v>
      </c>
      <c r="P28" s="44" t="n">
        <v>35.67</v>
      </c>
      <c r="Q28" s="44" t="n">
        <v>30.67</v>
      </c>
      <c r="R28" s="54" t="n">
        <f aca="false">INT(B28)</f>
        <v>45958</v>
      </c>
      <c r="S28" s="17" t="n">
        <f aca="false">IF(AND(I28=TRUE(),COUNTIFS($R$5:R28,R28,$I$5:I28,TRUE())=1),1,0)</f>
        <v>0</v>
      </c>
      <c r="T28" s="73" t="n">
        <v>0.4</v>
      </c>
      <c r="U28" s="44" t="n">
        <v>34.08</v>
      </c>
      <c r="V28" s="44" t="n">
        <v>26.4599608</v>
      </c>
      <c r="W28" s="44" t="n">
        <f aca="false">SUM(Z28:AE28)</f>
        <v>5</v>
      </c>
      <c r="X28" s="17" t="s">
        <v>106</v>
      </c>
      <c r="Y28" s="54" t="n">
        <v>45957</v>
      </c>
      <c r="Z28" s="44" t="n">
        <v>1.59</v>
      </c>
      <c r="AA28" s="44" t="n">
        <v>0</v>
      </c>
      <c r="AB28" s="44" t="n">
        <v>0</v>
      </c>
      <c r="AC28" s="44" t="n">
        <v>0</v>
      </c>
      <c r="AD28" s="44" t="n">
        <v>3.41</v>
      </c>
      <c r="AE28" s="44" t="n">
        <v>0</v>
      </c>
      <c r="AF28" s="17" t="n">
        <f aca="false">IF(AND(E28&gt;0,COUNTIFS($R$5:R28,R28,$E$5:E28,"&gt;0")=1),1,0)</f>
        <v>0</v>
      </c>
      <c r="AG28" s="17" t="n">
        <f aca="false">IF(AND(E28&gt;0,COUNTIFS($R$5:R28,R28,$K$5:K28,K28,$E$5:E28,"&gt;0")=1),1,0)</f>
        <v>0</v>
      </c>
    </row>
    <row r="29" customFormat="false" ht="15" hidden="false" customHeight="false" outlineLevel="0" collapsed="false">
      <c r="A29" s="14" t="n">
        <v>4558258911</v>
      </c>
      <c r="B29" s="77" t="n">
        <v>45960.6611226852</v>
      </c>
      <c r="C29" s="77" t="n">
        <v>45960.7171990741</v>
      </c>
      <c r="D29" s="38" t="n">
        <v>1.34583333333333</v>
      </c>
      <c r="E29" s="38" t="n">
        <v>20.0424</v>
      </c>
      <c r="F29" s="38" t="n">
        <v>51.695</v>
      </c>
      <c r="G29" s="14" t="s">
        <v>66</v>
      </c>
      <c r="H29" s="78" t="b">
        <f aca="false">TRUE()</f>
        <v>1</v>
      </c>
      <c r="I29" s="78" t="b">
        <f aca="false">FALSE()</f>
        <v>0</v>
      </c>
      <c r="J29" s="55" t="n">
        <v>0.779357685707281</v>
      </c>
      <c r="K29" s="14" t="s">
        <v>229</v>
      </c>
      <c r="L29" s="14" t="s">
        <v>226</v>
      </c>
      <c r="M29" s="14" t="s">
        <v>241</v>
      </c>
      <c r="N29" s="14"/>
      <c r="O29" s="14" t="s">
        <v>228</v>
      </c>
      <c r="P29" s="42" t="n">
        <v>13.88</v>
      </c>
      <c r="Q29" s="42" t="n">
        <v>12.06</v>
      </c>
      <c r="R29" s="53" t="n">
        <f aca="false">INT(B29)</f>
        <v>45960</v>
      </c>
      <c r="S29" s="14" t="n">
        <f aca="false">IF(AND(I29=TRUE(),COUNTIFS($R$5:R29,R29,$I$5:I29,TRUE())=1),1,0)</f>
        <v>0</v>
      </c>
      <c r="T29" s="71" t="n">
        <v>0.4</v>
      </c>
      <c r="U29" s="42" t="n">
        <v>13.4</v>
      </c>
      <c r="V29" s="42" t="n">
        <v>8.01696</v>
      </c>
      <c r="W29" s="42" t="n">
        <f aca="false">SUM(Z29:AE29)</f>
        <v>1.82</v>
      </c>
      <c r="X29" s="14" t="s">
        <v>108</v>
      </c>
      <c r="Y29" s="53" t="n">
        <v>45957</v>
      </c>
      <c r="Z29" s="42" t="n">
        <v>0.48</v>
      </c>
      <c r="AA29" s="42" t="n">
        <v>0</v>
      </c>
      <c r="AB29" s="42" t="n">
        <v>0</v>
      </c>
      <c r="AC29" s="42" t="n">
        <v>0</v>
      </c>
      <c r="AD29" s="42" t="n">
        <v>1.34</v>
      </c>
      <c r="AE29" s="42" t="n">
        <v>0</v>
      </c>
      <c r="AF29" s="14" t="n">
        <f aca="false">IF(AND(E29&gt;0,COUNTIFS($R$5:R29,R29,$E$5:E29,"&gt;0")=1),1,0)</f>
        <v>1</v>
      </c>
      <c r="AG29" s="14" t="n">
        <f aca="false">IF(AND(E29&gt;0,COUNTIFS($R$5:R29,R29,$K$5:K29,K29,$E$5:E29,"&gt;0")=1),1,0)</f>
        <v>1</v>
      </c>
    </row>
    <row r="30" customFormat="false" ht="15" hidden="false" customHeight="false" outlineLevel="0" collapsed="false">
      <c r="A30" s="17" t="n">
        <v>4562784681</v>
      </c>
      <c r="B30" s="79" t="n">
        <v>45961.9576388889</v>
      </c>
      <c r="C30" s="79" t="n">
        <v>45961.9738310185</v>
      </c>
      <c r="D30" s="39" t="n">
        <v>0.388611111111111</v>
      </c>
      <c r="E30" s="39" t="n">
        <v>22.979</v>
      </c>
      <c r="F30" s="39" t="n">
        <v>62.465</v>
      </c>
      <c r="G30" s="17" t="s">
        <v>68</v>
      </c>
      <c r="H30" s="80" t="b">
        <f aca="false">TRUE()</f>
        <v>1</v>
      </c>
      <c r="I30" s="80" t="b">
        <f aca="false">TRUE()</f>
        <v>1</v>
      </c>
      <c r="J30" s="81" t="n">
        <v>1</v>
      </c>
      <c r="K30" s="17" t="s">
        <v>229</v>
      </c>
      <c r="L30" s="17" t="s">
        <v>226</v>
      </c>
      <c r="M30" s="17" t="s">
        <v>242</v>
      </c>
      <c r="N30" s="17"/>
      <c r="O30" s="17" t="s">
        <v>243</v>
      </c>
      <c r="P30" s="44" t="n">
        <v>11.29</v>
      </c>
      <c r="Q30" s="44" t="n">
        <v>9.67</v>
      </c>
      <c r="R30" s="54" t="n">
        <f aca="false">INT(B30)</f>
        <v>45961</v>
      </c>
      <c r="S30" s="17" t="n">
        <f aca="false">IF(AND(I30=TRUE(),COUNTIFS($R$5:R30,R30,$I$5:I30,TRUE())=1),1,0)</f>
        <v>1</v>
      </c>
      <c r="T30" s="73" t="n">
        <v>0.4</v>
      </c>
      <c r="U30" s="44" t="n">
        <v>10.74</v>
      </c>
      <c r="V30" s="44" t="n">
        <v>9.1916</v>
      </c>
      <c r="W30" s="44" t="n">
        <f aca="false">SUM(Z30:AE30)</f>
        <v>1.62</v>
      </c>
      <c r="X30" s="17" t="s">
        <v>109</v>
      </c>
      <c r="Y30" s="54" t="n">
        <v>45957</v>
      </c>
      <c r="Z30" s="44" t="n">
        <v>0.55</v>
      </c>
      <c r="AA30" s="44" t="n">
        <v>0</v>
      </c>
      <c r="AB30" s="44" t="n">
        <v>0</v>
      </c>
      <c r="AC30" s="44" t="n">
        <v>0</v>
      </c>
      <c r="AD30" s="44" t="n">
        <v>1.07</v>
      </c>
      <c r="AE30" s="44" t="n">
        <v>0</v>
      </c>
      <c r="AF30" s="17" t="n">
        <f aca="false">IF(AND(E30&gt;0,COUNTIFS($R$5:R30,R30,$E$5:E30,"&gt;0")=1),1,0)</f>
        <v>1</v>
      </c>
      <c r="AG30" s="17" t="n">
        <f aca="false">IF(AND(E30&gt;0,COUNTIFS($R$5:R30,R30,$K$5:K30,K30,$E$5:E30,"&gt;0")=1),1,0)</f>
        <v>1</v>
      </c>
    </row>
    <row r="31" customFormat="false" ht="15" hidden="false" customHeight="false" outlineLevel="0" collapsed="false">
      <c r="A31" s="14" t="n">
        <v>4562924501</v>
      </c>
      <c r="B31" s="77" t="n">
        <v>45961.9988194444</v>
      </c>
      <c r="C31" s="77" t="n">
        <v>45962.0010763889</v>
      </c>
      <c r="D31" s="38" t="n">
        <v>0.0541666666666666</v>
      </c>
      <c r="E31" s="38" t="n">
        <v>0</v>
      </c>
      <c r="F31" s="38" t="n">
        <v>0</v>
      </c>
      <c r="G31" s="14" t="s">
        <v>68</v>
      </c>
      <c r="H31" s="78" t="b">
        <f aca="false">FALSE()</f>
        <v>0</v>
      </c>
      <c r="I31" s="78" t="b">
        <f aca="false">TRUE()</f>
        <v>1</v>
      </c>
      <c r="J31" s="55" t="n">
        <v>0</v>
      </c>
      <c r="K31" s="14" t="s">
        <v>229</v>
      </c>
      <c r="L31" s="14" t="s">
        <v>226</v>
      </c>
      <c r="M31" s="14" t="s">
        <v>244</v>
      </c>
      <c r="N31" s="14"/>
      <c r="O31" s="14" t="s">
        <v>228</v>
      </c>
      <c r="P31" s="42" t="n">
        <v>0.22</v>
      </c>
      <c r="Q31" s="42" t="n">
        <v>0.2</v>
      </c>
      <c r="R31" s="53" t="n">
        <f aca="false">INT(B31)</f>
        <v>45961</v>
      </c>
      <c r="S31" s="14" t="n">
        <f aca="false">IF(AND(I31=TRUE(),COUNTIFS($R$5:R31,R31,$I$5:I31,TRUE())=1),1,0)</f>
        <v>0</v>
      </c>
      <c r="T31" s="71" t="n">
        <v>0.4</v>
      </c>
      <c r="U31" s="42" t="n">
        <v>0.22</v>
      </c>
      <c r="V31" s="42" t="n">
        <v>0</v>
      </c>
      <c r="W31" s="42" t="n">
        <f aca="false">SUM(Z31:AE31)</f>
        <v>0.02</v>
      </c>
      <c r="X31" s="14" t="s">
        <v>109</v>
      </c>
      <c r="Y31" s="53" t="n">
        <v>45957</v>
      </c>
      <c r="Z31" s="42" t="n">
        <v>0</v>
      </c>
      <c r="AA31" s="42" t="n">
        <v>0</v>
      </c>
      <c r="AB31" s="42" t="n">
        <v>0</v>
      </c>
      <c r="AC31" s="42" t="n">
        <v>0</v>
      </c>
      <c r="AD31" s="42" t="n">
        <v>0.02</v>
      </c>
      <c r="AE31" s="42" t="n">
        <v>0</v>
      </c>
      <c r="AF31" s="14" t="n">
        <f aca="false">IF(AND(E31&gt;0,COUNTIFS($R$5:R31,R31,$E$5:E31,"&gt;0")=1),1,0)</f>
        <v>0</v>
      </c>
      <c r="AG31" s="14" t="n">
        <f aca="false">IF(AND(E31&gt;0,COUNTIFS($R$5:R31,R31,$K$5:K31,K31,$E$5:E31,"&gt;0")=1),1,0)</f>
        <v>0</v>
      </c>
    </row>
    <row r="32" customFormat="false" ht="15" hidden="false" customHeight="false" outlineLevel="0" collapsed="false">
      <c r="A32" s="17" t="n">
        <v>4562936151</v>
      </c>
      <c r="B32" s="79" t="n">
        <v>45962.0013888889</v>
      </c>
      <c r="C32" s="79" t="n">
        <v>45962.0328125</v>
      </c>
      <c r="D32" s="39" t="n">
        <v>0.754166666666667</v>
      </c>
      <c r="E32" s="39" t="n">
        <v>30.7314</v>
      </c>
      <c r="F32" s="39" t="n">
        <v>58.744</v>
      </c>
      <c r="G32" s="17" t="s">
        <v>68</v>
      </c>
      <c r="H32" s="80" t="b">
        <f aca="false">TRUE()</f>
        <v>1</v>
      </c>
      <c r="I32" s="80" t="b">
        <f aca="false">TRUE()</f>
        <v>1</v>
      </c>
      <c r="J32" s="81" t="n">
        <v>1</v>
      </c>
      <c r="K32" s="17" t="s">
        <v>229</v>
      </c>
      <c r="L32" s="17" t="s">
        <v>226</v>
      </c>
      <c r="M32" s="17" t="s">
        <v>244</v>
      </c>
      <c r="N32" s="17"/>
      <c r="O32" s="17" t="s">
        <v>228</v>
      </c>
      <c r="P32" s="44" t="n">
        <v>16.05</v>
      </c>
      <c r="Q32" s="44" t="n">
        <v>13.78</v>
      </c>
      <c r="R32" s="54" t="n">
        <f aca="false">INT(B32)</f>
        <v>45962</v>
      </c>
      <c r="S32" s="17" t="n">
        <f aca="false">IF(AND(I32=TRUE(),COUNTIFS($R$5:R32,R32,$I$5:I32,TRUE())=1),1,0)</f>
        <v>1</v>
      </c>
      <c r="T32" s="73" t="n">
        <v>0.4</v>
      </c>
      <c r="U32" s="44" t="n">
        <v>15.31</v>
      </c>
      <c r="V32" s="44" t="n">
        <v>12.29256</v>
      </c>
      <c r="W32" s="44" t="n">
        <f aca="false">SUM(Z32:AE32)</f>
        <v>2.27</v>
      </c>
      <c r="X32" s="17" t="s">
        <v>110</v>
      </c>
      <c r="Y32" s="54" t="n">
        <v>45957</v>
      </c>
      <c r="Z32" s="44" t="n">
        <v>0.74</v>
      </c>
      <c r="AA32" s="44" t="n">
        <v>0</v>
      </c>
      <c r="AB32" s="44" t="n">
        <v>0</v>
      </c>
      <c r="AC32" s="44" t="n">
        <v>0</v>
      </c>
      <c r="AD32" s="44" t="n">
        <v>1.53</v>
      </c>
      <c r="AE32" s="44" t="n">
        <v>0</v>
      </c>
      <c r="AF32" s="17" t="n">
        <f aca="false">IF(AND(E32&gt;0,COUNTIFS($R$5:R32,R32,$E$5:E32,"&gt;0")=1),1,0)</f>
        <v>1</v>
      </c>
      <c r="AG32" s="17" t="n">
        <f aca="false">IF(AND(E32&gt;0,COUNTIFS($R$5:R32,R32,$K$5:K32,K32,$E$5:E32,"&gt;0")=1),1,0)</f>
        <v>1</v>
      </c>
    </row>
    <row r="33" customFormat="false" ht="15" hidden="false" customHeight="false" outlineLevel="0" collapsed="false">
      <c r="A33" s="14" t="n">
        <v>4563049001</v>
      </c>
      <c r="B33" s="77" t="n">
        <v>45962.0361458333</v>
      </c>
      <c r="C33" s="77" t="n">
        <v>45962.0374768519</v>
      </c>
      <c r="D33" s="38" t="n">
        <v>0.0319444444444444</v>
      </c>
      <c r="E33" s="38" t="n">
        <v>0</v>
      </c>
      <c r="F33" s="38" t="n">
        <v>0</v>
      </c>
      <c r="G33" s="14" t="s">
        <v>68</v>
      </c>
      <c r="H33" s="78" t="b">
        <f aca="false">FALSE()</f>
        <v>0</v>
      </c>
      <c r="I33" s="78" t="b">
        <f aca="false">TRUE()</f>
        <v>1</v>
      </c>
      <c r="J33" s="55"/>
      <c r="K33" s="14" t="s">
        <v>225</v>
      </c>
      <c r="L33" s="14" t="s">
        <v>226</v>
      </c>
      <c r="M33" s="14"/>
      <c r="N33" s="14"/>
      <c r="O33" s="14"/>
      <c r="P33" s="42"/>
      <c r="Q33" s="42"/>
      <c r="R33" s="53" t="n">
        <f aca="false">INT(B33)</f>
        <v>45962</v>
      </c>
      <c r="S33" s="14" t="n">
        <f aca="false">IF(AND(I33=TRUE(),COUNTIFS($R$5:R33,R33,$I$5:I33,TRUE())=1),1,0)</f>
        <v>0</v>
      </c>
      <c r="T33" s="71"/>
      <c r="U33" s="42"/>
      <c r="V33" s="42"/>
      <c r="W33" s="42" t="n">
        <f aca="false">SUM(Z33:AE33)</f>
        <v>0</v>
      </c>
      <c r="X33" s="14" t="s">
        <v>110</v>
      </c>
      <c r="Y33" s="53" t="n">
        <v>45957</v>
      </c>
      <c r="Z33" s="42"/>
      <c r="AA33" s="42"/>
      <c r="AB33" s="42"/>
      <c r="AC33" s="42"/>
      <c r="AD33" s="42"/>
      <c r="AE33" s="42"/>
      <c r="AF33" s="14" t="n">
        <f aca="false">IF(AND(E33&gt;0,COUNTIFS($R$5:R33,R33,$E$5:E33,"&gt;0")=1),1,0)</f>
        <v>0</v>
      </c>
      <c r="AG33" s="14" t="n">
        <f aca="false">IF(AND(E33&gt;0,COUNTIFS($R$5:R33,R33,$K$5:K33,K33,$E$5:E33,"&gt;0")=1),1,0)</f>
        <v>0</v>
      </c>
    </row>
    <row r="34" customFormat="false" ht="15" hidden="false" customHeight="false" outlineLevel="0" collapsed="false">
      <c r="A34" s="17" t="n">
        <v>4563050701</v>
      </c>
      <c r="B34" s="79" t="n">
        <v>45962.0378472222</v>
      </c>
      <c r="C34" s="79" t="n">
        <v>45962.0715856482</v>
      </c>
      <c r="D34" s="39" t="n">
        <v>0.809722222222222</v>
      </c>
      <c r="E34" s="39" t="n">
        <v>33.872002</v>
      </c>
      <c r="F34" s="39" t="n">
        <v>56.159</v>
      </c>
      <c r="G34" s="17" t="s">
        <v>68</v>
      </c>
      <c r="H34" s="80" t="b">
        <f aca="false">TRUE()</f>
        <v>1</v>
      </c>
      <c r="I34" s="80" t="b">
        <f aca="false">TRUE()</f>
        <v>1</v>
      </c>
      <c r="J34" s="81" t="n">
        <v>1</v>
      </c>
      <c r="K34" s="17" t="s">
        <v>229</v>
      </c>
      <c r="L34" s="17" t="s">
        <v>226</v>
      </c>
      <c r="M34" s="17" t="s">
        <v>245</v>
      </c>
      <c r="N34" s="17" t="s">
        <v>246</v>
      </c>
      <c r="O34" s="17" t="s">
        <v>247</v>
      </c>
      <c r="P34" s="44" t="n">
        <v>17.6</v>
      </c>
      <c r="Q34" s="44" t="n">
        <v>15.11</v>
      </c>
      <c r="R34" s="54" t="n">
        <f aca="false">INT(B34)</f>
        <v>45962</v>
      </c>
      <c r="S34" s="17" t="n">
        <f aca="false">IF(AND(I34=TRUE(),COUNTIFS($R$5:R34,R34,$I$5:I34,TRUE())=1),1,0)</f>
        <v>0</v>
      </c>
      <c r="T34" s="73" t="n">
        <v>0.4</v>
      </c>
      <c r="U34" s="44" t="n">
        <v>16.79</v>
      </c>
      <c r="V34" s="44" t="n">
        <v>13.5488008</v>
      </c>
      <c r="W34" s="44" t="n">
        <f aca="false">SUM(Z34:AE34)</f>
        <v>2.49</v>
      </c>
      <c r="X34" s="17" t="s">
        <v>110</v>
      </c>
      <c r="Y34" s="54" t="n">
        <v>45957</v>
      </c>
      <c r="Z34" s="44" t="n">
        <v>0.81</v>
      </c>
      <c r="AA34" s="44" t="n">
        <v>0</v>
      </c>
      <c r="AB34" s="44" t="n">
        <v>0</v>
      </c>
      <c r="AC34" s="44" t="n">
        <v>0</v>
      </c>
      <c r="AD34" s="44" t="n">
        <v>1.68</v>
      </c>
      <c r="AE34" s="44" t="n">
        <v>0</v>
      </c>
      <c r="AF34" s="17" t="n">
        <f aca="false">IF(AND(E34&gt;0,COUNTIFS($R$5:R34,R34,$E$5:E34,"&gt;0")=1),1,0)</f>
        <v>0</v>
      </c>
      <c r="AG34" s="17" t="n">
        <f aca="false">IF(AND(E34&gt;0,COUNTIFS($R$5:R34,R34,$K$5:K34,K34,$E$5:E34,"&gt;0")=1),1,0)</f>
        <v>0</v>
      </c>
    </row>
    <row r="35" customFormat="false" ht="15" hidden="false" customHeight="false" outlineLevel="0" collapsed="false">
      <c r="A35" s="14" t="n">
        <v>4564233461</v>
      </c>
      <c r="B35" s="77" t="n">
        <v>45962.6640046296</v>
      </c>
      <c r="C35" s="77" t="n">
        <v>45962.6730902778</v>
      </c>
      <c r="D35" s="38" t="n">
        <v>0.218055555555556</v>
      </c>
      <c r="E35" s="38" t="n">
        <v>11.2005</v>
      </c>
      <c r="F35" s="38" t="n">
        <v>52.571</v>
      </c>
      <c r="G35" s="14" t="s">
        <v>66</v>
      </c>
      <c r="H35" s="78" t="b">
        <f aca="false">TRUE()</f>
        <v>1</v>
      </c>
      <c r="I35" s="78" t="b">
        <f aca="false">FALSE()</f>
        <v>0</v>
      </c>
      <c r="J35" s="55" t="n">
        <v>1</v>
      </c>
      <c r="K35" s="14" t="s">
        <v>229</v>
      </c>
      <c r="L35" s="14" t="s">
        <v>226</v>
      </c>
      <c r="M35" s="14" t="s">
        <v>230</v>
      </c>
      <c r="N35" s="14"/>
      <c r="O35" s="14" t="s">
        <v>228</v>
      </c>
      <c r="P35" s="42" t="n">
        <v>5.62</v>
      </c>
      <c r="Q35" s="42" t="n">
        <v>4.82</v>
      </c>
      <c r="R35" s="53" t="n">
        <f aca="false">INT(B35)</f>
        <v>45962</v>
      </c>
      <c r="S35" s="14" t="n">
        <f aca="false">IF(AND(I35=TRUE(),COUNTIFS($R$5:R35,R35,$I$5:I35,TRUE())=1),1,0)</f>
        <v>0</v>
      </c>
      <c r="T35" s="71" t="n">
        <v>0.4</v>
      </c>
      <c r="U35" s="42" t="n">
        <v>5.35</v>
      </c>
      <c r="V35" s="42" t="n">
        <v>4.4802</v>
      </c>
      <c r="W35" s="42" t="n">
        <f aca="false">SUM(Z35:AE35)</f>
        <v>0.8</v>
      </c>
      <c r="X35" s="14" t="s">
        <v>110</v>
      </c>
      <c r="Y35" s="53" t="n">
        <v>45957</v>
      </c>
      <c r="Z35" s="42" t="n">
        <v>0.27</v>
      </c>
      <c r="AA35" s="42" t="n">
        <v>0</v>
      </c>
      <c r="AB35" s="42" t="n">
        <v>0</v>
      </c>
      <c r="AC35" s="42" t="n">
        <v>0</v>
      </c>
      <c r="AD35" s="42" t="n">
        <v>0.53</v>
      </c>
      <c r="AE35" s="42" t="n">
        <v>0</v>
      </c>
      <c r="AF35" s="14" t="n">
        <f aca="false">IF(AND(E35&gt;0,COUNTIFS($R$5:R35,R35,$E$5:E35,"&gt;0")=1),1,0)</f>
        <v>0</v>
      </c>
      <c r="AG35" s="14" t="n">
        <f aca="false">IF(AND(E35&gt;0,COUNTIFS($R$5:R35,R35,$K$5:K35,K35,$E$5:E35,"&gt;0")=1),1,0)</f>
        <v>0</v>
      </c>
    </row>
    <row r="36" customFormat="false" ht="15" hidden="false" customHeight="false" outlineLevel="0" collapsed="false">
      <c r="A36" s="17" t="n">
        <v>4572893011</v>
      </c>
      <c r="B36" s="79" t="n">
        <v>45965.8180439815</v>
      </c>
      <c r="C36" s="79" t="n">
        <v>45965.8490740741</v>
      </c>
      <c r="D36" s="39" t="n">
        <v>0.744722222222222</v>
      </c>
      <c r="E36" s="39" t="n">
        <v>41.457901</v>
      </c>
      <c r="F36" s="39" t="n">
        <v>62.513</v>
      </c>
      <c r="G36" s="17" t="s">
        <v>67</v>
      </c>
      <c r="H36" s="80" t="b">
        <f aca="false">TRUE()</f>
        <v>1</v>
      </c>
      <c r="I36" s="80" t="b">
        <f aca="false">FALSE()</f>
        <v>0</v>
      </c>
      <c r="J36" s="81" t="n">
        <v>1</v>
      </c>
      <c r="K36" s="17" t="s">
        <v>229</v>
      </c>
      <c r="L36" s="17" t="s">
        <v>226</v>
      </c>
      <c r="M36" s="17" t="s">
        <v>230</v>
      </c>
      <c r="N36" s="17"/>
      <c r="O36" s="17" t="s">
        <v>228</v>
      </c>
      <c r="P36" s="44" t="n">
        <v>20.55</v>
      </c>
      <c r="Q36" s="44" t="n">
        <v>17.6</v>
      </c>
      <c r="R36" s="54" t="n">
        <f aca="false">INT(B36)</f>
        <v>45965</v>
      </c>
      <c r="S36" s="17" t="n">
        <f aca="false">IF(AND(I36=TRUE(),COUNTIFS($R$5:R36,R36,$I$5:I36,TRUE())=1),1,0)</f>
        <v>0</v>
      </c>
      <c r="T36" s="73" t="n">
        <v>0.4</v>
      </c>
      <c r="U36" s="44" t="n">
        <v>19.56</v>
      </c>
      <c r="V36" s="44" t="n">
        <v>16.5831604</v>
      </c>
      <c r="W36" s="44" t="n">
        <f aca="false">SUM(Z36:AE36)</f>
        <v>2.95</v>
      </c>
      <c r="X36" s="17" t="s">
        <v>106</v>
      </c>
      <c r="Y36" s="54" t="n">
        <v>45964</v>
      </c>
      <c r="Z36" s="44" t="n">
        <v>0.99</v>
      </c>
      <c r="AA36" s="44" t="n">
        <v>0</v>
      </c>
      <c r="AB36" s="44" t="n">
        <v>0</v>
      </c>
      <c r="AC36" s="44" t="n">
        <v>0</v>
      </c>
      <c r="AD36" s="44" t="n">
        <v>1.96</v>
      </c>
      <c r="AE36" s="44" t="n">
        <v>0</v>
      </c>
      <c r="AF36" s="17" t="n">
        <f aca="false">IF(AND(E36&gt;0,COUNTIFS($R$5:R36,R36,$E$5:E36,"&gt;0")=1),1,0)</f>
        <v>1</v>
      </c>
      <c r="AG36" s="17" t="n">
        <f aca="false">IF(AND(E36&gt;0,COUNTIFS($R$5:R36,R36,$K$5:K36,K36,$E$5:E36,"&gt;0")=1),1,0)</f>
        <v>1</v>
      </c>
    </row>
    <row r="37" customFormat="false" ht="15" hidden="false" customHeight="false" outlineLevel="0" collapsed="false">
      <c r="A37" s="14" t="n">
        <v>4581774341</v>
      </c>
      <c r="B37" s="77" t="n">
        <v>45968.6106828704</v>
      </c>
      <c r="C37" s="77" t="n">
        <v>45968.6421875</v>
      </c>
      <c r="D37" s="38" t="n">
        <v>0.756111111111111</v>
      </c>
      <c r="E37" s="38" t="n">
        <v>41.336102</v>
      </c>
      <c r="F37" s="38" t="n">
        <v>56.088</v>
      </c>
      <c r="G37" s="14" t="s">
        <v>66</v>
      </c>
      <c r="H37" s="78" t="b">
        <f aca="false">TRUE()</f>
        <v>1</v>
      </c>
      <c r="I37" s="78" t="b">
        <f aca="false">FALSE()</f>
        <v>0</v>
      </c>
      <c r="J37" s="55" t="n">
        <v>1</v>
      </c>
      <c r="K37" s="14" t="s">
        <v>229</v>
      </c>
      <c r="L37" s="14" t="s">
        <v>226</v>
      </c>
      <c r="M37" s="14" t="s">
        <v>248</v>
      </c>
      <c r="N37" s="14"/>
      <c r="O37" s="14" t="s">
        <v>228</v>
      </c>
      <c r="P37" s="42" t="n">
        <v>20.54</v>
      </c>
      <c r="Q37" s="42" t="n">
        <v>17.6</v>
      </c>
      <c r="R37" s="53" t="n">
        <f aca="false">INT(B37)</f>
        <v>45968</v>
      </c>
      <c r="S37" s="14" t="n">
        <f aca="false">IF(AND(I37=TRUE(),COUNTIFS($R$5:R37,R37,$I$5:I37,TRUE())=1),1,0)</f>
        <v>0</v>
      </c>
      <c r="T37" s="71" t="n">
        <v>0.4</v>
      </c>
      <c r="U37" s="42" t="n">
        <v>19.55</v>
      </c>
      <c r="V37" s="42" t="n">
        <v>16.5344408</v>
      </c>
      <c r="W37" s="42" t="n">
        <f aca="false">SUM(Z37:AE37)</f>
        <v>2.94</v>
      </c>
      <c r="X37" s="14" t="s">
        <v>109</v>
      </c>
      <c r="Y37" s="53" t="n">
        <v>45964</v>
      </c>
      <c r="Z37" s="42" t="n">
        <v>0.99</v>
      </c>
      <c r="AA37" s="42" t="n">
        <v>0</v>
      </c>
      <c r="AB37" s="42" t="n">
        <v>0</v>
      </c>
      <c r="AC37" s="42" t="n">
        <v>0</v>
      </c>
      <c r="AD37" s="42" t="n">
        <v>1.95</v>
      </c>
      <c r="AE37" s="42" t="n">
        <v>0</v>
      </c>
      <c r="AF37" s="14" t="n">
        <f aca="false">IF(AND(E37&gt;0,COUNTIFS($R$5:R37,R37,$E$5:E37,"&gt;0")=1),1,0)</f>
        <v>1</v>
      </c>
      <c r="AG37" s="14" t="n">
        <f aca="false">IF(AND(E37&gt;0,COUNTIFS($R$5:R37,R37,$K$5:K37,K37,$E$5:E37,"&gt;0")=1),1,0)</f>
        <v>1</v>
      </c>
    </row>
    <row r="38" customFormat="false" ht="15" hidden="false" customHeight="false" outlineLevel="0" collapsed="false">
      <c r="A38" s="17" t="n">
        <v>4582429001</v>
      </c>
      <c r="B38" s="79" t="n">
        <v>45968.7524074074</v>
      </c>
      <c r="C38" s="79" t="n">
        <v>45968.7715277778</v>
      </c>
      <c r="D38" s="39" t="n">
        <v>0.458888888888889</v>
      </c>
      <c r="E38" s="39" t="n">
        <v>23.511499</v>
      </c>
      <c r="F38" s="39" t="n">
        <v>60.604</v>
      </c>
      <c r="G38" s="17" t="s">
        <v>67</v>
      </c>
      <c r="H38" s="80" t="b">
        <f aca="false">TRUE()</f>
        <v>1</v>
      </c>
      <c r="I38" s="80" t="b">
        <f aca="false">FALSE()</f>
        <v>0</v>
      </c>
      <c r="J38" s="81" t="n">
        <v>1</v>
      </c>
      <c r="K38" s="17" t="s">
        <v>229</v>
      </c>
      <c r="L38" s="17" t="s">
        <v>226</v>
      </c>
      <c r="M38" s="17" t="s">
        <v>249</v>
      </c>
      <c r="N38" s="17" t="s">
        <v>250</v>
      </c>
      <c r="O38" s="17" t="s">
        <v>251</v>
      </c>
      <c r="P38" s="44" t="n">
        <v>11.8</v>
      </c>
      <c r="Q38" s="44" t="n">
        <v>10.12</v>
      </c>
      <c r="R38" s="54" t="n">
        <f aca="false">INT(B38)</f>
        <v>45968</v>
      </c>
      <c r="S38" s="17" t="n">
        <f aca="false">IF(AND(I38=TRUE(),COUNTIFS($R$5:R38,R38,$I$5:I38,TRUE())=1),1,0)</f>
        <v>0</v>
      </c>
      <c r="T38" s="73" t="n">
        <v>0.4</v>
      </c>
      <c r="U38" s="44" t="n">
        <v>11.24</v>
      </c>
      <c r="V38" s="44" t="n">
        <v>9.4045996</v>
      </c>
      <c r="W38" s="44" t="n">
        <f aca="false">SUM(Z38:AE38)</f>
        <v>1.68</v>
      </c>
      <c r="X38" s="17" t="s">
        <v>109</v>
      </c>
      <c r="Y38" s="54" t="n">
        <v>45964</v>
      </c>
      <c r="Z38" s="44" t="n">
        <v>0.56</v>
      </c>
      <c r="AA38" s="44" t="n">
        <v>0</v>
      </c>
      <c r="AB38" s="44" t="n">
        <v>0</v>
      </c>
      <c r="AC38" s="44" t="n">
        <v>0</v>
      </c>
      <c r="AD38" s="44" t="n">
        <v>1.12</v>
      </c>
      <c r="AE38" s="44" t="n">
        <v>0</v>
      </c>
      <c r="AF38" s="17" t="n">
        <f aca="false">IF(AND(E38&gt;0,COUNTIFS($R$5:R38,R38,$E$5:E38,"&gt;0")=1),1,0)</f>
        <v>0</v>
      </c>
      <c r="AG38" s="17" t="n">
        <f aca="false">IF(AND(E38&gt;0,COUNTIFS($R$5:R38,R38,$K$5:K38,K38,$E$5:E38,"&gt;0")=1),1,0)</f>
        <v>0</v>
      </c>
    </row>
    <row r="39" customFormat="false" ht="15" hidden="false" customHeight="false" outlineLevel="0" collapsed="false">
      <c r="A39" s="14" t="n">
        <v>4584727751</v>
      </c>
      <c r="B39" s="77" t="n">
        <v>45969.6133449074</v>
      </c>
      <c r="C39" s="77" t="n">
        <v>45969.6163888889</v>
      </c>
      <c r="D39" s="38" t="n">
        <v>0.0730555555555555</v>
      </c>
      <c r="E39" s="38" t="n">
        <v>1.6401</v>
      </c>
      <c r="F39" s="38" t="n">
        <v>26.753</v>
      </c>
      <c r="G39" s="14" t="s">
        <v>66</v>
      </c>
      <c r="H39" s="78" t="b">
        <f aca="false">TRUE()</f>
        <v>1</v>
      </c>
      <c r="I39" s="78" t="b">
        <f aca="false">FALSE()</f>
        <v>0</v>
      </c>
      <c r="J39" s="55" t="n">
        <v>1</v>
      </c>
      <c r="K39" s="14" t="s">
        <v>229</v>
      </c>
      <c r="L39" s="14" t="s">
        <v>252</v>
      </c>
      <c r="M39" s="14"/>
      <c r="N39" s="14"/>
      <c r="O39" s="14"/>
      <c r="P39" s="42" t="n">
        <v>0.99</v>
      </c>
      <c r="Q39" s="42" t="n">
        <v>0.86</v>
      </c>
      <c r="R39" s="53" t="n">
        <f aca="false">INT(B39)</f>
        <v>45969</v>
      </c>
      <c r="S39" s="14" t="n">
        <f aca="false">IF(AND(I39=TRUE(),COUNTIFS($R$5:R39,R39,$I$5:I39,TRUE())=1),1,0)</f>
        <v>0</v>
      </c>
      <c r="T39" s="71" t="n">
        <v>0.4</v>
      </c>
      <c r="U39" s="42" t="n">
        <v>0.95</v>
      </c>
      <c r="V39" s="42" t="n">
        <v>0.65604</v>
      </c>
      <c r="W39" s="42" t="n">
        <f aca="false">SUM(Z39:AE39)</f>
        <v>0.13</v>
      </c>
      <c r="X39" s="14" t="s">
        <v>110</v>
      </c>
      <c r="Y39" s="53" t="n">
        <v>45964</v>
      </c>
      <c r="Z39" s="42" t="n">
        <v>0.04</v>
      </c>
      <c r="AA39" s="42" t="n">
        <v>0</v>
      </c>
      <c r="AB39" s="42" t="n">
        <v>0</v>
      </c>
      <c r="AC39" s="42" t="n">
        <v>0</v>
      </c>
      <c r="AD39" s="42" t="n">
        <v>0.09</v>
      </c>
      <c r="AE39" s="42" t="n">
        <v>0</v>
      </c>
      <c r="AF39" s="14" t="n">
        <f aca="false">IF(AND(E39&gt;0,COUNTIFS($R$5:R39,R39,$E$5:E39,"&gt;0")=1),1,0)</f>
        <v>1</v>
      </c>
      <c r="AG39" s="14" t="n">
        <f aca="false">IF(AND(E39&gt;0,COUNTIFS($R$5:R39,R39,$K$5:K39,K39,$E$5:E39,"&gt;0")=1),1,0)</f>
        <v>1</v>
      </c>
    </row>
    <row r="40" customFormat="false" ht="15" hidden="false" customHeight="false" outlineLevel="0" collapsed="false">
      <c r="A40" s="17" t="n">
        <v>4584735501</v>
      </c>
      <c r="B40" s="79" t="n">
        <v>45969.6167476852</v>
      </c>
      <c r="C40" s="79" t="n">
        <v>45969.6295601852</v>
      </c>
      <c r="D40" s="39" t="n">
        <v>0.3075</v>
      </c>
      <c r="E40" s="39" t="n">
        <v>14.9243</v>
      </c>
      <c r="F40" s="39" t="n">
        <v>53.4</v>
      </c>
      <c r="G40" s="17" t="s">
        <v>66</v>
      </c>
      <c r="H40" s="80" t="b">
        <f aca="false">TRUE()</f>
        <v>1</v>
      </c>
      <c r="I40" s="80" t="b">
        <f aca="false">FALSE()</f>
        <v>0</v>
      </c>
      <c r="J40" s="81" t="n">
        <v>1</v>
      </c>
      <c r="K40" s="17" t="s">
        <v>229</v>
      </c>
      <c r="L40" s="17" t="s">
        <v>252</v>
      </c>
      <c r="M40" s="17"/>
      <c r="N40" s="17"/>
      <c r="O40" s="17"/>
      <c r="P40" s="44" t="n">
        <v>7.56</v>
      </c>
      <c r="Q40" s="44" t="n">
        <v>6.48</v>
      </c>
      <c r="R40" s="54" t="n">
        <f aca="false">INT(B40)</f>
        <v>45969</v>
      </c>
      <c r="S40" s="17" t="n">
        <f aca="false">IF(AND(I40=TRUE(),COUNTIFS($R$5:R40,R40,$I$5:I40,TRUE())=1),1,0)</f>
        <v>0</v>
      </c>
      <c r="T40" s="73" t="n">
        <v>0.4</v>
      </c>
      <c r="U40" s="44" t="n">
        <v>7.2</v>
      </c>
      <c r="V40" s="44" t="n">
        <v>5.96972</v>
      </c>
      <c r="W40" s="44" t="n">
        <f aca="false">SUM(Z40:AE40)</f>
        <v>1.08</v>
      </c>
      <c r="X40" s="17" t="s">
        <v>110</v>
      </c>
      <c r="Y40" s="54" t="n">
        <v>45964</v>
      </c>
      <c r="Z40" s="44" t="n">
        <v>0.36</v>
      </c>
      <c r="AA40" s="44" t="n">
        <v>0</v>
      </c>
      <c r="AB40" s="44" t="n">
        <v>0</v>
      </c>
      <c r="AC40" s="44" t="n">
        <v>0</v>
      </c>
      <c r="AD40" s="44" t="n">
        <v>0.72</v>
      </c>
      <c r="AE40" s="44" t="n">
        <v>0</v>
      </c>
      <c r="AF40" s="17" t="n">
        <f aca="false">IF(AND(E40&gt;0,COUNTIFS($R$5:R40,R40,$E$5:E40,"&gt;0")=1),1,0)</f>
        <v>0</v>
      </c>
      <c r="AG40" s="17" t="n">
        <f aca="false">IF(AND(E40&gt;0,COUNTIFS($R$5:R40,R40,$K$5:K40,K40,$E$5:E40,"&gt;0")=1),1,0)</f>
        <v>0</v>
      </c>
    </row>
    <row r="41" customFormat="false" ht="15" hidden="false" customHeight="false" outlineLevel="0" collapsed="false">
      <c r="A41" s="14" t="n">
        <v>4587521521</v>
      </c>
      <c r="B41" s="77" t="n">
        <v>45970.8244560185</v>
      </c>
      <c r="C41" s="77" t="n">
        <v>45970.8842476852</v>
      </c>
      <c r="D41" s="38" t="n">
        <v>1.435</v>
      </c>
      <c r="E41" s="38" t="n">
        <v>63.373699</v>
      </c>
      <c r="F41" s="38" t="n">
        <v>62.523</v>
      </c>
      <c r="G41" s="14" t="s">
        <v>67</v>
      </c>
      <c r="H41" s="78" t="b">
        <f aca="false">TRUE()</f>
        <v>1</v>
      </c>
      <c r="I41" s="78" t="b">
        <f aca="false">FALSE()</f>
        <v>0</v>
      </c>
      <c r="J41" s="55" t="n">
        <v>1</v>
      </c>
      <c r="K41" s="14" t="s">
        <v>229</v>
      </c>
      <c r="L41" s="14" t="s">
        <v>226</v>
      </c>
      <c r="M41" s="14" t="s">
        <v>230</v>
      </c>
      <c r="N41" s="14"/>
      <c r="O41" s="14" t="s">
        <v>228</v>
      </c>
      <c r="P41" s="42" t="n">
        <v>32.61</v>
      </c>
      <c r="Q41" s="42" t="n">
        <v>27.98</v>
      </c>
      <c r="R41" s="53" t="n">
        <f aca="false">INT(B41)</f>
        <v>45970</v>
      </c>
      <c r="S41" s="14" t="n">
        <f aca="false">IF(AND(I41=TRUE(),COUNTIFS($R$5:R41,R41,$I$5:I41,TRUE())=1),1,0)</f>
        <v>0</v>
      </c>
      <c r="T41" s="71" t="n">
        <v>0.4</v>
      </c>
      <c r="U41" s="42" t="n">
        <v>31.09</v>
      </c>
      <c r="V41" s="42" t="n">
        <v>25.3494796</v>
      </c>
      <c r="W41" s="42" t="n">
        <f aca="false">SUM(Z41:AE41)</f>
        <v>4.63</v>
      </c>
      <c r="X41" s="14" t="s">
        <v>111</v>
      </c>
      <c r="Y41" s="53" t="n">
        <v>45964</v>
      </c>
      <c r="Z41" s="42" t="n">
        <v>1.52</v>
      </c>
      <c r="AA41" s="42" t="n">
        <v>0</v>
      </c>
      <c r="AB41" s="42" t="n">
        <v>0</v>
      </c>
      <c r="AC41" s="42" t="n">
        <v>0</v>
      </c>
      <c r="AD41" s="42" t="n">
        <v>3.11</v>
      </c>
      <c r="AE41" s="42" t="n">
        <v>0</v>
      </c>
      <c r="AF41" s="14" t="n">
        <f aca="false">IF(AND(E41&gt;0,COUNTIFS($R$5:R41,R41,$E$5:E41,"&gt;0")=1),1,0)</f>
        <v>1</v>
      </c>
      <c r="AG41" s="14" t="n">
        <f aca="false">IF(AND(E41&gt;0,COUNTIFS($R$5:R41,R41,$K$5:K41,K41,$E$5:E41,"&gt;0")=1),1,0)</f>
        <v>1</v>
      </c>
    </row>
    <row r="42" customFormat="false" ht="15" hidden="false" customHeight="false" outlineLevel="0" collapsed="false">
      <c r="A42" s="17" t="n">
        <v>4589744431</v>
      </c>
      <c r="B42" s="79" t="n">
        <v>45971.6959606482</v>
      </c>
      <c r="C42" s="79" t="n">
        <v>45971.7221180556</v>
      </c>
      <c r="D42" s="39" t="n">
        <v>0.627777777777778</v>
      </c>
      <c r="E42" s="39" t="n">
        <v>36.359001</v>
      </c>
      <c r="F42" s="39" t="n">
        <v>62.41</v>
      </c>
      <c r="G42" s="17" t="s">
        <v>66</v>
      </c>
      <c r="H42" s="80" t="b">
        <f aca="false">TRUE()</f>
        <v>1</v>
      </c>
      <c r="I42" s="80" t="b">
        <f aca="false">FALSE()</f>
        <v>0</v>
      </c>
      <c r="J42" s="81" t="n">
        <v>1</v>
      </c>
      <c r="K42" s="17" t="s">
        <v>229</v>
      </c>
      <c r="L42" s="17" t="s">
        <v>226</v>
      </c>
      <c r="M42" s="17" t="s">
        <v>253</v>
      </c>
      <c r="N42" s="17"/>
      <c r="O42" s="17" t="s">
        <v>232</v>
      </c>
      <c r="P42" s="44" t="n">
        <v>17.92</v>
      </c>
      <c r="Q42" s="44" t="n">
        <v>15.35</v>
      </c>
      <c r="R42" s="54" t="n">
        <f aca="false">INT(B42)</f>
        <v>45971</v>
      </c>
      <c r="S42" s="17" t="n">
        <f aca="false">IF(AND(I42=TRUE(),COUNTIFS($R$5:R42,R42,$I$5:I42,TRUE())=1),1,0)</f>
        <v>0</v>
      </c>
      <c r="T42" s="73" t="n">
        <v>0.4</v>
      </c>
      <c r="U42" s="44" t="n">
        <v>17.05</v>
      </c>
      <c r="V42" s="44" t="n">
        <v>14.5436004</v>
      </c>
      <c r="W42" s="44" t="n">
        <f aca="false">SUM(Z42:AE42)</f>
        <v>2.57</v>
      </c>
      <c r="X42" s="17" t="s">
        <v>105</v>
      </c>
      <c r="Y42" s="54" t="n">
        <v>45971</v>
      </c>
      <c r="Z42" s="44" t="n">
        <v>0.87</v>
      </c>
      <c r="AA42" s="44" t="n">
        <v>0</v>
      </c>
      <c r="AB42" s="44" t="n">
        <v>0</v>
      </c>
      <c r="AC42" s="44" t="n">
        <v>0</v>
      </c>
      <c r="AD42" s="44" t="n">
        <v>1.7</v>
      </c>
      <c r="AE42" s="44" t="n">
        <v>0</v>
      </c>
      <c r="AF42" s="17" t="n">
        <f aca="false">IF(AND(E42&gt;0,COUNTIFS($R$5:R42,R42,$E$5:E42,"&gt;0")=1),1,0)</f>
        <v>1</v>
      </c>
      <c r="AG42" s="17" t="n">
        <f aca="false">IF(AND(E42&gt;0,COUNTIFS($R$5:R42,R42,$K$5:K42,K42,$E$5:E42,"&gt;0")=1),1,0)</f>
        <v>1</v>
      </c>
    </row>
    <row r="43" customFormat="false" ht="15" hidden="false" customHeight="false" outlineLevel="0" collapsed="false">
      <c r="A43" s="14" t="n">
        <v>4603051091</v>
      </c>
      <c r="B43" s="77" t="n">
        <v>45975.7779513889</v>
      </c>
      <c r="C43" s="77" t="n">
        <v>45975.8221643519</v>
      </c>
      <c r="D43" s="38" t="n">
        <v>1.06111111111111</v>
      </c>
      <c r="E43" s="38" t="n">
        <v>62.974098</v>
      </c>
      <c r="F43" s="38" t="n">
        <v>62.882</v>
      </c>
      <c r="G43" s="14" t="s">
        <v>67</v>
      </c>
      <c r="H43" s="78" t="b">
        <f aca="false">TRUE()</f>
        <v>1</v>
      </c>
      <c r="I43" s="78" t="b">
        <f aca="false">FALSE()</f>
        <v>0</v>
      </c>
      <c r="J43" s="55" t="n">
        <v>1</v>
      </c>
      <c r="K43" s="14" t="s">
        <v>229</v>
      </c>
      <c r="L43" s="14" t="s">
        <v>226</v>
      </c>
      <c r="M43" s="14" t="s">
        <v>254</v>
      </c>
      <c r="N43" s="14" t="s">
        <v>235</v>
      </c>
      <c r="O43" s="14" t="s">
        <v>228</v>
      </c>
      <c r="P43" s="42" t="n">
        <v>30.94</v>
      </c>
      <c r="Q43" s="42" t="n">
        <v>26.49</v>
      </c>
      <c r="R43" s="53" t="n">
        <f aca="false">INT(B43)</f>
        <v>45975</v>
      </c>
      <c r="S43" s="14" t="n">
        <f aca="false">IF(AND(I43=TRUE(),COUNTIFS($R$5:R43,R43,$I$5:I43,TRUE())=1),1,0)</f>
        <v>0</v>
      </c>
      <c r="T43" s="71" t="n">
        <v>0.4</v>
      </c>
      <c r="U43" s="42" t="n">
        <v>29.43</v>
      </c>
      <c r="V43" s="42" t="n">
        <v>25.1896392</v>
      </c>
      <c r="W43" s="42" t="n">
        <f aca="false">SUM(Z43:AE43)</f>
        <v>4.45</v>
      </c>
      <c r="X43" s="14" t="s">
        <v>109</v>
      </c>
      <c r="Y43" s="53" t="n">
        <v>45971</v>
      </c>
      <c r="Z43" s="42" t="n">
        <v>1.51</v>
      </c>
      <c r="AA43" s="42" t="n">
        <v>0</v>
      </c>
      <c r="AB43" s="42" t="n">
        <v>0</v>
      </c>
      <c r="AC43" s="42" t="n">
        <v>0</v>
      </c>
      <c r="AD43" s="42" t="n">
        <v>2.94</v>
      </c>
      <c r="AE43" s="42" t="n">
        <v>0</v>
      </c>
      <c r="AF43" s="14" t="n">
        <f aca="false">IF(AND(E43&gt;0,COUNTIFS($R$5:R43,R43,$E$5:E43,"&gt;0")=1),1,0)</f>
        <v>1</v>
      </c>
      <c r="AG43" s="14" t="n">
        <f aca="false">IF(AND(E43&gt;0,COUNTIFS($R$5:R43,R43,$K$5:K43,K43,$E$5:E43,"&gt;0")=1),1,0)</f>
        <v>1</v>
      </c>
    </row>
    <row r="44" customFormat="false" ht="15" hidden="false" customHeight="false" outlineLevel="0" collapsed="false">
      <c r="A44" s="17" t="n">
        <v>4605493791</v>
      </c>
      <c r="B44" s="79" t="n">
        <v>45976.7180902778</v>
      </c>
      <c r="C44" s="79" t="n">
        <v>45976.7562847222</v>
      </c>
      <c r="D44" s="39" t="n">
        <v>0.916666666666667</v>
      </c>
      <c r="E44" s="39" t="n">
        <v>48.506901</v>
      </c>
      <c r="F44" s="39" t="n">
        <v>55.38</v>
      </c>
      <c r="G44" s="17" t="s">
        <v>66</v>
      </c>
      <c r="H44" s="80" t="b">
        <f aca="false">TRUE()</f>
        <v>1</v>
      </c>
      <c r="I44" s="80" t="b">
        <f aca="false">FALSE()</f>
        <v>0</v>
      </c>
      <c r="J44" s="81" t="n">
        <v>1</v>
      </c>
      <c r="K44" s="17" t="s">
        <v>229</v>
      </c>
      <c r="L44" s="17" t="s">
        <v>226</v>
      </c>
      <c r="M44" s="17" t="s">
        <v>230</v>
      </c>
      <c r="N44" s="17"/>
      <c r="O44" s="17" t="s">
        <v>228</v>
      </c>
      <c r="P44" s="44" t="n">
        <v>24.23</v>
      </c>
      <c r="Q44" s="44" t="n">
        <v>20.76</v>
      </c>
      <c r="R44" s="54" t="n">
        <f aca="false">INT(B44)</f>
        <v>45976</v>
      </c>
      <c r="S44" s="17" t="n">
        <f aca="false">IF(AND(I44=TRUE(),COUNTIFS($R$5:R44,R44,$I$5:I44,TRUE())=1),1,0)</f>
        <v>0</v>
      </c>
      <c r="T44" s="73" t="n">
        <v>0.4</v>
      </c>
      <c r="U44" s="44" t="n">
        <v>23.07</v>
      </c>
      <c r="V44" s="44" t="n">
        <v>19.4027604</v>
      </c>
      <c r="W44" s="44" t="n">
        <f aca="false">SUM(Z44:AE44)</f>
        <v>3.47</v>
      </c>
      <c r="X44" s="17" t="s">
        <v>110</v>
      </c>
      <c r="Y44" s="54" t="n">
        <v>45971</v>
      </c>
      <c r="Z44" s="44" t="n">
        <v>1.16</v>
      </c>
      <c r="AA44" s="44" t="n">
        <v>0</v>
      </c>
      <c r="AB44" s="44" t="n">
        <v>0</v>
      </c>
      <c r="AC44" s="44" t="n">
        <v>0</v>
      </c>
      <c r="AD44" s="44" t="n">
        <v>2.31</v>
      </c>
      <c r="AE44" s="44" t="n">
        <v>0</v>
      </c>
      <c r="AF44" s="17" t="n">
        <f aca="false">IF(AND(E44&gt;0,COUNTIFS($R$5:R44,R44,$E$5:E44,"&gt;0")=1),1,0)</f>
        <v>1</v>
      </c>
      <c r="AG44" s="17" t="n">
        <f aca="false">IF(AND(E44&gt;0,COUNTIFS($R$5:R44,R44,$K$5:K44,K44,$E$5:E44,"&gt;0")=1),1,0)</f>
        <v>1</v>
      </c>
    </row>
    <row r="45" customFormat="false" ht="15" hidden="false" customHeight="false" outlineLevel="0" collapsed="false">
      <c r="A45" s="14" t="n">
        <v>4607466511</v>
      </c>
      <c r="B45" s="77" t="n">
        <v>45977.6381828704</v>
      </c>
      <c r="C45" s="77" t="n">
        <v>45977.6397106482</v>
      </c>
      <c r="D45" s="38" t="n">
        <v>0.0366666666666666</v>
      </c>
      <c r="E45" s="38" t="n">
        <v>0</v>
      </c>
      <c r="F45" s="38"/>
      <c r="G45" s="14" t="s">
        <v>66</v>
      </c>
      <c r="H45" s="78" t="b">
        <f aca="false">FALSE()</f>
        <v>0</v>
      </c>
      <c r="I45" s="78" t="b">
        <f aca="false">FALSE()</f>
        <v>0</v>
      </c>
      <c r="J45" s="55"/>
      <c r="K45" s="14" t="s">
        <v>229</v>
      </c>
      <c r="L45" s="14" t="s">
        <v>233</v>
      </c>
      <c r="M45" s="14"/>
      <c r="N45" s="14"/>
      <c r="O45" s="14"/>
      <c r="P45" s="42"/>
      <c r="Q45" s="42"/>
      <c r="R45" s="53" t="n">
        <f aca="false">INT(B45)</f>
        <v>45977</v>
      </c>
      <c r="S45" s="14" t="n">
        <f aca="false">IF(AND(I45=TRUE(),COUNTIFS($R$5:R45,R45,$I$5:I45,TRUE())=1),1,0)</f>
        <v>0</v>
      </c>
      <c r="T45" s="71"/>
      <c r="U45" s="42"/>
      <c r="V45" s="42"/>
      <c r="W45" s="42" t="n">
        <f aca="false">SUM(Z45:AE45)</f>
        <v>0</v>
      </c>
      <c r="X45" s="14" t="s">
        <v>111</v>
      </c>
      <c r="Y45" s="53" t="n">
        <v>45971</v>
      </c>
      <c r="Z45" s="42"/>
      <c r="AA45" s="42"/>
      <c r="AB45" s="42"/>
      <c r="AC45" s="42"/>
      <c r="AD45" s="42"/>
      <c r="AE45" s="42"/>
      <c r="AF45" s="14" t="n">
        <f aca="false">IF(AND(E45&gt;0,COUNTIFS($R$5:R45,R45,$E$5:E45,"&gt;0")=1),1,0)</f>
        <v>0</v>
      </c>
      <c r="AG45" s="14" t="n">
        <f aca="false">IF(AND(E45&gt;0,COUNTIFS($R$5:R45,R45,$K$5:K45,K45,$E$5:E45,"&gt;0")=1),1,0)</f>
        <v>0</v>
      </c>
    </row>
    <row r="46" customFormat="false" ht="15" hidden="false" customHeight="false" outlineLevel="0" collapsed="false">
      <c r="A46" s="17" t="n">
        <v>4608121961</v>
      </c>
      <c r="B46" s="79" t="n">
        <v>45977.8697569444</v>
      </c>
      <c r="C46" s="79" t="n">
        <v>45977.8802314815</v>
      </c>
      <c r="D46" s="39" t="n">
        <v>0.251388888888889</v>
      </c>
      <c r="E46" s="39" t="n">
        <v>1.656913</v>
      </c>
      <c r="F46" s="39" t="n">
        <v>7.0231</v>
      </c>
      <c r="G46" s="17" t="s">
        <v>67</v>
      </c>
      <c r="H46" s="80" t="b">
        <f aca="false">FALSE()</f>
        <v>0</v>
      </c>
      <c r="I46" s="80" t="b">
        <f aca="false">FALSE()</f>
        <v>0</v>
      </c>
      <c r="J46" s="81" t="n">
        <v>0</v>
      </c>
      <c r="K46" s="17" t="s">
        <v>225</v>
      </c>
      <c r="L46" s="17" t="s">
        <v>233</v>
      </c>
      <c r="M46" s="17"/>
      <c r="N46" s="17"/>
      <c r="O46" s="17"/>
      <c r="P46" s="44" t="n">
        <v>1.71</v>
      </c>
      <c r="Q46" s="44" t="n">
        <v>1.5</v>
      </c>
      <c r="R46" s="54" t="n">
        <f aca="false">INT(B46)</f>
        <v>45977</v>
      </c>
      <c r="S46" s="17" t="n">
        <f aca="false">IF(AND(I46=TRUE(),COUNTIFS($R$5:R46,R46,$I$5:I46,TRUE())=1),1,0)</f>
        <v>0</v>
      </c>
      <c r="T46" s="73" t="n">
        <v>0.4</v>
      </c>
      <c r="U46" s="44" t="n">
        <v>1.67</v>
      </c>
      <c r="V46" s="44" t="n">
        <v>0.6627652</v>
      </c>
      <c r="W46" s="44" t="n">
        <f aca="false">SUM(Z46:AE46)</f>
        <v>0.21</v>
      </c>
      <c r="X46" s="17" t="s">
        <v>111</v>
      </c>
      <c r="Y46" s="54" t="n">
        <v>45971</v>
      </c>
      <c r="Z46" s="44" t="n">
        <v>0.04</v>
      </c>
      <c r="AA46" s="44" t="n">
        <v>0</v>
      </c>
      <c r="AB46" s="44" t="n">
        <v>0</v>
      </c>
      <c r="AC46" s="44" t="n">
        <v>0</v>
      </c>
      <c r="AD46" s="44" t="n">
        <v>0.17</v>
      </c>
      <c r="AE46" s="44" t="n">
        <v>0</v>
      </c>
      <c r="AF46" s="17" t="n">
        <f aca="false">IF(AND(E46&gt;0,COUNTIFS($R$5:R46,R46,$E$5:E46,"&gt;0")=1),1,0)</f>
        <v>1</v>
      </c>
      <c r="AG46" s="17" t="n">
        <f aca="false">IF(AND(E46&gt;0,COUNTIFS($R$5:R46,R46,$K$5:K46,K46,$E$5:E46,"&gt;0")=1),1,0)</f>
        <v>1</v>
      </c>
    </row>
    <row r="47" customFormat="false" ht="15" hidden="false" customHeight="false" outlineLevel="0" collapsed="false">
      <c r="A47" s="14" t="n">
        <v>4608160281</v>
      </c>
      <c r="B47" s="77" t="n">
        <v>45977.8808912037</v>
      </c>
      <c r="C47" s="77" t="n">
        <v>45977.9008449074</v>
      </c>
      <c r="D47" s="38" t="n">
        <v>0.478888888888889</v>
      </c>
      <c r="E47" s="38" t="n">
        <v>3.20775</v>
      </c>
      <c r="F47" s="38" t="n">
        <v>6.964</v>
      </c>
      <c r="G47" s="14" t="s">
        <v>67</v>
      </c>
      <c r="H47" s="78" t="b">
        <f aca="false">FALSE()</f>
        <v>0</v>
      </c>
      <c r="I47" s="78" t="b">
        <f aca="false">FALSE()</f>
        <v>0</v>
      </c>
      <c r="J47" s="55" t="n">
        <v>0</v>
      </c>
      <c r="K47" s="14" t="s">
        <v>225</v>
      </c>
      <c r="L47" s="14" t="s">
        <v>233</v>
      </c>
      <c r="M47" s="14"/>
      <c r="N47" s="14"/>
      <c r="O47" s="14"/>
      <c r="P47" s="42" t="n">
        <v>3.28</v>
      </c>
      <c r="Q47" s="42" t="n">
        <v>2.88</v>
      </c>
      <c r="R47" s="53" t="n">
        <f aca="false">INT(B47)</f>
        <v>45977</v>
      </c>
      <c r="S47" s="14" t="n">
        <f aca="false">IF(AND(I47=TRUE(),COUNTIFS($R$5:R47,R47,$I$5:I47,TRUE())=1),1,0)</f>
        <v>0</v>
      </c>
      <c r="T47" s="71" t="n">
        <v>0.4</v>
      </c>
      <c r="U47" s="42" t="n">
        <v>3.2</v>
      </c>
      <c r="V47" s="42" t="n">
        <v>1.2831</v>
      </c>
      <c r="W47" s="42" t="n">
        <f aca="false">SUM(Z47:AE47)</f>
        <v>0.4</v>
      </c>
      <c r="X47" s="14" t="s">
        <v>111</v>
      </c>
      <c r="Y47" s="53" t="n">
        <v>45971</v>
      </c>
      <c r="Z47" s="42" t="n">
        <v>0.08</v>
      </c>
      <c r="AA47" s="42" t="n">
        <v>0</v>
      </c>
      <c r="AB47" s="42" t="n">
        <v>0</v>
      </c>
      <c r="AC47" s="42" t="n">
        <v>0</v>
      </c>
      <c r="AD47" s="42" t="n">
        <v>0.32</v>
      </c>
      <c r="AE47" s="42" t="n">
        <v>0</v>
      </c>
      <c r="AF47" s="14" t="n">
        <f aca="false">IF(AND(E47&gt;0,COUNTIFS($R$5:R47,R47,$E$5:E47,"&gt;0")=1),1,0)</f>
        <v>0</v>
      </c>
      <c r="AG47" s="14" t="n">
        <f aca="false">IF(AND(E47&gt;0,COUNTIFS($R$5:R47,R47,$K$5:K47,K47,$E$5:E47,"&gt;0")=1),1,0)</f>
        <v>0</v>
      </c>
    </row>
    <row r="48" customFormat="false" ht="15" hidden="false" customHeight="false" outlineLevel="0" collapsed="false">
      <c r="A48" s="17" t="n">
        <v>4608260881</v>
      </c>
      <c r="B48" s="79" t="n">
        <v>45977.9095601852</v>
      </c>
      <c r="C48" s="79" t="n">
        <v>45977.9314236111</v>
      </c>
      <c r="D48" s="39" t="n">
        <v>0.524722222222222</v>
      </c>
      <c r="E48" s="39" t="n">
        <v>29.381399</v>
      </c>
      <c r="F48" s="39" t="n">
        <v>58.344</v>
      </c>
      <c r="G48" s="17" t="s">
        <v>67</v>
      </c>
      <c r="H48" s="80" t="b">
        <f aca="false">TRUE()</f>
        <v>1</v>
      </c>
      <c r="I48" s="80" t="b">
        <f aca="false">FALSE()</f>
        <v>0</v>
      </c>
      <c r="J48" s="81" t="n">
        <v>1</v>
      </c>
      <c r="K48" s="17" t="s">
        <v>229</v>
      </c>
      <c r="L48" s="17" t="s">
        <v>233</v>
      </c>
      <c r="M48" s="17"/>
      <c r="N48" s="17"/>
      <c r="O48" s="17"/>
      <c r="P48" s="44" t="n">
        <v>14.56</v>
      </c>
      <c r="Q48" s="44" t="n">
        <v>12.47</v>
      </c>
      <c r="R48" s="54" t="n">
        <f aca="false">INT(B48)</f>
        <v>45977</v>
      </c>
      <c r="S48" s="17" t="n">
        <f aca="false">IF(AND(I48=TRUE(),COUNTIFS($R$5:R48,R48,$I$5:I48,TRUE())=1),1,0)</f>
        <v>0</v>
      </c>
      <c r="T48" s="73" t="n">
        <v>0.4</v>
      </c>
      <c r="U48" s="44" t="n">
        <v>13.85</v>
      </c>
      <c r="V48" s="44" t="n">
        <v>11.7525596</v>
      </c>
      <c r="W48" s="44" t="n">
        <f aca="false">SUM(Z48:AE48)</f>
        <v>2.09</v>
      </c>
      <c r="X48" s="17" t="s">
        <v>111</v>
      </c>
      <c r="Y48" s="54" t="n">
        <v>45971</v>
      </c>
      <c r="Z48" s="44" t="n">
        <v>0.71</v>
      </c>
      <c r="AA48" s="44" t="n">
        <v>0</v>
      </c>
      <c r="AB48" s="44" t="n">
        <v>0</v>
      </c>
      <c r="AC48" s="44" t="n">
        <v>0</v>
      </c>
      <c r="AD48" s="44" t="n">
        <v>1.38</v>
      </c>
      <c r="AE48" s="44" t="n">
        <v>0</v>
      </c>
      <c r="AF48" s="17" t="n">
        <f aca="false">IF(AND(E48&gt;0,COUNTIFS($R$5:R48,R48,$E$5:E48,"&gt;0")=1),1,0)</f>
        <v>0</v>
      </c>
      <c r="AG48" s="17" t="n">
        <f aca="false">IF(AND(E48&gt;0,COUNTIFS($R$5:R48,R48,$K$5:K48,K48,$E$5:E48,"&gt;0")=1),1,0)</f>
        <v>1</v>
      </c>
    </row>
    <row r="49" customFormat="false" ht="15" hidden="false" customHeight="false" outlineLevel="0" collapsed="false">
      <c r="A49" s="14" t="n">
        <v>4614135981</v>
      </c>
      <c r="B49" s="77" t="n">
        <v>45979.8246180556</v>
      </c>
      <c r="C49" s="77" t="n">
        <v>45979.8831597222</v>
      </c>
      <c r="D49" s="38" t="n">
        <v>1.405</v>
      </c>
      <c r="E49" s="38" t="n">
        <v>72.0289</v>
      </c>
      <c r="F49" s="38" t="n">
        <v>62.474</v>
      </c>
      <c r="G49" s="14" t="s">
        <v>67</v>
      </c>
      <c r="H49" s="78" t="b">
        <f aca="false">TRUE()</f>
        <v>1</v>
      </c>
      <c r="I49" s="78" t="b">
        <f aca="false">FALSE()</f>
        <v>0</v>
      </c>
      <c r="J49" s="55" t="n">
        <v>1</v>
      </c>
      <c r="K49" s="14" t="s">
        <v>229</v>
      </c>
      <c r="L49" s="14" t="s">
        <v>226</v>
      </c>
      <c r="M49" s="14" t="s">
        <v>230</v>
      </c>
      <c r="N49" s="14"/>
      <c r="O49" s="14" t="s">
        <v>228</v>
      </c>
      <c r="P49" s="42" t="n">
        <v>36.16</v>
      </c>
      <c r="Q49" s="42" t="n">
        <v>30.99</v>
      </c>
      <c r="R49" s="53" t="n">
        <f aca="false">INT(B49)</f>
        <v>45979</v>
      </c>
      <c r="S49" s="14" t="n">
        <f aca="false">IF(AND(I49=TRUE(),COUNTIFS($R$5:R49,R49,$I$5:I49,TRUE())=1),1,0)</f>
        <v>0</v>
      </c>
      <c r="T49" s="71" t="n">
        <v>0.4</v>
      </c>
      <c r="U49" s="42" t="n">
        <v>34.43</v>
      </c>
      <c r="V49" s="42" t="n">
        <v>28.81156</v>
      </c>
      <c r="W49" s="42" t="n">
        <f aca="false">SUM(Z49:AE49)</f>
        <v>5.17</v>
      </c>
      <c r="X49" s="14" t="s">
        <v>106</v>
      </c>
      <c r="Y49" s="53" t="n">
        <v>45978</v>
      </c>
      <c r="Z49" s="42" t="n">
        <v>1.73</v>
      </c>
      <c r="AA49" s="42" t="n">
        <v>0</v>
      </c>
      <c r="AB49" s="42" t="n">
        <v>0</v>
      </c>
      <c r="AC49" s="42" t="n">
        <v>0</v>
      </c>
      <c r="AD49" s="42" t="n">
        <v>3.44</v>
      </c>
      <c r="AE49" s="42" t="n">
        <v>0</v>
      </c>
      <c r="AF49" s="14" t="n">
        <f aca="false">IF(AND(E49&gt;0,COUNTIFS($R$5:R49,R49,$E$5:E49,"&gt;0")=1),1,0)</f>
        <v>1</v>
      </c>
      <c r="AG49" s="14" t="n">
        <f aca="false">IF(AND(E49&gt;0,COUNTIFS($R$5:R49,R49,$K$5:K49,K49,$E$5:E49,"&gt;0")=1),1,0)</f>
        <v>1</v>
      </c>
    </row>
    <row r="50" customFormat="false" ht="15" hidden="false" customHeight="false" outlineLevel="0" collapsed="false">
      <c r="A50" s="17" t="n">
        <v>4617286741</v>
      </c>
      <c r="B50" s="79" t="n">
        <v>45980.7633796296</v>
      </c>
      <c r="C50" s="79" t="n">
        <v>45980.8159259259</v>
      </c>
      <c r="D50" s="39" t="n">
        <v>1.26111111111111</v>
      </c>
      <c r="E50" s="39" t="n">
        <v>21.8878</v>
      </c>
      <c r="F50" s="39" t="n">
        <v>18.252</v>
      </c>
      <c r="G50" s="17" t="s">
        <v>67</v>
      </c>
      <c r="H50" s="80" t="b">
        <f aca="false">TRUE()</f>
        <v>1</v>
      </c>
      <c r="I50" s="80" t="b">
        <f aca="false">FALSE()</f>
        <v>0</v>
      </c>
      <c r="J50" s="81" t="n">
        <v>1</v>
      </c>
      <c r="K50" s="17" t="s">
        <v>229</v>
      </c>
      <c r="L50" s="17" t="s">
        <v>226</v>
      </c>
      <c r="M50" s="17" t="s">
        <v>255</v>
      </c>
      <c r="N50" s="17" t="s">
        <v>256</v>
      </c>
      <c r="O50" s="17" t="s">
        <v>257</v>
      </c>
      <c r="P50" s="44" t="n">
        <v>14.33</v>
      </c>
      <c r="Q50" s="44" t="n">
        <v>12.42</v>
      </c>
      <c r="R50" s="54" t="n">
        <f aca="false">INT(B50)</f>
        <v>45980</v>
      </c>
      <c r="S50" s="17" t="n">
        <f aca="false">IF(AND(I50=TRUE(),COUNTIFS($R$5:R50,R50,$I$5:I50,TRUE())=1),1,0)</f>
        <v>0</v>
      </c>
      <c r="T50" s="73" t="n">
        <v>0.4</v>
      </c>
      <c r="U50" s="44" t="n">
        <v>13.8</v>
      </c>
      <c r="V50" s="44" t="n">
        <v>8.75512</v>
      </c>
      <c r="W50" s="44" t="n">
        <f aca="false">SUM(Z50:AE50)</f>
        <v>1.91</v>
      </c>
      <c r="X50" s="17" t="s">
        <v>107</v>
      </c>
      <c r="Y50" s="54" t="n">
        <v>45978</v>
      </c>
      <c r="Z50" s="44" t="n">
        <v>0.53</v>
      </c>
      <c r="AA50" s="44" t="n">
        <v>0</v>
      </c>
      <c r="AB50" s="44" t="n">
        <v>0</v>
      </c>
      <c r="AC50" s="44" t="n">
        <v>0</v>
      </c>
      <c r="AD50" s="44" t="n">
        <v>1.38</v>
      </c>
      <c r="AE50" s="44" t="n">
        <v>0</v>
      </c>
      <c r="AF50" s="17" t="n">
        <f aca="false">IF(AND(E50&gt;0,COUNTIFS($R$5:R50,R50,$E$5:E50,"&gt;0")=1),1,0)</f>
        <v>1</v>
      </c>
      <c r="AG50" s="17" t="n">
        <f aca="false">IF(AND(E50&gt;0,COUNTIFS($R$5:R50,R50,$K$5:K50,K50,$E$5:E50,"&gt;0")=1),1,0)</f>
        <v>1</v>
      </c>
    </row>
    <row r="51" customFormat="false" ht="15" hidden="false" customHeight="false" outlineLevel="0" collapsed="false">
      <c r="A51" s="14" t="n">
        <v>4617870451</v>
      </c>
      <c r="B51" s="77" t="n">
        <v>45980.9006018519</v>
      </c>
      <c r="C51" s="77" t="n">
        <v>45980.9312268519</v>
      </c>
      <c r="D51" s="38" t="n">
        <v>0.735</v>
      </c>
      <c r="E51" s="38" t="n">
        <v>40.239601</v>
      </c>
      <c r="F51" s="38" t="n">
        <v>57.251</v>
      </c>
      <c r="G51" s="14" t="s">
        <v>67</v>
      </c>
      <c r="H51" s="78" t="b">
        <f aca="false">TRUE()</f>
        <v>1</v>
      </c>
      <c r="I51" s="78" t="b">
        <f aca="false">FALSE()</f>
        <v>0</v>
      </c>
      <c r="J51" s="55" t="n">
        <v>1</v>
      </c>
      <c r="K51" s="14" t="s">
        <v>229</v>
      </c>
      <c r="L51" s="14" t="s">
        <v>226</v>
      </c>
      <c r="M51" s="14" t="s">
        <v>258</v>
      </c>
      <c r="N51" s="14"/>
      <c r="O51" s="14" t="s">
        <v>259</v>
      </c>
      <c r="P51" s="42" t="n">
        <v>20.01</v>
      </c>
      <c r="Q51" s="42" t="n">
        <v>17.14</v>
      </c>
      <c r="R51" s="53" t="n">
        <f aca="false">INT(B51)</f>
        <v>45980</v>
      </c>
      <c r="S51" s="14" t="n">
        <f aca="false">IF(AND(I51=TRUE(),COUNTIFS($R$5:R51,R51,$I$5:I51,TRUE())=1),1,0)</f>
        <v>0</v>
      </c>
      <c r="T51" s="71" t="n">
        <v>0.4</v>
      </c>
      <c r="U51" s="42" t="n">
        <v>19.04</v>
      </c>
      <c r="V51" s="42" t="n">
        <v>16.0958404</v>
      </c>
      <c r="W51" s="42" t="n">
        <f aca="false">SUM(Z51:AE51)</f>
        <v>2.87</v>
      </c>
      <c r="X51" s="14" t="s">
        <v>107</v>
      </c>
      <c r="Y51" s="53" t="n">
        <v>45978</v>
      </c>
      <c r="Z51" s="42" t="n">
        <v>0.97</v>
      </c>
      <c r="AA51" s="42" t="n">
        <v>0</v>
      </c>
      <c r="AB51" s="42" t="n">
        <v>0</v>
      </c>
      <c r="AC51" s="42" t="n">
        <v>0</v>
      </c>
      <c r="AD51" s="42" t="n">
        <v>1.9</v>
      </c>
      <c r="AE51" s="42" t="n">
        <v>0</v>
      </c>
      <c r="AF51" s="14" t="n">
        <f aca="false">IF(AND(E51&gt;0,COUNTIFS($R$5:R51,R51,$E$5:E51,"&gt;0")=1),1,0)</f>
        <v>0</v>
      </c>
      <c r="AG51" s="14" t="n">
        <f aca="false">IF(AND(E51&gt;0,COUNTIFS($R$5:R51,R51,$K$5:K51,K51,$E$5:E51,"&gt;0")=1),1,0)</f>
        <v>0</v>
      </c>
    </row>
    <row r="52" customFormat="false" ht="15" hidden="false" customHeight="false" outlineLevel="0" collapsed="false">
      <c r="A52" s="17" t="n">
        <v>4637998171</v>
      </c>
      <c r="B52" s="79" t="n">
        <v>45987.8501157407</v>
      </c>
      <c r="C52" s="79" t="n">
        <v>45987.8514467593</v>
      </c>
      <c r="D52" s="39" t="n">
        <v>0.0319444444444444</v>
      </c>
      <c r="E52" s="39" t="n">
        <v>0</v>
      </c>
      <c r="F52" s="39" t="n">
        <v>0</v>
      </c>
      <c r="G52" s="17" t="s">
        <v>67</v>
      </c>
      <c r="H52" s="80" t="b">
        <f aca="false">FALSE()</f>
        <v>0</v>
      </c>
      <c r="I52" s="80" t="b">
        <f aca="false">FALSE()</f>
        <v>0</v>
      </c>
      <c r="J52" s="81"/>
      <c r="K52" s="17" t="s">
        <v>225</v>
      </c>
      <c r="L52" s="17" t="s">
        <v>233</v>
      </c>
      <c r="M52" s="17"/>
      <c r="N52" s="17"/>
      <c r="O52" s="17"/>
      <c r="P52" s="44"/>
      <c r="Q52" s="44"/>
      <c r="R52" s="54" t="n">
        <f aca="false">INT(B52)</f>
        <v>45987</v>
      </c>
      <c r="S52" s="17" t="n">
        <f aca="false">IF(AND(I52=TRUE(),COUNTIFS($R$5:R52,R52,$I$5:I52,TRUE())=1),1,0)</f>
        <v>0</v>
      </c>
      <c r="T52" s="73"/>
      <c r="U52" s="44"/>
      <c r="V52" s="44"/>
      <c r="W52" s="44" t="n">
        <f aca="false">SUM(Z52:AE52)</f>
        <v>0</v>
      </c>
      <c r="X52" s="17" t="s">
        <v>107</v>
      </c>
      <c r="Y52" s="54" t="n">
        <v>45985</v>
      </c>
      <c r="Z52" s="44"/>
      <c r="AA52" s="44"/>
      <c r="AB52" s="44"/>
      <c r="AC52" s="44"/>
      <c r="AD52" s="44"/>
      <c r="AE52" s="44"/>
      <c r="AF52" s="17" t="n">
        <f aca="false">IF(AND(E52&gt;0,COUNTIFS($R$5:R52,R52,$E$5:E52,"&gt;0")=1),1,0)</f>
        <v>0</v>
      </c>
      <c r="AG52" s="17" t="n">
        <f aca="false">IF(AND(E52&gt;0,COUNTIFS($R$5:R52,R52,$K$5:K52,K52,$E$5:E52,"&gt;0")=1),1,0)</f>
        <v>0</v>
      </c>
    </row>
    <row r="53" customFormat="false" ht="15" hidden="false" customHeight="false" outlineLevel="0" collapsed="false">
      <c r="A53" s="14" t="n">
        <v>4641229131</v>
      </c>
      <c r="B53" s="77" t="n">
        <v>45989.5572685185</v>
      </c>
      <c r="C53" s="77" t="n">
        <v>45989.5621990741</v>
      </c>
      <c r="D53" s="38" t="n">
        <v>0.118333333333333</v>
      </c>
      <c r="E53" s="38" t="n">
        <v>6.229</v>
      </c>
      <c r="F53" s="38" t="n">
        <v>0</v>
      </c>
      <c r="G53" s="14" t="s">
        <v>66</v>
      </c>
      <c r="H53" s="78" t="b">
        <f aca="false">FALSE()</f>
        <v>0</v>
      </c>
      <c r="I53" s="78" t="b">
        <f aca="false">FALSE()</f>
        <v>0</v>
      </c>
      <c r="J53" s="55"/>
      <c r="K53" s="14" t="s">
        <v>229</v>
      </c>
      <c r="L53" s="14" t="s">
        <v>226</v>
      </c>
      <c r="M53" s="14" t="s">
        <v>260</v>
      </c>
      <c r="N53" s="14" t="s">
        <v>261</v>
      </c>
      <c r="O53" s="14" t="s">
        <v>262</v>
      </c>
      <c r="P53" s="42" t="n">
        <v>3.11</v>
      </c>
      <c r="Q53" s="42" t="n">
        <v>2.66</v>
      </c>
      <c r="R53" s="53" t="n">
        <f aca="false">INT(B53)</f>
        <v>45989</v>
      </c>
      <c r="S53" s="14" t="n">
        <f aca="false">IF(AND(I53=TRUE(),COUNTIFS($R$5:R53,R53,$I$5:I53,TRUE())=1),1,0)</f>
        <v>0</v>
      </c>
      <c r="T53" s="71" t="n">
        <v>0.4</v>
      </c>
      <c r="U53" s="42" t="n">
        <v>2.96</v>
      </c>
      <c r="V53" s="42" t="n">
        <v>2.4916</v>
      </c>
      <c r="W53" s="42" t="n">
        <f aca="false">SUM(Z53:AE53)</f>
        <v>0.45</v>
      </c>
      <c r="X53" s="14" t="s">
        <v>109</v>
      </c>
      <c r="Y53" s="53" t="n">
        <v>45985</v>
      </c>
      <c r="Z53" s="42" t="n">
        <v>0.15</v>
      </c>
      <c r="AA53" s="42" t="n">
        <v>0</v>
      </c>
      <c r="AB53" s="42" t="n">
        <v>0</v>
      </c>
      <c r="AC53" s="42" t="n">
        <v>0</v>
      </c>
      <c r="AD53" s="42" t="n">
        <v>0.3</v>
      </c>
      <c r="AE53" s="42" t="n">
        <v>0</v>
      </c>
      <c r="AF53" s="14" t="n">
        <f aca="false">IF(AND(E53&gt;0,COUNTIFS($R$5:R53,R53,$E$5:E53,"&gt;0")=1),1,0)</f>
        <v>1</v>
      </c>
      <c r="AG53" s="14" t="n">
        <f aca="false">IF(AND(E53&gt;0,COUNTIFS($R$5:R53,R53,$K$5:K53,K53,$E$5:E53,"&gt;0")=1),1,0)</f>
        <v>1</v>
      </c>
    </row>
    <row r="54" customFormat="false" ht="15" hidden="false" customHeight="false" outlineLevel="0" collapsed="false">
      <c r="A54" s="17" t="n">
        <v>4641596451</v>
      </c>
      <c r="B54" s="79" t="n">
        <v>45989.7307175926</v>
      </c>
      <c r="C54" s="79" t="n">
        <v>45989.7665856482</v>
      </c>
      <c r="D54" s="39" t="n">
        <v>0.860833333333333</v>
      </c>
      <c r="E54" s="39" t="n">
        <v>51.939098</v>
      </c>
      <c r="F54" s="39" t="n">
        <v>62.523</v>
      </c>
      <c r="G54" s="17" t="s">
        <v>66</v>
      </c>
      <c r="H54" s="80" t="b">
        <f aca="false">TRUE()</f>
        <v>1</v>
      </c>
      <c r="I54" s="80" t="b">
        <f aca="false">FALSE()</f>
        <v>0</v>
      </c>
      <c r="J54" s="81" t="n">
        <v>1</v>
      </c>
      <c r="K54" s="17" t="s">
        <v>229</v>
      </c>
      <c r="L54" s="17" t="s">
        <v>226</v>
      </c>
      <c r="M54" s="17" t="s">
        <v>263</v>
      </c>
      <c r="N54" s="17"/>
      <c r="O54" s="17" t="s">
        <v>251</v>
      </c>
      <c r="P54" s="44" t="n">
        <v>25.47</v>
      </c>
      <c r="Q54" s="44" t="n">
        <v>21.8</v>
      </c>
      <c r="R54" s="54" t="n">
        <f aca="false">INT(B54)</f>
        <v>45989</v>
      </c>
      <c r="S54" s="17" t="n">
        <f aca="false">IF(AND(I54=TRUE(),COUNTIFS($R$5:R54,R54,$I$5:I54,TRUE())=1),1,0)</f>
        <v>0</v>
      </c>
      <c r="T54" s="73" t="n">
        <v>0.4</v>
      </c>
      <c r="U54" s="44" t="n">
        <v>24.22</v>
      </c>
      <c r="V54" s="44" t="n">
        <v>20.7756392</v>
      </c>
      <c r="W54" s="44" t="n">
        <f aca="false">SUM(Z54:AE54)</f>
        <v>3.67</v>
      </c>
      <c r="X54" s="17" t="s">
        <v>109</v>
      </c>
      <c r="Y54" s="54" t="n">
        <v>45985</v>
      </c>
      <c r="Z54" s="44" t="n">
        <v>1.25</v>
      </c>
      <c r="AA54" s="44" t="n">
        <v>0</v>
      </c>
      <c r="AB54" s="44" t="n">
        <v>0</v>
      </c>
      <c r="AC54" s="44" t="n">
        <v>0</v>
      </c>
      <c r="AD54" s="44" t="n">
        <v>2.42</v>
      </c>
      <c r="AE54" s="44" t="n">
        <v>0</v>
      </c>
      <c r="AF54" s="17" t="n">
        <f aca="false">IF(AND(E54&gt;0,COUNTIFS($R$5:R54,R54,$E$5:E54,"&gt;0")=1),1,0)</f>
        <v>0</v>
      </c>
      <c r="AG54" s="17" t="n">
        <f aca="false">IF(AND(E54&gt;0,COUNTIFS($R$5:R54,R54,$K$5:K54,K54,$E$5:E54,"&gt;0")=1),1,0)</f>
        <v>0</v>
      </c>
    </row>
    <row r="55" customFormat="false" ht="15" hidden="false" customHeight="false" outlineLevel="0" collapsed="false">
      <c r="A55" s="14" t="n">
        <v>4641715541</v>
      </c>
      <c r="B55" s="77" t="n">
        <v>45989.773287037</v>
      </c>
      <c r="C55" s="77" t="n">
        <v>45989.8175694444</v>
      </c>
      <c r="D55" s="38" t="n">
        <v>1.06277777777778</v>
      </c>
      <c r="E55" s="38" t="n">
        <v>60.9911</v>
      </c>
      <c r="F55" s="38" t="n">
        <v>62.513</v>
      </c>
      <c r="G55" s="14" t="s">
        <v>67</v>
      </c>
      <c r="H55" s="78" t="b">
        <f aca="false">TRUE()</f>
        <v>1</v>
      </c>
      <c r="I55" s="78" t="b">
        <f aca="false">FALSE()</f>
        <v>0</v>
      </c>
      <c r="J55" s="55" t="n">
        <v>1</v>
      </c>
      <c r="K55" s="14" t="s">
        <v>229</v>
      </c>
      <c r="L55" s="14" t="s">
        <v>226</v>
      </c>
      <c r="M55" s="14" t="s">
        <v>230</v>
      </c>
      <c r="N55" s="14"/>
      <c r="O55" s="14" t="s">
        <v>228</v>
      </c>
      <c r="P55" s="42" t="n">
        <v>30.11</v>
      </c>
      <c r="Q55" s="42" t="n">
        <v>25.79</v>
      </c>
      <c r="R55" s="53" t="n">
        <f aca="false">INT(B55)</f>
        <v>45989</v>
      </c>
      <c r="S55" s="14" t="n">
        <f aca="false">IF(AND(I55=TRUE(),COUNTIFS($R$5:R55,R55,$I$5:I55,TRUE())=1),1,0)</f>
        <v>0</v>
      </c>
      <c r="T55" s="71" t="n">
        <v>0.4</v>
      </c>
      <c r="U55" s="42" t="n">
        <v>28.65</v>
      </c>
      <c r="V55" s="42" t="n">
        <v>24.39644</v>
      </c>
      <c r="W55" s="42" t="n">
        <f aca="false">SUM(Z55:AE55)</f>
        <v>4.32</v>
      </c>
      <c r="X55" s="14" t="s">
        <v>109</v>
      </c>
      <c r="Y55" s="53" t="n">
        <v>45985</v>
      </c>
      <c r="Z55" s="42" t="n">
        <v>1.46</v>
      </c>
      <c r="AA55" s="42" t="n">
        <v>0</v>
      </c>
      <c r="AB55" s="42" t="n">
        <v>0</v>
      </c>
      <c r="AC55" s="42" t="n">
        <v>0</v>
      </c>
      <c r="AD55" s="42" t="n">
        <v>2.86</v>
      </c>
      <c r="AE55" s="42" t="n">
        <v>0</v>
      </c>
      <c r="AF55" s="14" t="n">
        <f aca="false">IF(AND(E55&gt;0,COUNTIFS($R$5:R55,R55,$E$5:E55,"&gt;0")=1),1,0)</f>
        <v>0</v>
      </c>
      <c r="AG55" s="14" t="n">
        <f aca="false">IF(AND(E55&gt;0,COUNTIFS($R$5:R55,R55,$K$5:K55,K55,$E$5:E55,"&gt;0")=1),1,0)</f>
        <v>0</v>
      </c>
    </row>
    <row r="56" customFormat="false" ht="15" hidden="false" customHeight="false" outlineLevel="0" collapsed="false">
      <c r="A56" s="17" t="n">
        <v>4643802021</v>
      </c>
      <c r="B56" s="79" t="n">
        <v>45990.755</v>
      </c>
      <c r="C56" s="79" t="n">
        <v>45990.7685763889</v>
      </c>
      <c r="D56" s="39" t="n">
        <v>0.325833333333333</v>
      </c>
      <c r="E56" s="39" t="n">
        <v>2.312983</v>
      </c>
      <c r="F56" s="39" t="n">
        <v>7.3399</v>
      </c>
      <c r="G56" s="17" t="s">
        <v>67</v>
      </c>
      <c r="H56" s="80" t="b">
        <f aca="false">FALSE()</f>
        <v>0</v>
      </c>
      <c r="I56" s="80" t="b">
        <f aca="false">FALSE()</f>
        <v>0</v>
      </c>
      <c r="J56" s="81" t="n">
        <v>0</v>
      </c>
      <c r="K56" s="17" t="s">
        <v>225</v>
      </c>
      <c r="L56" s="17" t="s">
        <v>233</v>
      </c>
      <c r="M56" s="17"/>
      <c r="N56" s="17"/>
      <c r="O56" s="17"/>
      <c r="P56" s="44" t="n">
        <v>2.29</v>
      </c>
      <c r="Q56" s="44" t="n">
        <v>2.01</v>
      </c>
      <c r="R56" s="54" t="n">
        <f aca="false">INT(B56)</f>
        <v>45990</v>
      </c>
      <c r="S56" s="17" t="n">
        <f aca="false">IF(AND(I56=TRUE(),COUNTIFS($R$5:R56,R56,$I$5:I56,TRUE())=1),1,0)</f>
        <v>0</v>
      </c>
      <c r="T56" s="73" t="n">
        <v>0.4</v>
      </c>
      <c r="U56" s="44" t="n">
        <v>2.23</v>
      </c>
      <c r="V56" s="44" t="n">
        <v>0.9251932</v>
      </c>
      <c r="W56" s="44" t="n">
        <f aca="false">SUM(Z56:AE56)</f>
        <v>0.28</v>
      </c>
      <c r="X56" s="17" t="s">
        <v>110</v>
      </c>
      <c r="Y56" s="54" t="n">
        <v>45985</v>
      </c>
      <c r="Z56" s="44" t="n">
        <v>0.06</v>
      </c>
      <c r="AA56" s="44" t="n">
        <v>0</v>
      </c>
      <c r="AB56" s="44" t="n">
        <v>0</v>
      </c>
      <c r="AC56" s="44" t="n">
        <v>0</v>
      </c>
      <c r="AD56" s="44" t="n">
        <v>0.22</v>
      </c>
      <c r="AE56" s="44" t="n">
        <v>0</v>
      </c>
      <c r="AF56" s="17" t="n">
        <f aca="false">IF(AND(E56&gt;0,COUNTIFS($R$5:R56,R56,$E$5:E56,"&gt;0")=1),1,0)</f>
        <v>1</v>
      </c>
      <c r="AG56" s="17" t="n">
        <f aca="false">IF(AND(E56&gt;0,COUNTIFS($R$5:R56,R56,$K$5:K56,K56,$E$5:E56,"&gt;0")=1),1,0)</f>
        <v>1</v>
      </c>
    </row>
    <row r="57" customFormat="false" ht="15" hidden="false" customHeight="false" outlineLevel="0" collapsed="false">
      <c r="A57" s="14" t="n">
        <v>4644336541</v>
      </c>
      <c r="B57" s="77" t="n">
        <v>45990.9284722222</v>
      </c>
      <c r="C57" s="77" t="n">
        <v>45990.9293402778</v>
      </c>
      <c r="D57" s="38" t="n">
        <v>0.0208333333333333</v>
      </c>
      <c r="E57" s="38" t="n">
        <v>0</v>
      </c>
      <c r="F57" s="38" t="n">
        <v>0</v>
      </c>
      <c r="G57" s="14" t="s">
        <v>68</v>
      </c>
      <c r="H57" s="78" t="b">
        <f aca="false">FALSE()</f>
        <v>0</v>
      </c>
      <c r="I57" s="78" t="b">
        <f aca="false">TRUE()</f>
        <v>1</v>
      </c>
      <c r="J57" s="55"/>
      <c r="K57" s="14" t="s">
        <v>229</v>
      </c>
      <c r="L57" s="14" t="s">
        <v>226</v>
      </c>
      <c r="M57" s="14"/>
      <c r="N57" s="14"/>
      <c r="O57" s="14"/>
      <c r="P57" s="42"/>
      <c r="Q57" s="42"/>
      <c r="R57" s="53" t="n">
        <f aca="false">INT(B57)</f>
        <v>45990</v>
      </c>
      <c r="S57" s="14" t="n">
        <f aca="false">IF(AND(I57=TRUE(),COUNTIFS($R$5:R57,R57,$I$5:I57,TRUE())=1),1,0)</f>
        <v>1</v>
      </c>
      <c r="T57" s="71"/>
      <c r="U57" s="42"/>
      <c r="V57" s="42"/>
      <c r="W57" s="42" t="n">
        <f aca="false">SUM(Z57:AE57)</f>
        <v>0</v>
      </c>
      <c r="X57" s="14" t="s">
        <v>110</v>
      </c>
      <c r="Y57" s="53" t="n">
        <v>45985</v>
      </c>
      <c r="Z57" s="42"/>
      <c r="AA57" s="42"/>
      <c r="AB57" s="42"/>
      <c r="AC57" s="42"/>
      <c r="AD57" s="42"/>
      <c r="AE57" s="42"/>
      <c r="AF57" s="14" t="n">
        <f aca="false">IF(AND(E57&gt;0,COUNTIFS($R$5:R57,R57,$E$5:E57,"&gt;0")=1),1,0)</f>
        <v>0</v>
      </c>
      <c r="AG57" s="14" t="n">
        <f aca="false">IF(AND(E57&gt;0,COUNTIFS($R$5:R57,R57,$K$5:K57,K57,$E$5:E57,"&gt;0")=1),1,0)</f>
        <v>0</v>
      </c>
    </row>
    <row r="58" customFormat="false" ht="15" hidden="false" customHeight="false" outlineLevel="0" collapsed="false">
      <c r="A58" s="17" t="n">
        <v>4644745771</v>
      </c>
      <c r="B58" s="79" t="n">
        <v>45991.0579861111</v>
      </c>
      <c r="C58" s="79" t="n">
        <v>45991.1004398148</v>
      </c>
      <c r="D58" s="39" t="n">
        <v>1.01888888888889</v>
      </c>
      <c r="E58" s="39" t="n">
        <v>56.687801</v>
      </c>
      <c r="F58" s="39" t="n">
        <v>59.903</v>
      </c>
      <c r="G58" s="17" t="s">
        <v>68</v>
      </c>
      <c r="H58" s="80" t="b">
        <f aca="false">TRUE()</f>
        <v>1</v>
      </c>
      <c r="I58" s="80" t="b">
        <f aca="false">TRUE()</f>
        <v>1</v>
      </c>
      <c r="J58" s="81" t="n">
        <v>1</v>
      </c>
      <c r="K58" s="17" t="s">
        <v>229</v>
      </c>
      <c r="L58" s="17" t="s">
        <v>252</v>
      </c>
      <c r="M58" s="17"/>
      <c r="N58" s="17"/>
      <c r="O58" s="17"/>
      <c r="P58" s="44" t="n">
        <v>28.12</v>
      </c>
      <c r="Q58" s="44" t="n">
        <v>24.08</v>
      </c>
      <c r="R58" s="54" t="n">
        <f aca="false">INT(B58)</f>
        <v>45991</v>
      </c>
      <c r="S58" s="17" t="n">
        <f aca="false">IF(AND(I58=TRUE(),COUNTIFS($R$5:R58,R58,$I$5:I58,TRUE())=1),1,0)</f>
        <v>1</v>
      </c>
      <c r="T58" s="73" t="n">
        <v>0.4</v>
      </c>
      <c r="U58" s="44" t="n">
        <v>26.76</v>
      </c>
      <c r="V58" s="44" t="n">
        <v>22.6751204</v>
      </c>
      <c r="W58" s="44" t="n">
        <f aca="false">SUM(Z58:AE58)</f>
        <v>4.04</v>
      </c>
      <c r="X58" s="17" t="s">
        <v>111</v>
      </c>
      <c r="Y58" s="54" t="n">
        <v>45985</v>
      </c>
      <c r="Z58" s="44" t="n">
        <v>1.36</v>
      </c>
      <c r="AA58" s="44" t="n">
        <v>0</v>
      </c>
      <c r="AB58" s="44" t="n">
        <v>0</v>
      </c>
      <c r="AC58" s="44" t="n">
        <v>0</v>
      </c>
      <c r="AD58" s="44" t="n">
        <v>2.68</v>
      </c>
      <c r="AE58" s="44" t="n">
        <v>0</v>
      </c>
      <c r="AF58" s="17" t="n">
        <f aca="false">IF(AND(E58&gt;0,COUNTIFS($R$5:R58,R58,$E$5:E58,"&gt;0")=1),1,0)</f>
        <v>1</v>
      </c>
      <c r="AG58" s="17" t="n">
        <f aca="false">IF(AND(E58&gt;0,COUNTIFS($R$5:R58,R58,$K$5:K58,K58,$E$5:E58,"&gt;0")=1),1,0)</f>
        <v>1</v>
      </c>
    </row>
    <row r="59" customFormat="false" ht="15" hidden="false" customHeight="false" outlineLevel="0" collapsed="false">
      <c r="A59" s="14" t="n">
        <v>4646456341</v>
      </c>
      <c r="B59" s="77" t="n">
        <v>45991.9382060185</v>
      </c>
      <c r="C59" s="77" t="n">
        <v>45991.9468402778</v>
      </c>
      <c r="D59" s="38" t="n">
        <v>0.207222222222222</v>
      </c>
      <c r="E59" s="38" t="n">
        <v>6.1598</v>
      </c>
      <c r="F59" s="38" t="n">
        <v>0</v>
      </c>
      <c r="G59" s="14" t="s">
        <v>68</v>
      </c>
      <c r="H59" s="78" t="b">
        <f aca="false">FALSE()</f>
        <v>0</v>
      </c>
      <c r="I59" s="78" t="b">
        <f aca="false">TRUE()</f>
        <v>1</v>
      </c>
      <c r="J59" s="55"/>
      <c r="K59" s="14" t="s">
        <v>229</v>
      </c>
      <c r="L59" s="14" t="s">
        <v>226</v>
      </c>
      <c r="M59" s="14" t="s">
        <v>255</v>
      </c>
      <c r="N59" s="14" t="s">
        <v>256</v>
      </c>
      <c r="O59" s="14" t="s">
        <v>257</v>
      </c>
      <c r="P59" s="42" t="n">
        <v>3.44</v>
      </c>
      <c r="Q59" s="42" t="n">
        <v>2.96</v>
      </c>
      <c r="R59" s="53" t="n">
        <f aca="false">INT(B59)</f>
        <v>45991</v>
      </c>
      <c r="S59" s="14" t="n">
        <f aca="false">IF(AND(I59=TRUE(),COUNTIFS($R$5:R59,R59,$I$5:I59,TRUE())=1),1,0)</f>
        <v>0</v>
      </c>
      <c r="T59" s="71" t="n">
        <v>0.4</v>
      </c>
      <c r="U59" s="42" t="n">
        <v>3.29</v>
      </c>
      <c r="V59" s="42" t="n">
        <v>2.46392</v>
      </c>
      <c r="W59" s="42" t="n">
        <f aca="false">SUM(Z59:AE59)</f>
        <v>0.48</v>
      </c>
      <c r="X59" s="14" t="s">
        <v>111</v>
      </c>
      <c r="Y59" s="53" t="n">
        <v>45985</v>
      </c>
      <c r="Z59" s="42" t="n">
        <v>0.15</v>
      </c>
      <c r="AA59" s="42" t="n">
        <v>0</v>
      </c>
      <c r="AB59" s="42" t="n">
        <v>0</v>
      </c>
      <c r="AC59" s="42" t="n">
        <v>0</v>
      </c>
      <c r="AD59" s="42" t="n">
        <v>0.33</v>
      </c>
      <c r="AE59" s="42" t="n">
        <v>0</v>
      </c>
      <c r="AF59" s="14" t="n">
        <f aca="false">IF(AND(E59&gt;0,COUNTIFS($R$5:R59,R59,$E$5:E59,"&gt;0")=1),1,0)</f>
        <v>0</v>
      </c>
      <c r="AG59" s="14" t="n">
        <f aca="false">IF(AND(E59&gt;0,COUNTIFS($R$5:R59,R59,$K$5:K59,K59,$E$5:E59,"&gt;0")=1),1,0)</f>
        <v>0</v>
      </c>
    </row>
    <row r="60" customFormat="false" ht="15" hidden="false" customHeight="false" outlineLevel="0" collapsed="false">
      <c r="A60" s="17" t="n">
        <v>4646520411</v>
      </c>
      <c r="B60" s="79" t="n">
        <v>45991.9570138889</v>
      </c>
      <c r="C60" s="79" t="n">
        <v>45991.994837963</v>
      </c>
      <c r="D60" s="39" t="n">
        <v>0.907777777777778</v>
      </c>
      <c r="E60" s="39" t="n">
        <v>20.563</v>
      </c>
      <c r="F60" s="39" t="n">
        <v>28.677</v>
      </c>
      <c r="G60" s="17" t="s">
        <v>68</v>
      </c>
      <c r="H60" s="80" t="b">
        <f aca="false">TRUE()</f>
        <v>1</v>
      </c>
      <c r="I60" s="80" t="b">
        <f aca="false">TRUE()</f>
        <v>1</v>
      </c>
      <c r="J60" s="81" t="n">
        <v>1</v>
      </c>
      <c r="K60" s="17" t="s">
        <v>229</v>
      </c>
      <c r="L60" s="17" t="s">
        <v>226</v>
      </c>
      <c r="M60" s="17" t="s">
        <v>255</v>
      </c>
      <c r="N60" s="17" t="s">
        <v>256</v>
      </c>
      <c r="O60" s="17" t="s">
        <v>257</v>
      </c>
      <c r="P60" s="44" t="n">
        <v>12.35</v>
      </c>
      <c r="Q60" s="44" t="n">
        <v>10.67</v>
      </c>
      <c r="R60" s="54" t="n">
        <f aca="false">INT(B60)</f>
        <v>45991</v>
      </c>
      <c r="S60" s="17" t="n">
        <f aca="false">IF(AND(I60=TRUE(),COUNTIFS($R$5:R60,R60,$I$5:I60,TRUE())=1),1,0)</f>
        <v>0</v>
      </c>
      <c r="T60" s="73" t="n">
        <v>0.4</v>
      </c>
      <c r="U60" s="44" t="n">
        <v>11.86</v>
      </c>
      <c r="V60" s="44" t="n">
        <v>8.2252</v>
      </c>
      <c r="W60" s="44" t="n">
        <f aca="false">SUM(Z60:AE60)</f>
        <v>1.68</v>
      </c>
      <c r="X60" s="17" t="s">
        <v>111</v>
      </c>
      <c r="Y60" s="54" t="n">
        <v>45985</v>
      </c>
      <c r="Z60" s="44" t="n">
        <v>0.49</v>
      </c>
      <c r="AA60" s="44" t="n">
        <v>0</v>
      </c>
      <c r="AB60" s="44" t="n">
        <v>0</v>
      </c>
      <c r="AC60" s="44" t="n">
        <v>0</v>
      </c>
      <c r="AD60" s="44" t="n">
        <v>1.19</v>
      </c>
      <c r="AE60" s="44" t="n">
        <v>0</v>
      </c>
      <c r="AF60" s="17" t="n">
        <f aca="false">IF(AND(E60&gt;0,COUNTIFS($R$5:R60,R60,$E$5:E60,"&gt;0")=1),1,0)</f>
        <v>0</v>
      </c>
      <c r="AG60" s="17" t="n">
        <f aca="false">IF(AND(E60&gt;0,COUNTIFS($R$5:R60,R60,$K$5:K60,K60,$E$5:E60,"&gt;0")=1),1,0)</f>
        <v>0</v>
      </c>
    </row>
    <row r="61" customFormat="false" ht="15" hidden="false" customHeight="false" outlineLevel="0" collapsed="false">
      <c r="A61" s="14" t="n">
        <v>4648087231</v>
      </c>
      <c r="B61" s="77" t="n">
        <v>45992.6338657407</v>
      </c>
      <c r="C61" s="77" t="n">
        <v>45992.6343865741</v>
      </c>
      <c r="D61" s="38" t="n">
        <v>0.0125</v>
      </c>
      <c r="E61" s="38" t="n">
        <v>0</v>
      </c>
      <c r="F61" s="38" t="n">
        <v>0</v>
      </c>
      <c r="G61" s="14" t="s">
        <v>66</v>
      </c>
      <c r="H61" s="78" t="b">
        <f aca="false">FALSE()</f>
        <v>0</v>
      </c>
      <c r="I61" s="78" t="b">
        <f aca="false">FALSE()</f>
        <v>0</v>
      </c>
      <c r="J61" s="55"/>
      <c r="K61" s="14" t="s">
        <v>229</v>
      </c>
      <c r="L61" s="14" t="s">
        <v>226</v>
      </c>
      <c r="M61" s="14"/>
      <c r="N61" s="14"/>
      <c r="O61" s="14"/>
      <c r="P61" s="42"/>
      <c r="Q61" s="42"/>
      <c r="R61" s="53" t="n">
        <f aca="false">INT(B61)</f>
        <v>45992</v>
      </c>
      <c r="S61" s="14" t="n">
        <f aca="false">IF(AND(I61=TRUE(),COUNTIFS($R$5:R61,R61,$I$5:I61,TRUE())=1),1,0)</f>
        <v>0</v>
      </c>
      <c r="T61" s="71"/>
      <c r="U61" s="42"/>
      <c r="V61" s="42"/>
      <c r="W61" s="42" t="n">
        <f aca="false">SUM(Z61:AE61)</f>
        <v>0</v>
      </c>
      <c r="X61" s="14" t="s">
        <v>105</v>
      </c>
      <c r="Y61" s="53" t="n">
        <v>45992</v>
      </c>
      <c r="Z61" s="42"/>
      <c r="AA61" s="42"/>
      <c r="AB61" s="42"/>
      <c r="AC61" s="42"/>
      <c r="AD61" s="42"/>
      <c r="AE61" s="42"/>
      <c r="AF61" s="14" t="n">
        <f aca="false">IF(AND(E61&gt;0,COUNTIFS($R$5:R61,R61,$E$5:E61,"&gt;0")=1),1,0)</f>
        <v>0</v>
      </c>
      <c r="AG61" s="14" t="n">
        <f aca="false">IF(AND(E61&gt;0,COUNTIFS($R$5:R61,R61,$K$5:K61,K61,$E$5:E61,"&gt;0")=1),1,0)</f>
        <v>0</v>
      </c>
    </row>
    <row r="62" customFormat="false" ht="15" hidden="false" customHeight="false" outlineLevel="0" collapsed="false">
      <c r="A62" s="17" t="n">
        <v>4648092671</v>
      </c>
      <c r="B62" s="79" t="n">
        <v>45992.6351273148</v>
      </c>
      <c r="C62" s="79" t="n">
        <v>45992.652650463</v>
      </c>
      <c r="D62" s="39" t="n">
        <v>0.420555555555556</v>
      </c>
      <c r="E62" s="39" t="n">
        <v>25.139</v>
      </c>
      <c r="F62" s="39" t="n">
        <v>62.799</v>
      </c>
      <c r="G62" s="17" t="s">
        <v>66</v>
      </c>
      <c r="H62" s="80" t="b">
        <f aca="false">TRUE()</f>
        <v>1</v>
      </c>
      <c r="I62" s="80" t="b">
        <f aca="false">FALSE()</f>
        <v>0</v>
      </c>
      <c r="J62" s="81" t="n">
        <v>0.972972972972973</v>
      </c>
      <c r="K62" s="17" t="s">
        <v>229</v>
      </c>
      <c r="L62" s="17" t="s">
        <v>226</v>
      </c>
      <c r="M62" s="17" t="s">
        <v>263</v>
      </c>
      <c r="N62" s="17"/>
      <c r="O62" s="17" t="s">
        <v>251</v>
      </c>
      <c r="P62" s="44" t="n">
        <v>12.34</v>
      </c>
      <c r="Q62" s="44" t="n">
        <v>10.57</v>
      </c>
      <c r="R62" s="54" t="n">
        <f aca="false">INT(B62)</f>
        <v>45992</v>
      </c>
      <c r="S62" s="17" t="n">
        <f aca="false">IF(AND(I62=TRUE(),COUNTIFS($R$5:R62,R62,$I$5:I62,TRUE())=1),1,0)</f>
        <v>0</v>
      </c>
      <c r="T62" s="73" t="n">
        <v>0.4</v>
      </c>
      <c r="U62" s="44" t="n">
        <v>11.74</v>
      </c>
      <c r="V62" s="44" t="n">
        <v>10.0556</v>
      </c>
      <c r="W62" s="44" t="n">
        <f aca="false">SUM(Z62:AE62)</f>
        <v>1.77</v>
      </c>
      <c r="X62" s="17" t="s">
        <v>105</v>
      </c>
      <c r="Y62" s="54" t="n">
        <v>45992</v>
      </c>
      <c r="Z62" s="44" t="n">
        <v>0.6</v>
      </c>
      <c r="AA62" s="44" t="n">
        <v>0</v>
      </c>
      <c r="AB62" s="44" t="n">
        <v>0</v>
      </c>
      <c r="AC62" s="44" t="n">
        <v>0</v>
      </c>
      <c r="AD62" s="44" t="n">
        <v>1.17</v>
      </c>
      <c r="AE62" s="44" t="n">
        <v>0</v>
      </c>
      <c r="AF62" s="17" t="n">
        <f aca="false">IF(AND(E62&gt;0,COUNTIFS($R$5:R62,R62,$E$5:E62,"&gt;0")=1),1,0)</f>
        <v>1</v>
      </c>
      <c r="AG62" s="17" t="n">
        <f aca="false">IF(AND(E62&gt;0,COUNTIFS($R$5:R62,R62,$K$5:K62,K62,$E$5:E62,"&gt;0")=1),1,0)</f>
        <v>1</v>
      </c>
    </row>
    <row r="63" customFormat="false" ht="15" hidden="false" customHeight="false" outlineLevel="0" collapsed="false">
      <c r="A63" s="14" t="n">
        <v>4660368151</v>
      </c>
      <c r="B63" s="77" t="n">
        <v>45996.0861342593</v>
      </c>
      <c r="C63" s="77" t="n">
        <v>45996.1091203704</v>
      </c>
      <c r="D63" s="38" t="n">
        <v>0.551666666666667</v>
      </c>
      <c r="E63" s="38" t="n">
        <v>20.3325</v>
      </c>
      <c r="F63" s="38" t="n">
        <v>57.133</v>
      </c>
      <c r="G63" s="14" t="s">
        <v>68</v>
      </c>
      <c r="H63" s="78" t="b">
        <f aca="false">TRUE()</f>
        <v>1</v>
      </c>
      <c r="I63" s="78" t="b">
        <f aca="false">TRUE()</f>
        <v>1</v>
      </c>
      <c r="J63" s="55" t="n">
        <v>1</v>
      </c>
      <c r="K63" s="14" t="s">
        <v>229</v>
      </c>
      <c r="L63" s="14" t="s">
        <v>226</v>
      </c>
      <c r="M63" s="14" t="s">
        <v>231</v>
      </c>
      <c r="N63" s="14"/>
      <c r="O63" s="14" t="s">
        <v>232</v>
      </c>
      <c r="P63" s="42" t="n">
        <v>10.83</v>
      </c>
      <c r="Q63" s="42" t="n">
        <v>9.31</v>
      </c>
      <c r="R63" s="53" t="n">
        <f aca="false">INT(B63)</f>
        <v>45996</v>
      </c>
      <c r="S63" s="14" t="n">
        <f aca="false">IF(AND(I63=TRUE(),COUNTIFS($R$5:R63,R63,$I$5:I63,TRUE())=1),1,0)</f>
        <v>1</v>
      </c>
      <c r="T63" s="71" t="n">
        <v>0.4</v>
      </c>
      <c r="U63" s="42" t="n">
        <v>10.34</v>
      </c>
      <c r="V63" s="42" t="n">
        <v>8.133</v>
      </c>
      <c r="W63" s="42" t="n">
        <f aca="false">SUM(Z63:AE63)</f>
        <v>1.52</v>
      </c>
      <c r="X63" s="14" t="s">
        <v>109</v>
      </c>
      <c r="Y63" s="53" t="n">
        <v>45992</v>
      </c>
      <c r="Z63" s="42" t="n">
        <v>0.49</v>
      </c>
      <c r="AA63" s="42" t="n">
        <v>0</v>
      </c>
      <c r="AB63" s="42" t="n">
        <v>0</v>
      </c>
      <c r="AC63" s="42" t="n">
        <v>0</v>
      </c>
      <c r="AD63" s="42" t="n">
        <v>1.03</v>
      </c>
      <c r="AE63" s="42" t="n">
        <v>0</v>
      </c>
      <c r="AF63" s="14" t="n">
        <f aca="false">IF(AND(E63&gt;0,COUNTIFS($R$5:R63,R63,$E$5:E63,"&gt;0")=1),1,0)</f>
        <v>1</v>
      </c>
      <c r="AG63" s="14" t="n">
        <f aca="false">IF(AND(E63&gt;0,COUNTIFS($R$5:R63,R63,$K$5:K63,K63,$E$5:E63,"&gt;0")=1),1,0)</f>
        <v>1</v>
      </c>
    </row>
    <row r="64" customFormat="false" ht="15" hidden="false" customHeight="false" outlineLevel="0" collapsed="false">
      <c r="A64" s="17" t="n">
        <v>4675208611</v>
      </c>
      <c r="B64" s="79" t="n">
        <v>46001.0912037037</v>
      </c>
      <c r="C64" s="79" t="n">
        <v>46001.1255671296</v>
      </c>
      <c r="D64" s="39" t="n">
        <v>0.824722222222222</v>
      </c>
      <c r="E64" s="39" t="n">
        <v>49.4212</v>
      </c>
      <c r="F64" s="39" t="n">
        <v>62.487</v>
      </c>
      <c r="G64" s="17" t="s">
        <v>68</v>
      </c>
      <c r="H64" s="80" t="b">
        <f aca="false">TRUE()</f>
        <v>1</v>
      </c>
      <c r="I64" s="80" t="b">
        <f aca="false">TRUE()</f>
        <v>1</v>
      </c>
      <c r="J64" s="81" t="n">
        <v>1</v>
      </c>
      <c r="K64" s="17" t="s">
        <v>229</v>
      </c>
      <c r="L64" s="17" t="s">
        <v>226</v>
      </c>
      <c r="M64" s="17" t="s">
        <v>264</v>
      </c>
      <c r="N64" s="17" t="s">
        <v>265</v>
      </c>
      <c r="O64" s="17" t="s">
        <v>228</v>
      </c>
      <c r="P64" s="44" t="n">
        <v>24.26</v>
      </c>
      <c r="Q64" s="44" t="n">
        <v>20.76</v>
      </c>
      <c r="R64" s="54" t="n">
        <f aca="false">INT(B64)</f>
        <v>46001</v>
      </c>
      <c r="S64" s="17" t="n">
        <f aca="false">IF(AND(I64=TRUE(),COUNTIFS($R$5:R64,R64,$I$5:I64,TRUE())=1),1,0)</f>
        <v>1</v>
      </c>
      <c r="T64" s="73" t="n">
        <v>0.4</v>
      </c>
      <c r="U64" s="44" t="n">
        <v>23.07</v>
      </c>
      <c r="V64" s="44" t="n">
        <v>19.76848</v>
      </c>
      <c r="W64" s="44" t="n">
        <f aca="false">SUM(Z64:AE64)</f>
        <v>3.5</v>
      </c>
      <c r="X64" s="17" t="s">
        <v>107</v>
      </c>
      <c r="Y64" s="54" t="n">
        <v>45999</v>
      </c>
      <c r="Z64" s="44" t="n">
        <v>1.19</v>
      </c>
      <c r="AA64" s="44" t="n">
        <v>0</v>
      </c>
      <c r="AB64" s="44" t="n">
        <v>0</v>
      </c>
      <c r="AC64" s="44" t="n">
        <v>0</v>
      </c>
      <c r="AD64" s="44" t="n">
        <v>2.31</v>
      </c>
      <c r="AE64" s="44" t="n">
        <v>0</v>
      </c>
      <c r="AF64" s="17" t="n">
        <f aca="false">IF(AND(E64&gt;0,COUNTIFS($R$5:R64,R64,$E$5:E64,"&gt;0")=1),1,0)</f>
        <v>1</v>
      </c>
      <c r="AG64" s="17" t="n">
        <f aca="false">IF(AND(E64&gt;0,COUNTIFS($R$5:R64,R64,$K$5:K64,K64,$E$5:E64,"&gt;0")=1),1,0)</f>
        <v>1</v>
      </c>
    </row>
    <row r="65" customFormat="false" ht="15" hidden="false" customHeight="false" outlineLevel="0" collapsed="false">
      <c r="A65" s="14" t="n">
        <v>4678805351</v>
      </c>
      <c r="B65" s="77" t="n">
        <v>46002.1613310185</v>
      </c>
      <c r="C65" s="77" t="n">
        <v>46002.1825231482</v>
      </c>
      <c r="D65" s="38" t="n">
        <v>0.508611111111111</v>
      </c>
      <c r="E65" s="38" t="n">
        <v>29.437799</v>
      </c>
      <c r="F65" s="38" t="n">
        <v>62.472</v>
      </c>
      <c r="G65" s="14" t="s">
        <v>68</v>
      </c>
      <c r="H65" s="78" t="b">
        <f aca="false">TRUE()</f>
        <v>1</v>
      </c>
      <c r="I65" s="78" t="b">
        <f aca="false">TRUE()</f>
        <v>1</v>
      </c>
      <c r="J65" s="55" t="n">
        <v>1</v>
      </c>
      <c r="K65" s="14" t="s">
        <v>229</v>
      </c>
      <c r="L65" s="14" t="s">
        <v>226</v>
      </c>
      <c r="M65" s="14" t="s">
        <v>254</v>
      </c>
      <c r="N65" s="14" t="s">
        <v>235</v>
      </c>
      <c r="O65" s="14" t="s">
        <v>228</v>
      </c>
      <c r="P65" s="42" t="n">
        <v>14.52</v>
      </c>
      <c r="Q65" s="42" t="n">
        <v>12.43</v>
      </c>
      <c r="R65" s="53" t="n">
        <f aca="false">INT(B65)</f>
        <v>46002</v>
      </c>
      <c r="S65" s="14" t="n">
        <f aca="false">IF(AND(I65=TRUE(),COUNTIFS($R$5:R65,R65,$I$5:I65,TRUE())=1),1,0)</f>
        <v>1</v>
      </c>
      <c r="T65" s="71" t="n">
        <v>0.4</v>
      </c>
      <c r="U65" s="42" t="n">
        <v>13.81</v>
      </c>
      <c r="V65" s="42" t="n">
        <v>11.7751196</v>
      </c>
      <c r="W65" s="42" t="n">
        <f aca="false">SUM(Z65:AE65)</f>
        <v>2.09</v>
      </c>
      <c r="X65" s="14" t="s">
        <v>108</v>
      </c>
      <c r="Y65" s="53" t="n">
        <v>45999</v>
      </c>
      <c r="Z65" s="42" t="n">
        <v>0.71</v>
      </c>
      <c r="AA65" s="42" t="n">
        <v>0</v>
      </c>
      <c r="AB65" s="42" t="n">
        <v>0</v>
      </c>
      <c r="AC65" s="42" t="n">
        <v>0</v>
      </c>
      <c r="AD65" s="42" t="n">
        <v>1.38</v>
      </c>
      <c r="AE65" s="42" t="n">
        <v>0</v>
      </c>
      <c r="AF65" s="14" t="n">
        <f aca="false">IF(AND(E65&gt;0,COUNTIFS($R$5:R65,R65,$E$5:E65,"&gt;0")=1),1,0)</f>
        <v>1</v>
      </c>
      <c r="AG65" s="14" t="n">
        <f aca="false">IF(AND(E65&gt;0,COUNTIFS($R$5:R65,R65,$K$5:K65,K65,$E$5:E65,"&gt;0")=1),1,0)</f>
        <v>1</v>
      </c>
    </row>
    <row r="66" customFormat="false" ht="15" hidden="false" customHeight="false" outlineLevel="0" collapsed="false">
      <c r="A66" s="17" t="n">
        <v>4684013521</v>
      </c>
      <c r="B66" s="79" t="n">
        <v>46003.8045486111</v>
      </c>
      <c r="C66" s="79" t="n">
        <v>46003.8077546296</v>
      </c>
      <c r="D66" s="39" t="n">
        <v>0.0769444444444444</v>
      </c>
      <c r="E66" s="39" t="n">
        <v>3.4989</v>
      </c>
      <c r="F66" s="39" t="n">
        <v>0</v>
      </c>
      <c r="G66" s="17" t="s">
        <v>67</v>
      </c>
      <c r="H66" s="80" t="b">
        <f aca="false">FALSE()</f>
        <v>0</v>
      </c>
      <c r="I66" s="80" t="b">
        <f aca="false">FALSE()</f>
        <v>0</v>
      </c>
      <c r="J66" s="81"/>
      <c r="K66" s="17" t="s">
        <v>229</v>
      </c>
      <c r="L66" s="17" t="s">
        <v>226</v>
      </c>
      <c r="M66" s="17" t="s">
        <v>230</v>
      </c>
      <c r="N66" s="17"/>
      <c r="O66" s="17" t="s">
        <v>228</v>
      </c>
      <c r="P66" s="44" t="n">
        <v>1.79</v>
      </c>
      <c r="Q66" s="44" t="n">
        <v>1.54</v>
      </c>
      <c r="R66" s="54" t="n">
        <f aca="false">INT(B66)</f>
        <v>46003</v>
      </c>
      <c r="S66" s="17" t="n">
        <f aca="false">IF(AND(I66=TRUE(),COUNTIFS($R$5:R66,R66,$I$5:I66,TRUE())=1),1,0)</f>
        <v>0</v>
      </c>
      <c r="T66" s="73" t="n">
        <v>0.4</v>
      </c>
      <c r="U66" s="44" t="n">
        <v>1.71</v>
      </c>
      <c r="V66" s="44" t="n">
        <v>1.39956</v>
      </c>
      <c r="W66" s="44" t="n">
        <f aca="false">SUM(Z66:AE66)</f>
        <v>0.25</v>
      </c>
      <c r="X66" s="17" t="s">
        <v>109</v>
      </c>
      <c r="Y66" s="54" t="n">
        <v>45999</v>
      </c>
      <c r="Z66" s="44" t="n">
        <v>0.08</v>
      </c>
      <c r="AA66" s="44" t="n">
        <v>0</v>
      </c>
      <c r="AB66" s="44" t="n">
        <v>0</v>
      </c>
      <c r="AC66" s="44" t="n">
        <v>0</v>
      </c>
      <c r="AD66" s="44" t="n">
        <v>0.17</v>
      </c>
      <c r="AE66" s="44" t="n">
        <v>0</v>
      </c>
      <c r="AF66" s="17" t="n">
        <f aca="false">IF(AND(E66&gt;0,COUNTIFS($R$5:R66,R66,$E$5:E66,"&gt;0")=1),1,0)</f>
        <v>1</v>
      </c>
      <c r="AG66" s="17" t="n">
        <f aca="false">IF(AND(E66&gt;0,COUNTIFS($R$5:R66,R66,$K$5:K66,K66,$E$5:E66,"&gt;0")=1),1,0)</f>
        <v>1</v>
      </c>
    </row>
    <row r="67" customFormat="false" ht="15" hidden="false" customHeight="false" outlineLevel="0" collapsed="false">
      <c r="A67" s="14" t="n">
        <v>4686616141</v>
      </c>
      <c r="B67" s="77" t="n">
        <v>46004.7616898148</v>
      </c>
      <c r="C67" s="77" t="n">
        <v>46005.1391435185</v>
      </c>
      <c r="D67" s="38" t="n">
        <v>9.05888888888889</v>
      </c>
      <c r="E67" s="38" t="n">
        <v>62.976509</v>
      </c>
      <c r="F67" s="38" t="n">
        <v>7.051</v>
      </c>
      <c r="G67" s="14" t="s">
        <v>67</v>
      </c>
      <c r="H67" s="78" t="b">
        <f aca="false">FALSE()</f>
        <v>0</v>
      </c>
      <c r="I67" s="78" t="b">
        <f aca="false">FALSE()</f>
        <v>0</v>
      </c>
      <c r="J67" s="55" t="n">
        <v>0</v>
      </c>
      <c r="K67" s="14" t="s">
        <v>225</v>
      </c>
      <c r="L67" s="14" t="s">
        <v>266</v>
      </c>
      <c r="M67" s="14"/>
      <c r="N67" s="14"/>
      <c r="O67" s="14"/>
      <c r="P67" s="42" t="n">
        <v>63.93</v>
      </c>
      <c r="Q67" s="42" t="n">
        <v>56.18</v>
      </c>
      <c r="R67" s="53" t="n">
        <f aca="false">INT(B67)</f>
        <v>46004</v>
      </c>
      <c r="S67" s="14" t="n">
        <f aca="false">IF(AND(I67=TRUE(),COUNTIFS($R$5:R67,R67,$I$5:I67,TRUE())=1),1,0)</f>
        <v>0</v>
      </c>
      <c r="T67" s="71" t="n">
        <v>0.4</v>
      </c>
      <c r="U67" s="42" t="n">
        <v>61.43</v>
      </c>
      <c r="V67" s="42" t="n">
        <v>25.1906036</v>
      </c>
      <c r="W67" s="42" t="n">
        <f aca="false">SUM(Z67:AE67)</f>
        <v>7.75</v>
      </c>
      <c r="X67" s="14" t="s">
        <v>110</v>
      </c>
      <c r="Y67" s="53" t="n">
        <v>45999</v>
      </c>
      <c r="Z67" s="42" t="n">
        <v>1.51</v>
      </c>
      <c r="AA67" s="42" t="n">
        <v>0</v>
      </c>
      <c r="AB67" s="42" t="n">
        <v>0</v>
      </c>
      <c r="AC67" s="42" t="n">
        <v>0</v>
      </c>
      <c r="AD67" s="42" t="n">
        <v>5.25</v>
      </c>
      <c r="AE67" s="42" t="n">
        <v>0.99</v>
      </c>
      <c r="AF67" s="14" t="n">
        <f aca="false">IF(AND(E67&gt;0,COUNTIFS($R$5:R67,R67,$E$5:E67,"&gt;0")=1),1,0)</f>
        <v>1</v>
      </c>
      <c r="AG67" s="14" t="n">
        <f aca="false">IF(AND(E67&gt;0,COUNTIFS($R$5:R67,R67,$K$5:K67,K67,$E$5:E67,"&gt;0")=1),1,0)</f>
        <v>1</v>
      </c>
    </row>
    <row r="68" customFormat="false" ht="15" hidden="false" customHeight="false" outlineLevel="0" collapsed="false">
      <c r="A68" s="17" t="n">
        <v>4690212021</v>
      </c>
      <c r="B68" s="79" t="n">
        <v>46006.1580092593</v>
      </c>
      <c r="C68" s="79" t="n">
        <v>46006.1795023148</v>
      </c>
      <c r="D68" s="39" t="n">
        <v>0.515833333333333</v>
      </c>
      <c r="E68" s="39" t="n">
        <v>22.837601</v>
      </c>
      <c r="F68" s="39" t="n">
        <v>48.36</v>
      </c>
      <c r="G68" s="17" t="s">
        <v>68</v>
      </c>
      <c r="H68" s="80" t="b">
        <f aca="false">TRUE()</f>
        <v>1</v>
      </c>
      <c r="I68" s="80" t="b">
        <f aca="false">TRUE()</f>
        <v>1</v>
      </c>
      <c r="J68" s="81" t="n">
        <v>1</v>
      </c>
      <c r="K68" s="17" t="s">
        <v>229</v>
      </c>
      <c r="L68" s="17" t="s">
        <v>226</v>
      </c>
      <c r="M68" s="17" t="s">
        <v>267</v>
      </c>
      <c r="N68" s="17" t="s">
        <v>268</v>
      </c>
      <c r="O68" s="17" t="s">
        <v>269</v>
      </c>
      <c r="P68" s="44" t="n">
        <v>11.75</v>
      </c>
      <c r="Q68" s="44" t="n">
        <v>10.08</v>
      </c>
      <c r="R68" s="54" t="n">
        <f aca="false">INT(B68)</f>
        <v>46006</v>
      </c>
      <c r="S68" s="17" t="n">
        <f aca="false">IF(AND(I68=TRUE(),COUNTIFS($R$5:R68,R68,$I$5:I68,TRUE())=1),1,0)</f>
        <v>1</v>
      </c>
      <c r="T68" s="73" t="n">
        <v>0.4</v>
      </c>
      <c r="U68" s="44" t="n">
        <v>11.2</v>
      </c>
      <c r="V68" s="44" t="n">
        <v>9.1350404</v>
      </c>
      <c r="W68" s="44" t="n">
        <f aca="false">SUM(Z68:AE68)</f>
        <v>1.67</v>
      </c>
      <c r="X68" s="17" t="s">
        <v>105</v>
      </c>
      <c r="Y68" s="54" t="n">
        <v>46006</v>
      </c>
      <c r="Z68" s="44" t="n">
        <v>0.55</v>
      </c>
      <c r="AA68" s="44" t="n">
        <v>0</v>
      </c>
      <c r="AB68" s="44" t="n">
        <v>0</v>
      </c>
      <c r="AC68" s="44" t="n">
        <v>0</v>
      </c>
      <c r="AD68" s="44" t="n">
        <v>1.12</v>
      </c>
      <c r="AE68" s="44" t="n">
        <v>0</v>
      </c>
      <c r="AF68" s="17" t="n">
        <f aca="false">IF(AND(E68&gt;0,COUNTIFS($R$5:R68,R68,$E$5:E68,"&gt;0")=1),1,0)</f>
        <v>1</v>
      </c>
      <c r="AG68" s="17" t="n">
        <f aca="false">IF(AND(E68&gt;0,COUNTIFS($R$5:R68,R68,$K$5:K68,K68,$E$5:E68,"&gt;0")=1),1,0)</f>
        <v>1</v>
      </c>
    </row>
    <row r="69" customFormat="false" ht="15" hidden="false" customHeight="false" outlineLevel="0" collapsed="false">
      <c r="A69" s="14" t="n">
        <v>4692214171</v>
      </c>
      <c r="B69" s="77" t="n">
        <v>46006.8743518519</v>
      </c>
      <c r="C69" s="77" t="n">
        <v>46006.8769444445</v>
      </c>
      <c r="D69" s="38" t="n">
        <v>0.0622222222222222</v>
      </c>
      <c r="E69" s="38" t="n">
        <v>1.366</v>
      </c>
      <c r="F69" s="38" t="n">
        <v>0</v>
      </c>
      <c r="G69" s="14" t="s">
        <v>67</v>
      </c>
      <c r="H69" s="78" t="b">
        <f aca="false">FALSE()</f>
        <v>0</v>
      </c>
      <c r="I69" s="78" t="b">
        <f aca="false">FALSE()</f>
        <v>0</v>
      </c>
      <c r="J69" s="55"/>
      <c r="K69" s="14" t="s">
        <v>229</v>
      </c>
      <c r="L69" s="14" t="s">
        <v>233</v>
      </c>
      <c r="M69" s="14"/>
      <c r="N69" s="14"/>
      <c r="O69" s="14"/>
      <c r="P69" s="42" t="n">
        <v>0.83</v>
      </c>
      <c r="Q69" s="42" t="n">
        <v>0.72</v>
      </c>
      <c r="R69" s="53" t="n">
        <f aca="false">INT(B69)</f>
        <v>46006</v>
      </c>
      <c r="S69" s="14" t="n">
        <f aca="false">IF(AND(I69=TRUE(),COUNTIFS($R$5:R69,R69,$I$5:I69,TRUE())=1),1,0)</f>
        <v>0</v>
      </c>
      <c r="T69" s="71" t="n">
        <v>0.4</v>
      </c>
      <c r="U69" s="42" t="n">
        <v>0.8</v>
      </c>
      <c r="V69" s="42" t="n">
        <v>0.5464</v>
      </c>
      <c r="W69" s="42" t="n">
        <f aca="false">SUM(Z69:AE69)</f>
        <v>0.11</v>
      </c>
      <c r="X69" s="14" t="s">
        <v>105</v>
      </c>
      <c r="Y69" s="53" t="n">
        <v>46006</v>
      </c>
      <c r="Z69" s="42" t="n">
        <v>0.03</v>
      </c>
      <c r="AA69" s="42" t="n">
        <v>0</v>
      </c>
      <c r="AB69" s="42" t="n">
        <v>0</v>
      </c>
      <c r="AC69" s="42" t="n">
        <v>0</v>
      </c>
      <c r="AD69" s="42" t="n">
        <v>0.08</v>
      </c>
      <c r="AE69" s="42" t="n">
        <v>0</v>
      </c>
      <c r="AF69" s="14" t="n">
        <f aca="false">IF(AND(E69&gt;0,COUNTIFS($R$5:R69,R69,$E$5:E69,"&gt;0")=1),1,0)</f>
        <v>0</v>
      </c>
      <c r="AG69" s="14" t="n">
        <f aca="false">IF(AND(E69&gt;0,COUNTIFS($R$5:R69,R69,$K$5:K69,K69,$E$5:E69,"&gt;0")=1),1,0)</f>
        <v>0</v>
      </c>
    </row>
    <row r="70" customFormat="false" ht="15" hidden="false" customHeight="false" outlineLevel="0" collapsed="false">
      <c r="A70" s="17" t="n">
        <v>4696438731</v>
      </c>
      <c r="B70" s="79" t="n">
        <v>46008.0651041667</v>
      </c>
      <c r="C70" s="79" t="n">
        <v>46008.1000925926</v>
      </c>
      <c r="D70" s="39" t="n">
        <v>0.839722222222222</v>
      </c>
      <c r="E70" s="39" t="n">
        <v>39.279499</v>
      </c>
      <c r="F70" s="39" t="n">
        <v>53.4</v>
      </c>
      <c r="G70" s="17" t="s">
        <v>68</v>
      </c>
      <c r="H70" s="80" t="b">
        <f aca="false">TRUE()</f>
        <v>1</v>
      </c>
      <c r="I70" s="80" t="b">
        <f aca="false">TRUE()</f>
        <v>1</v>
      </c>
      <c r="J70" s="81" t="n">
        <v>1</v>
      </c>
      <c r="K70" s="17" t="s">
        <v>229</v>
      </c>
      <c r="L70" s="17" t="s">
        <v>252</v>
      </c>
      <c r="M70" s="17"/>
      <c r="N70" s="17"/>
      <c r="O70" s="17"/>
      <c r="P70" s="44" t="n">
        <v>20.01</v>
      </c>
      <c r="Q70" s="44" t="n">
        <v>17.16</v>
      </c>
      <c r="R70" s="54" t="n">
        <f aca="false">INT(B70)</f>
        <v>46008</v>
      </c>
      <c r="S70" s="17" t="n">
        <f aca="false">IF(AND(I70=TRUE(),COUNTIFS($R$5:R70,R70,$I$5:I70,TRUE())=1),1,0)</f>
        <v>1</v>
      </c>
      <c r="T70" s="73" t="n">
        <v>0.4</v>
      </c>
      <c r="U70" s="44" t="n">
        <v>19.07</v>
      </c>
      <c r="V70" s="44" t="n">
        <v>15.7117996</v>
      </c>
      <c r="W70" s="44" t="n">
        <f aca="false">SUM(Z70:AE70)</f>
        <v>2.85</v>
      </c>
      <c r="X70" s="17" t="s">
        <v>107</v>
      </c>
      <c r="Y70" s="54" t="n">
        <v>46006</v>
      </c>
      <c r="Z70" s="44" t="n">
        <v>0.94</v>
      </c>
      <c r="AA70" s="44" t="n">
        <v>0</v>
      </c>
      <c r="AB70" s="44" t="n">
        <v>0</v>
      </c>
      <c r="AC70" s="44" t="n">
        <v>0</v>
      </c>
      <c r="AD70" s="44" t="n">
        <v>1.91</v>
      </c>
      <c r="AE70" s="44" t="n">
        <v>0</v>
      </c>
      <c r="AF70" s="17" t="n">
        <f aca="false">IF(AND(E70&gt;0,COUNTIFS($R$5:R70,R70,$E$5:E70,"&gt;0")=1),1,0)</f>
        <v>1</v>
      </c>
      <c r="AG70" s="17" t="n">
        <f aca="false">IF(AND(E70&gt;0,COUNTIFS($R$5:R70,R70,$K$5:K70,K70,$E$5:E70,"&gt;0")=1),1,0)</f>
        <v>1</v>
      </c>
    </row>
    <row r="71" customFormat="false" ht="15" hidden="false" customHeight="false" outlineLevel="0" collapsed="false">
      <c r="A71" s="14" t="n">
        <v>4702449141</v>
      </c>
      <c r="B71" s="77" t="n">
        <v>46009.9263888889</v>
      </c>
      <c r="C71" s="77" t="n">
        <v>46009.9430439815</v>
      </c>
      <c r="D71" s="38" t="n">
        <v>0.399722222222222</v>
      </c>
      <c r="E71" s="38" t="n">
        <v>18.4666</v>
      </c>
      <c r="F71" s="38" t="n">
        <v>47.895</v>
      </c>
      <c r="G71" s="14" t="s">
        <v>68</v>
      </c>
      <c r="H71" s="78" t="b">
        <f aca="false">TRUE()</f>
        <v>1</v>
      </c>
      <c r="I71" s="78" t="b">
        <f aca="false">TRUE()</f>
        <v>1</v>
      </c>
      <c r="J71" s="55" t="n">
        <v>1</v>
      </c>
      <c r="K71" s="14" t="s">
        <v>229</v>
      </c>
      <c r="L71" s="14" t="s">
        <v>226</v>
      </c>
      <c r="M71" s="14" t="s">
        <v>270</v>
      </c>
      <c r="N71" s="14"/>
      <c r="O71" s="14" t="s">
        <v>228</v>
      </c>
      <c r="P71" s="42" t="n">
        <v>9.43</v>
      </c>
      <c r="Q71" s="42" t="n">
        <v>8.09</v>
      </c>
      <c r="R71" s="53" t="n">
        <f aca="false">INT(B71)</f>
        <v>46009</v>
      </c>
      <c r="S71" s="14" t="n">
        <f aca="false">IF(AND(I71=TRUE(),COUNTIFS($R$5:R71,R71,$I$5:I71,TRUE())=1),1,0)</f>
        <v>1</v>
      </c>
      <c r="T71" s="71" t="n">
        <v>0.4</v>
      </c>
      <c r="U71" s="42" t="n">
        <v>8.99</v>
      </c>
      <c r="V71" s="42" t="n">
        <v>7.38664</v>
      </c>
      <c r="W71" s="42" t="n">
        <f aca="false">SUM(Z71:AE71)</f>
        <v>1.34</v>
      </c>
      <c r="X71" s="14" t="s">
        <v>108</v>
      </c>
      <c r="Y71" s="53" t="n">
        <v>46006</v>
      </c>
      <c r="Z71" s="42" t="n">
        <v>0.44</v>
      </c>
      <c r="AA71" s="42" t="n">
        <v>0</v>
      </c>
      <c r="AB71" s="42" t="n">
        <v>0</v>
      </c>
      <c r="AC71" s="42" t="n">
        <v>0</v>
      </c>
      <c r="AD71" s="42" t="n">
        <v>0.9</v>
      </c>
      <c r="AE71" s="42" t="n">
        <v>0</v>
      </c>
      <c r="AF71" s="14" t="n">
        <f aca="false">IF(AND(E71&gt;0,COUNTIFS($R$5:R71,R71,$E$5:E71,"&gt;0")=1),1,0)</f>
        <v>1</v>
      </c>
      <c r="AG71" s="14" t="n">
        <f aca="false">IF(AND(E71&gt;0,COUNTIFS($R$5:R71,R71,$K$5:K71,K71,$E$5:E71,"&gt;0")=1),1,0)</f>
        <v>1</v>
      </c>
    </row>
    <row r="72" customFormat="false" ht="15" hidden="false" customHeight="false" outlineLevel="0" collapsed="false">
      <c r="A72" s="17" t="n">
        <v>4707150431</v>
      </c>
      <c r="B72" s="79" t="n">
        <v>46011.5506828704</v>
      </c>
      <c r="C72" s="79" t="n">
        <v>46011.5772222222</v>
      </c>
      <c r="D72" s="39" t="n">
        <v>0.636944444444444</v>
      </c>
      <c r="E72" s="39" t="n">
        <v>34.400398</v>
      </c>
      <c r="F72" s="39" t="n">
        <v>56.939</v>
      </c>
      <c r="G72" s="17" t="s">
        <v>66</v>
      </c>
      <c r="H72" s="80" t="b">
        <f aca="false">TRUE()</f>
        <v>1</v>
      </c>
      <c r="I72" s="80" t="b">
        <f aca="false">FALSE()</f>
        <v>0</v>
      </c>
      <c r="J72" s="81" t="n">
        <v>1</v>
      </c>
      <c r="K72" s="17" t="s">
        <v>229</v>
      </c>
      <c r="L72" s="17" t="s">
        <v>266</v>
      </c>
      <c r="M72" s="17"/>
      <c r="N72" s="17"/>
      <c r="O72" s="17"/>
      <c r="P72" s="44" t="n">
        <v>18.28</v>
      </c>
      <c r="Q72" s="44" t="n">
        <v>14.68</v>
      </c>
      <c r="R72" s="54" t="n">
        <f aca="false">INT(B72)</f>
        <v>46011</v>
      </c>
      <c r="S72" s="17" t="n">
        <f aca="false">IF(AND(I72=TRUE(),COUNTIFS($R$5:R72,R72,$I$5:I72,TRUE())=1),1,0)</f>
        <v>0</v>
      </c>
      <c r="T72" s="73" t="n">
        <v>0.4</v>
      </c>
      <c r="U72" s="44" t="n">
        <v>16.31</v>
      </c>
      <c r="V72" s="44" t="n">
        <v>13.7601592</v>
      </c>
      <c r="W72" s="44" t="n">
        <f aca="false">SUM(Z72:AE72)</f>
        <v>2.61</v>
      </c>
      <c r="X72" s="17" t="s">
        <v>110</v>
      </c>
      <c r="Y72" s="54" t="n">
        <v>46006</v>
      </c>
      <c r="Z72" s="44" t="n">
        <v>0.98</v>
      </c>
      <c r="AA72" s="44" t="n">
        <v>0</v>
      </c>
      <c r="AB72" s="44" t="n">
        <v>0</v>
      </c>
      <c r="AC72" s="44" t="n">
        <v>0</v>
      </c>
      <c r="AD72" s="44" t="n">
        <v>0.64</v>
      </c>
      <c r="AE72" s="44" t="n">
        <v>0.99</v>
      </c>
      <c r="AF72" s="17" t="n">
        <f aca="false">IF(AND(E72&gt;0,COUNTIFS($R$5:R72,R72,$E$5:E72,"&gt;0")=1),1,0)</f>
        <v>1</v>
      </c>
      <c r="AG72" s="17" t="n">
        <f aca="false">IF(AND(E72&gt;0,COUNTIFS($R$5:R72,R72,$K$5:K72,K72,$E$5:E72,"&gt;0")=1),1,0)</f>
        <v>1</v>
      </c>
    </row>
    <row r="73" customFormat="false" ht="15" hidden="false" customHeight="false" outlineLevel="0" collapsed="false">
      <c r="A73" s="14" t="n">
        <v>4708308331</v>
      </c>
      <c r="B73" s="77" t="n">
        <v>46011.9446643519</v>
      </c>
      <c r="C73" s="77" t="n">
        <v>46011.9461805556</v>
      </c>
      <c r="D73" s="38" t="n">
        <v>0.0363888888888888</v>
      </c>
      <c r="E73" s="38" t="n">
        <v>0</v>
      </c>
      <c r="F73" s="38"/>
      <c r="G73" s="14" t="s">
        <v>68</v>
      </c>
      <c r="H73" s="78" t="b">
        <f aca="false">FALSE()</f>
        <v>0</v>
      </c>
      <c r="I73" s="78" t="b">
        <f aca="false">TRUE()</f>
        <v>1</v>
      </c>
      <c r="J73" s="55"/>
      <c r="K73" s="14" t="s">
        <v>229</v>
      </c>
      <c r="L73" s="14" t="s">
        <v>233</v>
      </c>
      <c r="M73" s="14"/>
      <c r="N73" s="14"/>
      <c r="O73" s="14"/>
      <c r="P73" s="42"/>
      <c r="Q73" s="42"/>
      <c r="R73" s="53" t="n">
        <f aca="false">INT(B73)</f>
        <v>46011</v>
      </c>
      <c r="S73" s="14" t="n">
        <f aca="false">IF(AND(I73=TRUE(),COUNTIFS($R$5:R73,R73,$I$5:I73,TRUE())=1),1,0)</f>
        <v>1</v>
      </c>
      <c r="T73" s="71"/>
      <c r="U73" s="42"/>
      <c r="V73" s="42"/>
      <c r="W73" s="42" t="n">
        <f aca="false">SUM(Z73:AE73)</f>
        <v>0</v>
      </c>
      <c r="X73" s="14" t="s">
        <v>110</v>
      </c>
      <c r="Y73" s="53" t="n">
        <v>46006</v>
      </c>
      <c r="Z73" s="42"/>
      <c r="AA73" s="42"/>
      <c r="AB73" s="42"/>
      <c r="AC73" s="42"/>
      <c r="AD73" s="42"/>
      <c r="AE73" s="42"/>
      <c r="AF73" s="14" t="n">
        <f aca="false">IF(AND(E73&gt;0,COUNTIFS($R$5:R73,R73,$E$5:E73,"&gt;0")=1),1,0)</f>
        <v>0</v>
      </c>
      <c r="AG73" s="14" t="n">
        <f aca="false">IF(AND(E73&gt;0,COUNTIFS($R$5:R73,R73,$K$5:K73,K73,$E$5:E73,"&gt;0")=1),1,0)</f>
        <v>0</v>
      </c>
    </row>
    <row r="74" customFormat="false" ht="15" hidden="false" customHeight="false" outlineLevel="0" collapsed="false">
      <c r="A74" s="17" t="n">
        <v>4708324491</v>
      </c>
      <c r="B74" s="79" t="n">
        <v>46011.9505092593</v>
      </c>
      <c r="C74" s="79" t="n">
        <v>46012.0034490741</v>
      </c>
      <c r="D74" s="39" t="n">
        <v>1.27055555555556</v>
      </c>
      <c r="E74" s="39" t="n">
        <v>9.172431</v>
      </c>
      <c r="F74" s="39" t="n">
        <v>7.3299</v>
      </c>
      <c r="G74" s="17" t="s">
        <v>68</v>
      </c>
      <c r="H74" s="80" t="b">
        <f aca="false">FALSE()</f>
        <v>0</v>
      </c>
      <c r="I74" s="80" t="b">
        <f aca="false">TRUE()</f>
        <v>1</v>
      </c>
      <c r="J74" s="81" t="n">
        <v>0</v>
      </c>
      <c r="K74" s="17" t="s">
        <v>225</v>
      </c>
      <c r="L74" s="17" t="s">
        <v>233</v>
      </c>
      <c r="M74" s="17"/>
      <c r="N74" s="17"/>
      <c r="O74" s="17"/>
      <c r="P74" s="44" t="n">
        <v>8.97</v>
      </c>
      <c r="Q74" s="44" t="n">
        <v>7.88</v>
      </c>
      <c r="R74" s="54" t="n">
        <f aca="false">INT(B74)</f>
        <v>46011</v>
      </c>
      <c r="S74" s="17" t="n">
        <f aca="false">IF(AND(I74=TRUE(),COUNTIFS($R$5:R74,R74,$I$5:I74,TRUE())=1),1,0)</f>
        <v>0</v>
      </c>
      <c r="T74" s="73" t="n">
        <v>0.4</v>
      </c>
      <c r="U74" s="44" t="n">
        <v>8.75</v>
      </c>
      <c r="V74" s="44" t="n">
        <v>3.6689724</v>
      </c>
      <c r="W74" s="44" t="n">
        <f aca="false">SUM(Z74:AE74)</f>
        <v>1.09</v>
      </c>
      <c r="X74" s="17" t="s">
        <v>110</v>
      </c>
      <c r="Y74" s="54" t="n">
        <v>46006</v>
      </c>
      <c r="Z74" s="44" t="n">
        <v>0.22</v>
      </c>
      <c r="AA74" s="44" t="n">
        <v>0</v>
      </c>
      <c r="AB74" s="44" t="n">
        <v>0</v>
      </c>
      <c r="AC74" s="44" t="n">
        <v>0</v>
      </c>
      <c r="AD74" s="44" t="n">
        <v>0.87</v>
      </c>
      <c r="AE74" s="44" t="n">
        <v>0</v>
      </c>
      <c r="AF74" s="17" t="n">
        <f aca="false">IF(AND(E74&gt;0,COUNTIFS($R$5:R74,R74,$E$5:E74,"&gt;0")=1),1,0)</f>
        <v>0</v>
      </c>
      <c r="AG74" s="17" t="n">
        <f aca="false">IF(AND(E74&gt;0,COUNTIFS($R$5:R74,R74,$K$5:K74,K74,$E$5:E74,"&gt;0")=1),1,0)</f>
        <v>1</v>
      </c>
    </row>
    <row r="75" customFormat="false" ht="15" hidden="false" customHeight="false" outlineLevel="0" collapsed="false">
      <c r="A75" s="14" t="n">
        <v>4709720391</v>
      </c>
      <c r="B75" s="77" t="n">
        <v>46012.6887615741</v>
      </c>
      <c r="C75" s="77" t="n">
        <v>46012.6899074074</v>
      </c>
      <c r="D75" s="38" t="n">
        <v>0.0275</v>
      </c>
      <c r="E75" s="38" t="n">
        <v>0.0054</v>
      </c>
      <c r="F75" s="38" t="n">
        <v>0</v>
      </c>
      <c r="G75" s="14" t="s">
        <v>66</v>
      </c>
      <c r="H75" s="78" t="b">
        <f aca="false">FALSE()</f>
        <v>0</v>
      </c>
      <c r="I75" s="78" t="b">
        <f aca="false">FALSE()</f>
        <v>0</v>
      </c>
      <c r="J75" s="55"/>
      <c r="K75" s="14" t="s">
        <v>229</v>
      </c>
      <c r="L75" s="14" t="s">
        <v>226</v>
      </c>
      <c r="M75" s="14"/>
      <c r="N75" s="14"/>
      <c r="O75" s="14"/>
      <c r="P75" s="42"/>
      <c r="Q75" s="42"/>
      <c r="R75" s="53" t="n">
        <f aca="false">INT(B75)</f>
        <v>46012</v>
      </c>
      <c r="S75" s="14" t="n">
        <f aca="false">IF(AND(I75=TRUE(),COUNTIFS($R$5:R75,R75,$I$5:I75,TRUE())=1),1,0)</f>
        <v>0</v>
      </c>
      <c r="T75" s="71"/>
      <c r="U75" s="42"/>
      <c r="V75" s="42"/>
      <c r="W75" s="42" t="n">
        <f aca="false">SUM(Z75:AE75)</f>
        <v>0</v>
      </c>
      <c r="X75" s="14" t="s">
        <v>111</v>
      </c>
      <c r="Y75" s="53" t="n">
        <v>46006</v>
      </c>
      <c r="Z75" s="42"/>
      <c r="AA75" s="42"/>
      <c r="AB75" s="42"/>
      <c r="AC75" s="42"/>
      <c r="AD75" s="42"/>
      <c r="AE75" s="42"/>
      <c r="AF75" s="14" t="n">
        <f aca="false">IF(AND(E75&gt;0,COUNTIFS($R$5:R75,R75,$E$5:E75,"&gt;0")=1),1,0)</f>
        <v>1</v>
      </c>
      <c r="AG75" s="14" t="n">
        <f aca="false">IF(AND(E75&gt;0,COUNTIFS($R$5:R75,R75,$K$5:K75,K75,$E$5:E75,"&gt;0")=1),1,0)</f>
        <v>1</v>
      </c>
    </row>
    <row r="76" customFormat="false" ht="15" hidden="false" customHeight="false" outlineLevel="0" collapsed="false">
      <c r="A76" s="17" t="n">
        <v>4709723941</v>
      </c>
      <c r="B76" s="79" t="n">
        <v>46012.6902777778</v>
      </c>
      <c r="C76" s="79" t="n">
        <v>46012.7204050926</v>
      </c>
      <c r="D76" s="39" t="n">
        <v>0.723055555555556</v>
      </c>
      <c r="E76" s="39" t="n">
        <v>43.850101</v>
      </c>
      <c r="F76" s="39" t="n">
        <v>62.576</v>
      </c>
      <c r="G76" s="17" t="s">
        <v>66</v>
      </c>
      <c r="H76" s="80" t="b">
        <f aca="false">TRUE()</f>
        <v>1</v>
      </c>
      <c r="I76" s="80" t="b">
        <f aca="false">FALSE()</f>
        <v>0</v>
      </c>
      <c r="J76" s="81" t="n">
        <v>1</v>
      </c>
      <c r="K76" s="17" t="s">
        <v>229</v>
      </c>
      <c r="L76" s="17" t="s">
        <v>226</v>
      </c>
      <c r="M76" s="17" t="s">
        <v>271</v>
      </c>
      <c r="N76" s="17" t="s">
        <v>272</v>
      </c>
      <c r="O76" s="17" t="s">
        <v>247</v>
      </c>
      <c r="P76" s="44" t="n">
        <v>21.48</v>
      </c>
      <c r="Q76" s="44" t="n">
        <v>18.39</v>
      </c>
      <c r="R76" s="54" t="n">
        <f aca="false">INT(B76)</f>
        <v>46012</v>
      </c>
      <c r="S76" s="17" t="n">
        <f aca="false">IF(AND(I76=TRUE(),COUNTIFS($R$5:R76,R76,$I$5:I76,TRUE())=1),1,0)</f>
        <v>0</v>
      </c>
      <c r="T76" s="73" t="n">
        <v>0.4</v>
      </c>
      <c r="U76" s="44" t="n">
        <v>20.43</v>
      </c>
      <c r="V76" s="44" t="n">
        <v>17.5400404</v>
      </c>
      <c r="W76" s="44" t="n">
        <f aca="false">SUM(Z76:AE76)</f>
        <v>3.09</v>
      </c>
      <c r="X76" s="17" t="s">
        <v>111</v>
      </c>
      <c r="Y76" s="54" t="n">
        <v>46006</v>
      </c>
      <c r="Z76" s="44" t="n">
        <v>1.05</v>
      </c>
      <c r="AA76" s="44" t="n">
        <v>0</v>
      </c>
      <c r="AB76" s="44" t="n">
        <v>0</v>
      </c>
      <c r="AC76" s="44" t="n">
        <v>0</v>
      </c>
      <c r="AD76" s="44" t="n">
        <v>2.04</v>
      </c>
      <c r="AE76" s="44" t="n">
        <v>0</v>
      </c>
      <c r="AF76" s="17" t="n">
        <f aca="false">IF(AND(E76&gt;0,COUNTIFS($R$5:R76,R76,$E$5:E76,"&gt;0")=1),1,0)</f>
        <v>0</v>
      </c>
      <c r="AG76" s="17" t="n">
        <f aca="false">IF(AND(E76&gt;0,COUNTIFS($R$5:R76,R76,$K$5:K76,K76,$E$5:E76,"&gt;0")=1),1,0)</f>
        <v>0</v>
      </c>
    </row>
    <row r="77" customFormat="false" ht="15" hidden="false" customHeight="false" outlineLevel="0" collapsed="false">
      <c r="A77" s="14" t="n">
        <v>4710063501</v>
      </c>
      <c r="B77" s="77" t="n">
        <v>46012.8100347222</v>
      </c>
      <c r="C77" s="77" t="n">
        <v>46012.8379976852</v>
      </c>
      <c r="D77" s="38" t="n">
        <v>0.671111111111111</v>
      </c>
      <c r="E77" s="38" t="n">
        <v>4.446568</v>
      </c>
      <c r="F77" s="38" t="n">
        <v>7.0803</v>
      </c>
      <c r="G77" s="14" t="s">
        <v>67</v>
      </c>
      <c r="H77" s="78" t="b">
        <f aca="false">FALSE()</f>
        <v>0</v>
      </c>
      <c r="I77" s="78" t="b">
        <f aca="false">FALSE()</f>
        <v>0</v>
      </c>
      <c r="J77" s="55" t="n">
        <v>0</v>
      </c>
      <c r="K77" s="14" t="s">
        <v>225</v>
      </c>
      <c r="L77" s="14" t="s">
        <v>233</v>
      </c>
      <c r="M77" s="14"/>
      <c r="N77" s="14"/>
      <c r="O77" s="14"/>
      <c r="P77" s="42" t="n">
        <v>4.57</v>
      </c>
      <c r="Q77" s="42" t="n">
        <v>4.01</v>
      </c>
      <c r="R77" s="53" t="n">
        <f aca="false">INT(B77)</f>
        <v>46012</v>
      </c>
      <c r="S77" s="14" t="n">
        <f aca="false">IF(AND(I77=TRUE(),COUNTIFS($R$5:R77,R77,$I$5:I77,TRUE())=1),1,0)</f>
        <v>0</v>
      </c>
      <c r="T77" s="71" t="n">
        <v>0.4</v>
      </c>
      <c r="U77" s="42" t="n">
        <v>4.46</v>
      </c>
      <c r="V77" s="42" t="n">
        <v>1.7786272</v>
      </c>
      <c r="W77" s="42" t="n">
        <f aca="false">SUM(Z77:AE77)</f>
        <v>0.56</v>
      </c>
      <c r="X77" s="14" t="s">
        <v>111</v>
      </c>
      <c r="Y77" s="53" t="n">
        <v>46006</v>
      </c>
      <c r="Z77" s="42" t="n">
        <v>0.11</v>
      </c>
      <c r="AA77" s="42" t="n">
        <v>0</v>
      </c>
      <c r="AB77" s="42" t="n">
        <v>0</v>
      </c>
      <c r="AC77" s="42" t="n">
        <v>0</v>
      </c>
      <c r="AD77" s="42" t="n">
        <v>0.45</v>
      </c>
      <c r="AE77" s="42" t="n">
        <v>0</v>
      </c>
      <c r="AF77" s="14" t="n">
        <f aca="false">IF(AND(E77&gt;0,COUNTIFS($R$5:R77,R77,$E$5:E77,"&gt;0")=1),1,0)</f>
        <v>0</v>
      </c>
      <c r="AG77" s="14" t="n">
        <f aca="false">IF(AND(E77&gt;0,COUNTIFS($R$5:R77,R77,$K$5:K77,K77,$E$5:E77,"&gt;0")=1),1,0)</f>
        <v>1</v>
      </c>
    </row>
    <row r="78" customFormat="false" ht="15" hidden="false" customHeight="false" outlineLevel="0" collapsed="false">
      <c r="A78" s="17" t="n">
        <v>4710216931</v>
      </c>
      <c r="B78" s="79" t="n">
        <v>46012.8593287037</v>
      </c>
      <c r="C78" s="79" t="n">
        <v>46013.116712963</v>
      </c>
      <c r="D78" s="39" t="n">
        <v>6.17722222222222</v>
      </c>
      <c r="E78" s="39" t="n">
        <v>43.365398</v>
      </c>
      <c r="F78" s="39" t="n">
        <v>7.0903</v>
      </c>
      <c r="G78" s="17" t="s">
        <v>67</v>
      </c>
      <c r="H78" s="80" t="b">
        <f aca="false">FALSE()</f>
        <v>0</v>
      </c>
      <c r="I78" s="80" t="b">
        <f aca="false">FALSE()</f>
        <v>0</v>
      </c>
      <c r="J78" s="81" t="n">
        <v>0</v>
      </c>
      <c r="K78" s="17" t="s">
        <v>225</v>
      </c>
      <c r="L78" s="17" t="s">
        <v>233</v>
      </c>
      <c r="M78" s="17"/>
      <c r="N78" s="17"/>
      <c r="O78" s="17"/>
      <c r="P78" s="44" t="n">
        <v>43.1</v>
      </c>
      <c r="Q78" s="44" t="n">
        <v>37.85</v>
      </c>
      <c r="R78" s="54" t="n">
        <f aca="false">INT(B78)</f>
        <v>46012</v>
      </c>
      <c r="S78" s="17" t="n">
        <f aca="false">IF(AND(I78=TRUE(),COUNTIFS($R$5:R78,R78,$I$5:I78,TRUE())=1),1,0)</f>
        <v>0</v>
      </c>
      <c r="T78" s="73" t="n">
        <v>0.4</v>
      </c>
      <c r="U78" s="44" t="n">
        <v>42.06</v>
      </c>
      <c r="V78" s="44" t="n">
        <v>17.3461592</v>
      </c>
      <c r="W78" s="44" t="n">
        <f aca="false">SUM(Z78:AE78)</f>
        <v>5.25</v>
      </c>
      <c r="X78" s="17" t="s">
        <v>111</v>
      </c>
      <c r="Y78" s="54" t="n">
        <v>46006</v>
      </c>
      <c r="Z78" s="44" t="n">
        <v>1.04</v>
      </c>
      <c r="AA78" s="44" t="n">
        <v>0</v>
      </c>
      <c r="AB78" s="44" t="n">
        <v>0</v>
      </c>
      <c r="AC78" s="44" t="n">
        <v>0</v>
      </c>
      <c r="AD78" s="44" t="n">
        <v>4.21</v>
      </c>
      <c r="AE78" s="44" t="n">
        <v>0</v>
      </c>
      <c r="AF78" s="17" t="n">
        <f aca="false">IF(AND(E78&gt;0,COUNTIFS($R$5:R78,R78,$E$5:E78,"&gt;0")=1),1,0)</f>
        <v>0</v>
      </c>
      <c r="AG78" s="17" t="n">
        <f aca="false">IF(AND(E78&gt;0,COUNTIFS($R$5:R78,R78,$K$5:K78,K78,$E$5:E78,"&gt;0")=1),1,0)</f>
        <v>0</v>
      </c>
    </row>
    <row r="79" customFormat="false" ht="15" hidden="false" customHeight="false" outlineLevel="0" collapsed="false">
      <c r="A79" s="14" t="n">
        <v>4710729371</v>
      </c>
      <c r="B79" s="77" t="n">
        <v>46013.013900463</v>
      </c>
      <c r="C79" s="77" t="n">
        <v>46013.0375810185</v>
      </c>
      <c r="D79" s="38" t="n">
        <v>0.568333333333333</v>
      </c>
      <c r="E79" s="38" t="n">
        <v>31.301399</v>
      </c>
      <c r="F79" s="38" t="n">
        <v>56.549</v>
      </c>
      <c r="G79" s="14" t="s">
        <v>68</v>
      </c>
      <c r="H79" s="78" t="b">
        <f aca="false">TRUE()</f>
        <v>1</v>
      </c>
      <c r="I79" s="78" t="b">
        <f aca="false">TRUE()</f>
        <v>1</v>
      </c>
      <c r="J79" s="55" t="n">
        <v>1</v>
      </c>
      <c r="K79" s="14" t="s">
        <v>229</v>
      </c>
      <c r="L79" s="14" t="s">
        <v>226</v>
      </c>
      <c r="M79" s="14" t="s">
        <v>273</v>
      </c>
      <c r="N79" s="14"/>
      <c r="O79" s="14" t="s">
        <v>232</v>
      </c>
      <c r="P79" s="42" t="n">
        <v>15.54</v>
      </c>
      <c r="Q79" s="42" t="n">
        <v>13.31</v>
      </c>
      <c r="R79" s="53" t="n">
        <f aca="false">INT(B79)</f>
        <v>46013</v>
      </c>
      <c r="S79" s="14" t="n">
        <f aca="false">IF(AND(I79=TRUE(),COUNTIFS($R$5:R79,R79,$I$5:I79,TRUE())=1),1,0)</f>
        <v>1</v>
      </c>
      <c r="T79" s="71" t="n">
        <v>0.4</v>
      </c>
      <c r="U79" s="42" t="n">
        <v>14.79</v>
      </c>
      <c r="V79" s="42" t="n">
        <v>12.5205596</v>
      </c>
      <c r="W79" s="42" t="n">
        <f aca="false">SUM(Z79:AE79)</f>
        <v>2.23</v>
      </c>
      <c r="X79" s="14" t="s">
        <v>105</v>
      </c>
      <c r="Y79" s="53" t="n">
        <v>46013</v>
      </c>
      <c r="Z79" s="42" t="n">
        <v>0.75</v>
      </c>
      <c r="AA79" s="42" t="n">
        <v>0</v>
      </c>
      <c r="AB79" s="42" t="n">
        <v>0</v>
      </c>
      <c r="AC79" s="42" t="n">
        <v>0</v>
      </c>
      <c r="AD79" s="42" t="n">
        <v>1.48</v>
      </c>
      <c r="AE79" s="42" t="n">
        <v>0</v>
      </c>
      <c r="AF79" s="14" t="n">
        <f aca="false">IF(AND(E79&gt;0,COUNTIFS($R$5:R79,R79,$E$5:E79,"&gt;0")=1),1,0)</f>
        <v>1</v>
      </c>
      <c r="AG79" s="14" t="n">
        <f aca="false">IF(AND(E79&gt;0,COUNTIFS($R$5:R79,R79,$K$5:K79,K79,$E$5:E79,"&gt;0")=1),1,0)</f>
        <v>1</v>
      </c>
    </row>
    <row r="80" customFormat="false" ht="15" hidden="false" customHeight="false" outlineLevel="0" collapsed="false">
      <c r="A80" s="17" t="n">
        <v>4711406781</v>
      </c>
      <c r="B80" s="79" t="n">
        <v>46013.2659722222</v>
      </c>
      <c r="C80" s="79" t="n">
        <v>46013.267662037</v>
      </c>
      <c r="D80" s="39" t="n">
        <v>0.0405555555555555</v>
      </c>
      <c r="E80" s="39" t="n">
        <v>0</v>
      </c>
      <c r="F80" s="39" t="n">
        <v>0</v>
      </c>
      <c r="G80" s="17" t="s">
        <v>65</v>
      </c>
      <c r="H80" s="80" t="b">
        <f aca="false">FALSE()</f>
        <v>0</v>
      </c>
      <c r="I80" s="80" t="b">
        <f aca="false">FALSE()</f>
        <v>0</v>
      </c>
      <c r="J80" s="81"/>
      <c r="K80" s="17" t="s">
        <v>229</v>
      </c>
      <c r="L80" s="17" t="s">
        <v>233</v>
      </c>
      <c r="M80" s="17"/>
      <c r="N80" s="17"/>
      <c r="O80" s="17"/>
      <c r="P80" s="44"/>
      <c r="Q80" s="44"/>
      <c r="R80" s="54" t="n">
        <f aca="false">INT(B80)</f>
        <v>46013</v>
      </c>
      <c r="S80" s="17" t="n">
        <f aca="false">IF(AND(I80=TRUE(),COUNTIFS($R$5:R80,R80,$I$5:I80,TRUE())=1),1,0)</f>
        <v>0</v>
      </c>
      <c r="T80" s="73"/>
      <c r="U80" s="44"/>
      <c r="V80" s="44"/>
      <c r="W80" s="44" t="n">
        <f aca="false">SUM(Z80:AE80)</f>
        <v>0</v>
      </c>
      <c r="X80" s="17" t="s">
        <v>105</v>
      </c>
      <c r="Y80" s="54" t="n">
        <v>46013</v>
      </c>
      <c r="Z80" s="44"/>
      <c r="AA80" s="44"/>
      <c r="AB80" s="44"/>
      <c r="AC80" s="44"/>
      <c r="AD80" s="44"/>
      <c r="AE80" s="44"/>
      <c r="AF80" s="17" t="n">
        <f aca="false">IF(AND(E80&gt;0,COUNTIFS($R$5:R80,R80,$E$5:E80,"&gt;0")=1),1,0)</f>
        <v>0</v>
      </c>
      <c r="AG80" s="17" t="n">
        <f aca="false">IF(AND(E80&gt;0,COUNTIFS($R$5:R80,R80,$K$5:K80,K80,$E$5:E80,"&gt;0")=1),1,0)</f>
        <v>0</v>
      </c>
    </row>
    <row r="81" customFormat="false" ht="15" hidden="false" customHeight="false" outlineLevel="0" collapsed="false">
      <c r="A81" s="14" t="n">
        <v>4711421421</v>
      </c>
      <c r="B81" s="77" t="n">
        <v>46013.2823726852</v>
      </c>
      <c r="C81" s="77" t="n">
        <v>46013.3593287037</v>
      </c>
      <c r="D81" s="38" t="n">
        <v>1.84694444444444</v>
      </c>
      <c r="E81" s="38" t="n">
        <v>45.4538</v>
      </c>
      <c r="F81" s="38" t="n">
        <v>38.976</v>
      </c>
      <c r="G81" s="14" t="s">
        <v>65</v>
      </c>
      <c r="H81" s="78" t="b">
        <f aca="false">TRUE()</f>
        <v>1</v>
      </c>
      <c r="I81" s="78" t="b">
        <f aca="false">FALSE()</f>
        <v>0</v>
      </c>
      <c r="J81" s="55" t="n">
        <v>0.854908915041109</v>
      </c>
      <c r="K81" s="14" t="s">
        <v>229</v>
      </c>
      <c r="L81" s="14" t="s">
        <v>233</v>
      </c>
      <c r="M81" s="14"/>
      <c r="N81" s="14"/>
      <c r="O81" s="14"/>
      <c r="P81" s="42" t="n">
        <v>26.66</v>
      </c>
      <c r="Q81" s="42" t="n">
        <v>23.01</v>
      </c>
      <c r="R81" s="53" t="n">
        <f aca="false">INT(B81)</f>
        <v>46013</v>
      </c>
      <c r="S81" s="14" t="n">
        <f aca="false">IF(AND(I81=TRUE(),COUNTIFS($R$5:R81,R81,$I$5:I81,TRUE())=1),1,0)</f>
        <v>0</v>
      </c>
      <c r="T81" s="71" t="n">
        <v>0.4</v>
      </c>
      <c r="U81" s="42" t="n">
        <v>25.57</v>
      </c>
      <c r="V81" s="42" t="n">
        <v>18.18152</v>
      </c>
      <c r="W81" s="42" t="n">
        <f aca="false">SUM(Z81:AE81)</f>
        <v>3.65</v>
      </c>
      <c r="X81" s="14" t="s">
        <v>105</v>
      </c>
      <c r="Y81" s="53" t="n">
        <v>46013</v>
      </c>
      <c r="Z81" s="42" t="n">
        <v>1.09</v>
      </c>
      <c r="AA81" s="42" t="n">
        <v>0</v>
      </c>
      <c r="AB81" s="42" t="n">
        <v>0</v>
      </c>
      <c r="AC81" s="42" t="n">
        <v>0</v>
      </c>
      <c r="AD81" s="42" t="n">
        <v>2.56</v>
      </c>
      <c r="AE81" s="42" t="n">
        <v>0</v>
      </c>
      <c r="AF81" s="14" t="n">
        <f aca="false">IF(AND(E81&gt;0,COUNTIFS($R$5:R81,R81,$E$5:E81,"&gt;0")=1),1,0)</f>
        <v>0</v>
      </c>
      <c r="AG81" s="14" t="n">
        <f aca="false">IF(AND(E81&gt;0,COUNTIFS($R$5:R81,R81,$K$5:K81,K81,$E$5:E81,"&gt;0")=1),1,0)</f>
        <v>0</v>
      </c>
    </row>
    <row r="82" customFormat="false" ht="15" hidden="false" customHeight="false" outlineLevel="0" collapsed="false">
      <c r="A82" s="17" t="n">
        <v>4712182861</v>
      </c>
      <c r="B82" s="79" t="n">
        <v>46013.6917013889</v>
      </c>
      <c r="C82" s="79" t="n">
        <v>46013.6930208333</v>
      </c>
      <c r="D82" s="39" t="n">
        <v>0.0316666666666666</v>
      </c>
      <c r="E82" s="39" t="n">
        <v>0</v>
      </c>
      <c r="F82" s="39" t="n">
        <v>0</v>
      </c>
      <c r="G82" s="17" t="s">
        <v>66</v>
      </c>
      <c r="H82" s="80" t="b">
        <f aca="false">FALSE()</f>
        <v>0</v>
      </c>
      <c r="I82" s="80" t="b">
        <f aca="false">FALSE()</f>
        <v>0</v>
      </c>
      <c r="J82" s="81"/>
      <c r="K82" s="17" t="s">
        <v>225</v>
      </c>
      <c r="L82" s="17" t="s">
        <v>266</v>
      </c>
      <c r="M82" s="17"/>
      <c r="N82" s="17"/>
      <c r="O82" s="17"/>
      <c r="P82" s="44"/>
      <c r="Q82" s="44"/>
      <c r="R82" s="54" t="n">
        <f aca="false">INT(B82)</f>
        <v>46013</v>
      </c>
      <c r="S82" s="17" t="n">
        <f aca="false">IF(AND(I82=TRUE(),COUNTIFS($R$5:R82,R82,$I$5:I82,TRUE())=1),1,0)</f>
        <v>0</v>
      </c>
      <c r="T82" s="73"/>
      <c r="U82" s="44"/>
      <c r="V82" s="44"/>
      <c r="W82" s="44" t="n">
        <f aca="false">SUM(Z82:AE82)</f>
        <v>0</v>
      </c>
      <c r="X82" s="17" t="s">
        <v>105</v>
      </c>
      <c r="Y82" s="54" t="n">
        <v>46013</v>
      </c>
      <c r="Z82" s="44"/>
      <c r="AA82" s="44"/>
      <c r="AB82" s="44"/>
      <c r="AC82" s="44"/>
      <c r="AD82" s="44"/>
      <c r="AE82" s="44"/>
      <c r="AF82" s="17" t="n">
        <f aca="false">IF(AND(E82&gt;0,COUNTIFS($R$5:R82,R82,$E$5:E82,"&gt;0")=1),1,0)</f>
        <v>0</v>
      </c>
      <c r="AG82" s="17" t="n">
        <f aca="false">IF(AND(E82&gt;0,COUNTIFS($R$5:R82,R82,$K$5:K82,K82,$E$5:E82,"&gt;0")=1),1,0)</f>
        <v>0</v>
      </c>
    </row>
    <row r="83" customFormat="false" ht="15" hidden="false" customHeight="false" outlineLevel="0" collapsed="false">
      <c r="A83" s="14" t="n">
        <v>4712260231</v>
      </c>
      <c r="B83" s="77" t="n">
        <v>46013.7106365741</v>
      </c>
      <c r="C83" s="77" t="n">
        <v>46013.7491782407</v>
      </c>
      <c r="D83" s="38" t="n">
        <v>0.925</v>
      </c>
      <c r="E83" s="38" t="n">
        <v>48.287498</v>
      </c>
      <c r="F83" s="38" t="n">
        <v>56.055</v>
      </c>
      <c r="G83" s="14" t="s">
        <v>66</v>
      </c>
      <c r="H83" s="78" t="b">
        <f aca="false">TRUE()</f>
        <v>1</v>
      </c>
      <c r="I83" s="78" t="b">
        <f aca="false">FALSE()</f>
        <v>0</v>
      </c>
      <c r="J83" s="55" t="n">
        <v>1</v>
      </c>
      <c r="K83" s="14" t="s">
        <v>229</v>
      </c>
      <c r="L83" s="14" t="s">
        <v>226</v>
      </c>
      <c r="M83" s="14" t="s">
        <v>274</v>
      </c>
      <c r="N83" s="14"/>
      <c r="O83" s="14" t="s">
        <v>228</v>
      </c>
      <c r="P83" s="42" t="n">
        <v>24.18</v>
      </c>
      <c r="Q83" s="42" t="n">
        <v>20.72</v>
      </c>
      <c r="R83" s="53" t="n">
        <f aca="false">INT(B83)</f>
        <v>46013</v>
      </c>
      <c r="S83" s="14" t="n">
        <f aca="false">IF(AND(I83=TRUE(),COUNTIFS($R$5:R83,R83,$I$5:I83,TRUE())=1),1,0)</f>
        <v>0</v>
      </c>
      <c r="T83" s="71" t="n">
        <v>0.4</v>
      </c>
      <c r="U83" s="42" t="n">
        <v>23.02</v>
      </c>
      <c r="V83" s="42" t="n">
        <v>19.3149992</v>
      </c>
      <c r="W83" s="42" t="n">
        <f aca="false">SUM(Z83:AE83)</f>
        <v>3.46</v>
      </c>
      <c r="X83" s="14" t="s">
        <v>105</v>
      </c>
      <c r="Y83" s="53" t="n">
        <v>46013</v>
      </c>
      <c r="Z83" s="42" t="n">
        <v>1.16</v>
      </c>
      <c r="AA83" s="42" t="n">
        <v>0</v>
      </c>
      <c r="AB83" s="42" t="n">
        <v>0</v>
      </c>
      <c r="AC83" s="42" t="n">
        <v>0</v>
      </c>
      <c r="AD83" s="42" t="n">
        <v>2.3</v>
      </c>
      <c r="AE83" s="42" t="n">
        <v>0</v>
      </c>
      <c r="AF83" s="14" t="n">
        <f aca="false">IF(AND(E83&gt;0,COUNTIFS($R$5:R83,R83,$E$5:E83,"&gt;0")=1),1,0)</f>
        <v>0</v>
      </c>
      <c r="AG83" s="14" t="n">
        <f aca="false">IF(AND(E83&gt;0,COUNTIFS($R$5:R83,R83,$K$5:K83,K83,$E$5:E83,"&gt;0")=1),1,0)</f>
        <v>0</v>
      </c>
    </row>
    <row r="84" customFormat="false" ht="15" hidden="false" customHeight="false" outlineLevel="0" collapsed="false">
      <c r="A84" s="17" t="n">
        <v>4712308231</v>
      </c>
      <c r="B84" s="79" t="n">
        <v>46013.7215856482</v>
      </c>
      <c r="C84" s="79" t="n">
        <v>46013.9079166667</v>
      </c>
      <c r="D84" s="39" t="n">
        <v>4.47194444444444</v>
      </c>
      <c r="E84" s="39" t="n">
        <v>31.527758</v>
      </c>
      <c r="F84" s="39" t="n">
        <v>7.1514</v>
      </c>
      <c r="G84" s="17" t="s">
        <v>66</v>
      </c>
      <c r="H84" s="80" t="b">
        <f aca="false">FALSE()</f>
        <v>0</v>
      </c>
      <c r="I84" s="80" t="b">
        <f aca="false">FALSE()</f>
        <v>0</v>
      </c>
      <c r="J84" s="81" t="n">
        <v>0</v>
      </c>
      <c r="K84" s="17" t="s">
        <v>225</v>
      </c>
      <c r="L84" s="17" t="s">
        <v>266</v>
      </c>
      <c r="M84" s="17"/>
      <c r="N84" s="17"/>
      <c r="O84" s="17"/>
      <c r="P84" s="44" t="n">
        <v>32.25</v>
      </c>
      <c r="Q84" s="44" t="n">
        <v>28.34</v>
      </c>
      <c r="R84" s="54" t="n">
        <f aca="false">INT(B84)</f>
        <v>46013</v>
      </c>
      <c r="S84" s="17" t="n">
        <f aca="false">IF(AND(I84=TRUE(),COUNTIFS($R$5:R84,R84,$I$5:I84,TRUE())=1),1,0)</f>
        <v>0</v>
      </c>
      <c r="T84" s="73" t="n">
        <v>0.4</v>
      </c>
      <c r="U84" s="44" t="n">
        <v>30.5</v>
      </c>
      <c r="V84" s="44" t="n">
        <v>12.6111032</v>
      </c>
      <c r="W84" s="44" t="n">
        <f aca="false">SUM(Z84:AE84)</f>
        <v>3.91</v>
      </c>
      <c r="X84" s="17" t="s">
        <v>105</v>
      </c>
      <c r="Y84" s="54" t="n">
        <v>46013</v>
      </c>
      <c r="Z84" s="44" t="n">
        <v>0.76</v>
      </c>
      <c r="AA84" s="44" t="n">
        <v>0</v>
      </c>
      <c r="AB84" s="44" t="n">
        <v>0</v>
      </c>
      <c r="AC84" s="44" t="n">
        <v>0</v>
      </c>
      <c r="AD84" s="44" t="n">
        <v>2.16</v>
      </c>
      <c r="AE84" s="44" t="n">
        <v>0.99</v>
      </c>
      <c r="AF84" s="17" t="n">
        <f aca="false">IF(AND(E84&gt;0,COUNTIFS($R$5:R84,R84,$E$5:E84,"&gt;0")=1),1,0)</f>
        <v>0</v>
      </c>
      <c r="AG84" s="17" t="n">
        <f aca="false">IF(AND(E84&gt;0,COUNTIFS($R$5:R84,R84,$K$5:K84,K84,$E$5:E84,"&gt;0")=1),1,0)</f>
        <v>1</v>
      </c>
    </row>
    <row r="85" customFormat="false" ht="15" hidden="false" customHeight="false" outlineLevel="0" collapsed="false">
      <c r="A85" s="14" t="n">
        <v>4715306981</v>
      </c>
      <c r="B85" s="77" t="n">
        <v>46014.7542013889</v>
      </c>
      <c r="C85" s="77" t="n">
        <v>46014.9446180556</v>
      </c>
      <c r="D85" s="38" t="n">
        <v>4.57</v>
      </c>
      <c r="E85" s="38" t="n">
        <v>50.118999</v>
      </c>
      <c r="F85" s="38" t="n">
        <v>61.619</v>
      </c>
      <c r="G85" s="14" t="s">
        <v>67</v>
      </c>
      <c r="H85" s="78" t="b">
        <f aca="false">TRUE()</f>
        <v>1</v>
      </c>
      <c r="I85" s="78" t="b">
        <f aca="false">FALSE()</f>
        <v>0</v>
      </c>
      <c r="J85" s="55" t="n">
        <v>0.261223716612995</v>
      </c>
      <c r="K85" s="14" t="s">
        <v>229</v>
      </c>
      <c r="L85" s="14" t="s">
        <v>233</v>
      </c>
      <c r="M85" s="14"/>
      <c r="N85" s="14"/>
      <c r="O85" s="14"/>
      <c r="P85" s="42" t="n">
        <v>39.53</v>
      </c>
      <c r="Q85" s="42" t="n">
        <v>34.5</v>
      </c>
      <c r="R85" s="53" t="n">
        <f aca="false">INT(B85)</f>
        <v>46014</v>
      </c>
      <c r="S85" s="14" t="n">
        <f aca="false">IF(AND(I85=TRUE(),COUNTIFS($R$5:R85,R85,$I$5:I85,TRUE())=1),1,0)</f>
        <v>0</v>
      </c>
      <c r="T85" s="71" t="n">
        <v>0.4</v>
      </c>
      <c r="U85" s="42" t="n">
        <v>38.33</v>
      </c>
      <c r="V85" s="42" t="n">
        <v>20.0475996</v>
      </c>
      <c r="W85" s="42" t="n">
        <f aca="false">SUM(Z85:AE85)</f>
        <v>5.03</v>
      </c>
      <c r="X85" s="14" t="s">
        <v>106</v>
      </c>
      <c r="Y85" s="53" t="n">
        <v>46013</v>
      </c>
      <c r="Z85" s="42" t="n">
        <v>1.2</v>
      </c>
      <c r="AA85" s="42" t="n">
        <v>0</v>
      </c>
      <c r="AB85" s="42" t="n">
        <v>0</v>
      </c>
      <c r="AC85" s="42" t="n">
        <v>0</v>
      </c>
      <c r="AD85" s="42" t="n">
        <v>3.83</v>
      </c>
      <c r="AE85" s="42" t="n">
        <v>0</v>
      </c>
      <c r="AF85" s="14" t="n">
        <f aca="false">IF(AND(E85&gt;0,COUNTIFS($R$5:R85,R85,$E$5:E85,"&gt;0")=1),1,0)</f>
        <v>1</v>
      </c>
      <c r="AG85" s="14" t="n">
        <f aca="false">IF(AND(E85&gt;0,COUNTIFS($R$5:R85,R85,$K$5:K85,K85,$E$5:E85,"&gt;0")=1),1,0)</f>
        <v>1</v>
      </c>
    </row>
    <row r="86" customFormat="false" ht="15" hidden="false" customHeight="false" outlineLevel="0" collapsed="false">
      <c r="A86" s="17" t="n">
        <v>4721588251</v>
      </c>
      <c r="B86" s="79" t="n">
        <v>46017.9050694444</v>
      </c>
      <c r="C86" s="79" t="n">
        <v>46017.9057291667</v>
      </c>
      <c r="D86" s="39" t="n">
        <v>0.0158333333333333</v>
      </c>
      <c r="E86" s="39" t="n">
        <v>0</v>
      </c>
      <c r="F86" s="39" t="n">
        <v>0</v>
      </c>
      <c r="G86" s="17" t="s">
        <v>67</v>
      </c>
      <c r="H86" s="80" t="b">
        <f aca="false">FALSE()</f>
        <v>0</v>
      </c>
      <c r="I86" s="80" t="b">
        <f aca="false">FALSE()</f>
        <v>0</v>
      </c>
      <c r="J86" s="81"/>
      <c r="K86" s="17" t="s">
        <v>229</v>
      </c>
      <c r="L86" s="17" t="s">
        <v>226</v>
      </c>
      <c r="M86" s="17"/>
      <c r="N86" s="17"/>
      <c r="O86" s="17"/>
      <c r="P86" s="44"/>
      <c r="Q86" s="44"/>
      <c r="R86" s="54" t="n">
        <f aca="false">INT(B86)</f>
        <v>46017</v>
      </c>
      <c r="S86" s="17" t="n">
        <f aca="false">IF(AND(I86=TRUE(),COUNTIFS($R$5:R86,R86,$I$5:I86,TRUE())=1),1,0)</f>
        <v>0</v>
      </c>
      <c r="T86" s="73"/>
      <c r="U86" s="44"/>
      <c r="V86" s="44"/>
      <c r="W86" s="44" t="n">
        <f aca="false">SUM(Z86:AE86)</f>
        <v>0</v>
      </c>
      <c r="X86" s="17" t="s">
        <v>109</v>
      </c>
      <c r="Y86" s="54" t="n">
        <v>46013</v>
      </c>
      <c r="Z86" s="44"/>
      <c r="AA86" s="44"/>
      <c r="AB86" s="44"/>
      <c r="AC86" s="44"/>
      <c r="AD86" s="44"/>
      <c r="AE86" s="44"/>
      <c r="AF86" s="17" t="n">
        <f aca="false">IF(AND(E86&gt;0,COUNTIFS($R$5:R86,R86,$E$5:E86,"&gt;0")=1),1,0)</f>
        <v>0</v>
      </c>
      <c r="AG86" s="17" t="n">
        <f aca="false">IF(AND(E86&gt;0,COUNTIFS($R$5:R86,R86,$K$5:K86,K86,$E$5:E86,"&gt;0")=1),1,0)</f>
        <v>0</v>
      </c>
    </row>
    <row r="87" customFormat="false" ht="15" hidden="false" customHeight="false" outlineLevel="0" collapsed="false">
      <c r="A87" s="14" t="n">
        <v>4721591431</v>
      </c>
      <c r="B87" s="77" t="n">
        <v>46017.9061342593</v>
      </c>
      <c r="C87" s="77" t="n">
        <v>46017.907662037</v>
      </c>
      <c r="D87" s="38" t="n">
        <v>0.0366666666666666</v>
      </c>
      <c r="E87" s="38" t="n">
        <v>0</v>
      </c>
      <c r="F87" s="38" t="n">
        <v>0</v>
      </c>
      <c r="G87" s="14" t="s">
        <v>67</v>
      </c>
      <c r="H87" s="78" t="b">
        <f aca="false">FALSE()</f>
        <v>0</v>
      </c>
      <c r="I87" s="78" t="b">
        <f aca="false">FALSE()</f>
        <v>0</v>
      </c>
      <c r="J87" s="55"/>
      <c r="K87" s="14" t="s">
        <v>229</v>
      </c>
      <c r="L87" s="14" t="s">
        <v>226</v>
      </c>
      <c r="M87" s="14"/>
      <c r="N87" s="14"/>
      <c r="O87" s="14"/>
      <c r="P87" s="42"/>
      <c r="Q87" s="42"/>
      <c r="R87" s="53" t="n">
        <f aca="false">INT(B87)</f>
        <v>46017</v>
      </c>
      <c r="S87" s="14" t="n">
        <f aca="false">IF(AND(I87=TRUE(),COUNTIFS($R$5:R87,R87,$I$5:I87,TRUE())=1),1,0)</f>
        <v>0</v>
      </c>
      <c r="T87" s="71"/>
      <c r="U87" s="42"/>
      <c r="V87" s="42"/>
      <c r="W87" s="42" t="n">
        <f aca="false">SUM(Z87:AE87)</f>
        <v>0</v>
      </c>
      <c r="X87" s="14" t="s">
        <v>109</v>
      </c>
      <c r="Y87" s="53" t="n">
        <v>46013</v>
      </c>
      <c r="Z87" s="42"/>
      <c r="AA87" s="42"/>
      <c r="AB87" s="42"/>
      <c r="AC87" s="42"/>
      <c r="AD87" s="42"/>
      <c r="AE87" s="42"/>
      <c r="AF87" s="14" t="n">
        <f aca="false">IF(AND(E87&gt;0,COUNTIFS($R$5:R87,R87,$E$5:E87,"&gt;0")=1),1,0)</f>
        <v>0</v>
      </c>
      <c r="AG87" s="14" t="n">
        <f aca="false">IF(AND(E87&gt;0,COUNTIFS($R$5:R87,R87,$K$5:K87,K87,$E$5:E87,"&gt;0")=1),1,0)</f>
        <v>0</v>
      </c>
    </row>
    <row r="88" customFormat="false" ht="15" hidden="false" customHeight="false" outlineLevel="0" collapsed="false">
      <c r="A88" s="17" t="n">
        <v>4721599241</v>
      </c>
      <c r="B88" s="79" t="n">
        <v>46017.9074189815</v>
      </c>
      <c r="C88" s="79" t="n">
        <v>46017.90875</v>
      </c>
      <c r="D88" s="39" t="n">
        <v>0.0319444444444444</v>
      </c>
      <c r="E88" s="39" t="n">
        <v>0</v>
      </c>
      <c r="F88" s="39" t="n">
        <v>0</v>
      </c>
      <c r="G88" s="17" t="s">
        <v>67</v>
      </c>
      <c r="H88" s="80" t="b">
        <f aca="false">FALSE()</f>
        <v>0</v>
      </c>
      <c r="I88" s="80" t="b">
        <f aca="false">FALSE()</f>
        <v>0</v>
      </c>
      <c r="J88" s="81"/>
      <c r="K88" s="17" t="s">
        <v>225</v>
      </c>
      <c r="L88" s="17" t="s">
        <v>226</v>
      </c>
      <c r="M88" s="17"/>
      <c r="N88" s="17"/>
      <c r="O88" s="17"/>
      <c r="P88" s="44"/>
      <c r="Q88" s="44"/>
      <c r="R88" s="54" t="n">
        <f aca="false">INT(B88)</f>
        <v>46017</v>
      </c>
      <c r="S88" s="17" t="n">
        <f aca="false">IF(AND(I88=TRUE(),COUNTIFS($R$5:R88,R88,$I$5:I88,TRUE())=1),1,0)</f>
        <v>0</v>
      </c>
      <c r="T88" s="73"/>
      <c r="U88" s="44"/>
      <c r="V88" s="44"/>
      <c r="W88" s="44" t="n">
        <f aca="false">SUM(Z88:AE88)</f>
        <v>0</v>
      </c>
      <c r="X88" s="17" t="s">
        <v>109</v>
      </c>
      <c r="Y88" s="54" t="n">
        <v>46013</v>
      </c>
      <c r="Z88" s="44"/>
      <c r="AA88" s="44"/>
      <c r="AB88" s="44"/>
      <c r="AC88" s="44"/>
      <c r="AD88" s="44"/>
      <c r="AE88" s="44"/>
      <c r="AF88" s="17" t="n">
        <f aca="false">IF(AND(E88&gt;0,COUNTIFS($R$5:R88,R88,$E$5:E88,"&gt;0")=1),1,0)</f>
        <v>0</v>
      </c>
      <c r="AG88" s="17" t="n">
        <f aca="false">IF(AND(E88&gt;0,COUNTIFS($R$5:R88,R88,$K$5:K88,K88,$E$5:E88,"&gt;0")=1),1,0)</f>
        <v>0</v>
      </c>
    </row>
    <row r="89" customFormat="false" ht="15" hidden="false" customHeight="false" outlineLevel="0" collapsed="false">
      <c r="A89" s="14" t="n">
        <v>4721839241</v>
      </c>
      <c r="B89" s="77" t="n">
        <v>46017.9878125</v>
      </c>
      <c r="C89" s="77" t="n">
        <v>46018.0021527778</v>
      </c>
      <c r="D89" s="38" t="n">
        <v>0.344166666666667</v>
      </c>
      <c r="E89" s="38" t="n">
        <v>19.7619</v>
      </c>
      <c r="F89" s="38" t="n">
        <v>61.931</v>
      </c>
      <c r="G89" s="14" t="s">
        <v>68</v>
      </c>
      <c r="H89" s="78" t="b">
        <f aca="false">TRUE()</f>
        <v>1</v>
      </c>
      <c r="I89" s="78" t="b">
        <f aca="false">TRUE()</f>
        <v>1</v>
      </c>
      <c r="J89" s="55" t="n">
        <v>1</v>
      </c>
      <c r="K89" s="14" t="s">
        <v>229</v>
      </c>
      <c r="L89" s="14" t="s">
        <v>233</v>
      </c>
      <c r="M89" s="14"/>
      <c r="N89" s="14"/>
      <c r="O89" s="14"/>
      <c r="P89" s="42" t="n">
        <v>9.75</v>
      </c>
      <c r="Q89" s="42" t="n">
        <v>8.35</v>
      </c>
      <c r="R89" s="53" t="n">
        <f aca="false">INT(B89)</f>
        <v>46017</v>
      </c>
      <c r="S89" s="14" t="n">
        <f aca="false">IF(AND(I89=TRUE(),COUNTIFS($R$5:R89,R89,$I$5:I89,TRUE())=1),1,0)</f>
        <v>1</v>
      </c>
      <c r="T89" s="71" t="n">
        <v>0.4</v>
      </c>
      <c r="U89" s="42" t="n">
        <v>9.28</v>
      </c>
      <c r="V89" s="42" t="n">
        <v>7.90476</v>
      </c>
      <c r="W89" s="42" t="n">
        <f aca="false">SUM(Z89:AE89)</f>
        <v>1.4</v>
      </c>
      <c r="X89" s="14" t="s">
        <v>109</v>
      </c>
      <c r="Y89" s="53" t="n">
        <v>46013</v>
      </c>
      <c r="Z89" s="42" t="n">
        <v>0.47</v>
      </c>
      <c r="AA89" s="42" t="n">
        <v>0</v>
      </c>
      <c r="AB89" s="42" t="n">
        <v>0</v>
      </c>
      <c r="AC89" s="42" t="n">
        <v>0</v>
      </c>
      <c r="AD89" s="42" t="n">
        <v>0.93</v>
      </c>
      <c r="AE89" s="42" t="n">
        <v>0</v>
      </c>
      <c r="AF89" s="14" t="n">
        <f aca="false">IF(AND(E89&gt;0,COUNTIFS($R$5:R89,R89,$E$5:E89,"&gt;0")=1),1,0)</f>
        <v>1</v>
      </c>
      <c r="AG89" s="14" t="n">
        <f aca="false">IF(AND(E89&gt;0,COUNTIFS($R$5:R89,R89,$K$5:K89,K89,$E$5:E89,"&gt;0")=1),1,0)</f>
        <v>1</v>
      </c>
    </row>
    <row r="90" customFormat="false" ht="15" hidden="false" customHeight="false" outlineLevel="0" collapsed="false">
      <c r="A90" s="17" t="n">
        <v>4722921421</v>
      </c>
      <c r="B90" s="79" t="n">
        <v>46018.6693634259</v>
      </c>
      <c r="C90" s="79" t="n">
        <v>46018.7036342593</v>
      </c>
      <c r="D90" s="39" t="n">
        <v>0.8225</v>
      </c>
      <c r="E90" s="39" t="n">
        <v>38.716202</v>
      </c>
      <c r="F90" s="39" t="n">
        <v>53.549</v>
      </c>
      <c r="G90" s="17" t="s">
        <v>66</v>
      </c>
      <c r="H90" s="80" t="b">
        <f aca="false">TRUE()</f>
        <v>1</v>
      </c>
      <c r="I90" s="80" t="b">
        <f aca="false">FALSE()</f>
        <v>0</v>
      </c>
      <c r="J90" s="81" t="n">
        <v>1</v>
      </c>
      <c r="K90" s="17" t="s">
        <v>229</v>
      </c>
      <c r="L90" s="17" t="s">
        <v>226</v>
      </c>
      <c r="M90" s="17" t="s">
        <v>275</v>
      </c>
      <c r="N90" s="17"/>
      <c r="O90" s="17" t="s">
        <v>262</v>
      </c>
      <c r="P90" s="44" t="n">
        <v>19.71</v>
      </c>
      <c r="Q90" s="44" t="n">
        <v>16.9</v>
      </c>
      <c r="R90" s="54" t="n">
        <f aca="false">INT(B90)</f>
        <v>46018</v>
      </c>
      <c r="S90" s="17" t="n">
        <f aca="false">IF(AND(I90=TRUE(),COUNTIFS($R$5:R90,R90,$I$5:I90,TRUE())=1),1,0)</f>
        <v>0</v>
      </c>
      <c r="T90" s="73" t="n">
        <v>0.4</v>
      </c>
      <c r="U90" s="44" t="n">
        <v>18.78</v>
      </c>
      <c r="V90" s="44" t="n">
        <v>15.4864808</v>
      </c>
      <c r="W90" s="44" t="n">
        <f aca="false">SUM(Z90:AE90)</f>
        <v>2.81</v>
      </c>
      <c r="X90" s="17" t="s">
        <v>110</v>
      </c>
      <c r="Y90" s="54" t="n">
        <v>46013</v>
      </c>
      <c r="Z90" s="44" t="n">
        <v>0.93</v>
      </c>
      <c r="AA90" s="44" t="n">
        <v>0</v>
      </c>
      <c r="AB90" s="44" t="n">
        <v>0</v>
      </c>
      <c r="AC90" s="44" t="n">
        <v>0</v>
      </c>
      <c r="AD90" s="44" t="n">
        <v>1.88</v>
      </c>
      <c r="AE90" s="44" t="n">
        <v>0</v>
      </c>
      <c r="AF90" s="17" t="n">
        <f aca="false">IF(AND(E90&gt;0,COUNTIFS($R$5:R90,R90,$E$5:E90,"&gt;0")=1),1,0)</f>
        <v>1</v>
      </c>
      <c r="AG90" s="17" t="n">
        <f aca="false">IF(AND(E90&gt;0,COUNTIFS($R$5:R90,R90,$K$5:K90,K90,$E$5:E90,"&gt;0")=1),1,0)</f>
        <v>1</v>
      </c>
    </row>
    <row r="91" customFormat="false" ht="15" hidden="false" customHeight="false" outlineLevel="0" collapsed="false">
      <c r="A91" s="14" t="n">
        <v>4723077581</v>
      </c>
      <c r="B91" s="77" t="n">
        <v>46018.7348263889</v>
      </c>
      <c r="C91" s="77" t="n">
        <v>46018.7896990741</v>
      </c>
      <c r="D91" s="38" t="n">
        <v>1.31694444444444</v>
      </c>
      <c r="E91" s="38" t="n">
        <v>42.318802</v>
      </c>
      <c r="F91" s="38" t="n">
        <v>53.639</v>
      </c>
      <c r="G91" s="14" t="s">
        <v>66</v>
      </c>
      <c r="H91" s="78" t="b">
        <f aca="false">TRUE()</f>
        <v>1</v>
      </c>
      <c r="I91" s="78" t="b">
        <f aca="false">FALSE()</f>
        <v>0</v>
      </c>
      <c r="J91" s="55" t="n">
        <v>1</v>
      </c>
      <c r="K91" s="14" t="s">
        <v>229</v>
      </c>
      <c r="L91" s="14" t="s">
        <v>233</v>
      </c>
      <c r="M91" s="14"/>
      <c r="N91" s="14"/>
      <c r="O91" s="14"/>
      <c r="P91" s="42" t="n">
        <v>23.22</v>
      </c>
      <c r="Q91" s="42" t="n">
        <v>19.98</v>
      </c>
      <c r="R91" s="53" t="n">
        <f aca="false">INT(B91)</f>
        <v>46018</v>
      </c>
      <c r="S91" s="14" t="n">
        <f aca="false">IF(AND(I91=TRUE(),COUNTIFS($R$5:R91,R91,$I$5:I91,TRUE())=1),1,0)</f>
        <v>0</v>
      </c>
      <c r="T91" s="71" t="n">
        <v>0.4</v>
      </c>
      <c r="U91" s="42" t="n">
        <v>22.2</v>
      </c>
      <c r="V91" s="42" t="n">
        <v>16.9275208</v>
      </c>
      <c r="W91" s="42" t="n">
        <f aca="false">SUM(Z91:AE91)</f>
        <v>3.24</v>
      </c>
      <c r="X91" s="14" t="s">
        <v>110</v>
      </c>
      <c r="Y91" s="53" t="n">
        <v>46013</v>
      </c>
      <c r="Z91" s="42" t="n">
        <v>1.02</v>
      </c>
      <c r="AA91" s="42" t="n">
        <v>0</v>
      </c>
      <c r="AB91" s="42" t="n">
        <v>0</v>
      </c>
      <c r="AC91" s="42" t="n">
        <v>0</v>
      </c>
      <c r="AD91" s="42" t="n">
        <v>2.22</v>
      </c>
      <c r="AE91" s="42" t="n">
        <v>0</v>
      </c>
      <c r="AF91" s="14" t="n">
        <f aca="false">IF(AND(E91&gt;0,COUNTIFS($R$5:R91,R91,$E$5:E91,"&gt;0")=1),1,0)</f>
        <v>0</v>
      </c>
      <c r="AG91" s="14" t="n">
        <f aca="false">IF(AND(E91&gt;0,COUNTIFS($R$5:R91,R91,$K$5:K91,K91,$E$5:E91,"&gt;0")=1),1,0)</f>
        <v>0</v>
      </c>
    </row>
    <row r="92" customFormat="false" ht="15" hidden="false" customHeight="false" outlineLevel="0" collapsed="false">
      <c r="A92" s="17" t="n">
        <v>4724893031</v>
      </c>
      <c r="B92" s="79" t="n">
        <v>46019.6862037037</v>
      </c>
      <c r="C92" s="79" t="n">
        <v>46019.7177083333</v>
      </c>
      <c r="D92" s="39" t="n">
        <v>0.756111111111111</v>
      </c>
      <c r="E92" s="39" t="n">
        <v>18.436001</v>
      </c>
      <c r="F92" s="39" t="n">
        <v>41.327</v>
      </c>
      <c r="G92" s="17" t="s">
        <v>66</v>
      </c>
      <c r="H92" s="80" t="b">
        <f aca="false">TRUE()</f>
        <v>1</v>
      </c>
      <c r="I92" s="80" t="b">
        <f aca="false">FALSE()</f>
        <v>0</v>
      </c>
      <c r="J92" s="81" t="n">
        <v>1</v>
      </c>
      <c r="K92" s="17" t="s">
        <v>229</v>
      </c>
      <c r="L92" s="17" t="s">
        <v>233</v>
      </c>
      <c r="M92" s="17"/>
      <c r="N92" s="17"/>
      <c r="O92" s="17"/>
      <c r="P92" s="44" t="n">
        <v>10.83</v>
      </c>
      <c r="Q92" s="44" t="n">
        <v>9.35</v>
      </c>
      <c r="R92" s="54" t="n">
        <f aca="false">INT(B92)</f>
        <v>46019</v>
      </c>
      <c r="S92" s="17" t="n">
        <f aca="false">IF(AND(I92=TRUE(),COUNTIFS($R$5:R92,R92,$I$5:I92,TRUE())=1),1,0)</f>
        <v>0</v>
      </c>
      <c r="T92" s="73" t="n">
        <v>0.4</v>
      </c>
      <c r="U92" s="44" t="n">
        <v>10.39</v>
      </c>
      <c r="V92" s="44" t="n">
        <v>7.3744004</v>
      </c>
      <c r="W92" s="44" t="n">
        <f aca="false">SUM(Z92:AE92)</f>
        <v>1.48</v>
      </c>
      <c r="X92" s="17" t="s">
        <v>111</v>
      </c>
      <c r="Y92" s="54" t="n">
        <v>46013</v>
      </c>
      <c r="Z92" s="44" t="n">
        <v>0.44</v>
      </c>
      <c r="AA92" s="44" t="n">
        <v>0</v>
      </c>
      <c r="AB92" s="44" t="n">
        <v>0</v>
      </c>
      <c r="AC92" s="44" t="n">
        <v>0</v>
      </c>
      <c r="AD92" s="44" t="n">
        <v>1.04</v>
      </c>
      <c r="AE92" s="44" t="n">
        <v>0</v>
      </c>
      <c r="AF92" s="17" t="n">
        <f aca="false">IF(AND(E92&gt;0,COUNTIFS($R$5:R92,R92,$E$5:E92,"&gt;0")=1),1,0)</f>
        <v>1</v>
      </c>
      <c r="AG92" s="17" t="n">
        <f aca="false">IF(AND(E92&gt;0,COUNTIFS($R$5:R92,R92,$K$5:K92,K92,$E$5:E92,"&gt;0")=1),1,0)</f>
        <v>1</v>
      </c>
    </row>
    <row r="93" customFormat="false" ht="15" hidden="false" customHeight="false" outlineLevel="0" collapsed="false">
      <c r="A93" s="14" t="n">
        <v>4727829791</v>
      </c>
      <c r="B93" s="77" t="n">
        <v>46020.9270717593</v>
      </c>
      <c r="C93" s="77" t="n">
        <v>46020.964849537</v>
      </c>
      <c r="D93" s="38" t="n">
        <v>0.906666666666667</v>
      </c>
      <c r="E93" s="38" t="n">
        <v>30.217699</v>
      </c>
      <c r="F93" s="38" t="n">
        <v>39.055</v>
      </c>
      <c r="G93" s="14" t="s">
        <v>68</v>
      </c>
      <c r="H93" s="78" t="b">
        <f aca="false">TRUE()</f>
        <v>1</v>
      </c>
      <c r="I93" s="78" t="b">
        <f aca="false">TRUE()</f>
        <v>1</v>
      </c>
      <c r="J93" s="55" t="n">
        <v>0.666666666666667</v>
      </c>
      <c r="K93" s="14" t="s">
        <v>229</v>
      </c>
      <c r="L93" s="14" t="s">
        <v>226</v>
      </c>
      <c r="M93" s="14" t="s">
        <v>276</v>
      </c>
      <c r="N93" s="14"/>
      <c r="O93" s="14" t="s">
        <v>259</v>
      </c>
      <c r="P93" s="42" t="n">
        <v>11.89</v>
      </c>
      <c r="Q93" s="42" t="n">
        <v>10.28</v>
      </c>
      <c r="R93" s="53" t="n">
        <f aca="false">INT(B93)</f>
        <v>46020</v>
      </c>
      <c r="S93" s="14" t="n">
        <f aca="false">IF(AND(I93=TRUE(),COUNTIFS($R$5:R93,R93,$I$5:I93,TRUE())=1),1,0)</f>
        <v>1</v>
      </c>
      <c r="T93" s="71" t="n">
        <v>0.4</v>
      </c>
      <c r="U93" s="42" t="n">
        <v>11.42</v>
      </c>
      <c r="V93" s="42" t="n">
        <v>12.0870796</v>
      </c>
      <c r="W93" s="42" t="n">
        <f aca="false">SUM(Z93:AE93)</f>
        <v>1.61</v>
      </c>
      <c r="X93" s="14" t="s">
        <v>105</v>
      </c>
      <c r="Y93" s="53" t="n">
        <v>46020</v>
      </c>
      <c r="Z93" s="42" t="n">
        <v>0.47</v>
      </c>
      <c r="AA93" s="42" t="n">
        <v>0</v>
      </c>
      <c r="AB93" s="42" t="n">
        <v>0</v>
      </c>
      <c r="AC93" s="42" t="n">
        <v>0</v>
      </c>
      <c r="AD93" s="42" t="n">
        <v>1.14</v>
      </c>
      <c r="AE93" s="42" t="n">
        <v>0</v>
      </c>
      <c r="AF93" s="14" t="n">
        <f aca="false">IF(AND(E93&gt;0,COUNTIFS($R$5:R93,R93,$E$5:E93,"&gt;0")=1),1,0)</f>
        <v>1</v>
      </c>
      <c r="AG93" s="14" t="n">
        <f aca="false">IF(AND(E93&gt;0,COUNTIFS($R$5:R93,R93,$K$5:K93,K93,$E$5:E93,"&gt;0")=1),1,0)</f>
        <v>1</v>
      </c>
    </row>
    <row r="94" customFormat="false" ht="15" hidden="false" customHeight="false" outlineLevel="0" collapsed="false">
      <c r="A94" s="17" t="n">
        <v>4733856691</v>
      </c>
      <c r="B94" s="79" t="n">
        <v>46023.3826273148</v>
      </c>
      <c r="C94" s="79" t="n">
        <v>46023.3832986111</v>
      </c>
      <c r="D94" s="39" t="n">
        <v>0.0161111111111111</v>
      </c>
      <c r="E94" s="39" t="n">
        <v>0</v>
      </c>
      <c r="F94" s="39" t="n">
        <v>0</v>
      </c>
      <c r="G94" s="17" t="s">
        <v>65</v>
      </c>
      <c r="H94" s="80" t="b">
        <f aca="false">FALSE()</f>
        <v>0</v>
      </c>
      <c r="I94" s="80" t="b">
        <f aca="false">FALSE()</f>
        <v>0</v>
      </c>
      <c r="J94" s="81"/>
      <c r="K94" s="17" t="s">
        <v>229</v>
      </c>
      <c r="L94" s="17" t="s">
        <v>226</v>
      </c>
      <c r="M94" s="17"/>
      <c r="N94" s="17"/>
      <c r="O94" s="17"/>
      <c r="P94" s="44"/>
      <c r="Q94" s="44"/>
      <c r="R94" s="54" t="n">
        <f aca="false">INT(B94)</f>
        <v>46023</v>
      </c>
      <c r="S94" s="17" t="n">
        <f aca="false">IF(AND(I94=TRUE(),COUNTIFS($R$5:R94,R94,$I$5:I94,TRUE())=1),1,0)</f>
        <v>0</v>
      </c>
      <c r="T94" s="73"/>
      <c r="U94" s="44"/>
      <c r="V94" s="44"/>
      <c r="W94" s="44" t="n">
        <f aca="false">SUM(Z94:AE94)</f>
        <v>0</v>
      </c>
      <c r="X94" s="17" t="s">
        <v>108</v>
      </c>
      <c r="Y94" s="54" t="n">
        <v>46020</v>
      </c>
      <c r="Z94" s="44"/>
      <c r="AA94" s="44"/>
      <c r="AB94" s="44"/>
      <c r="AC94" s="44"/>
      <c r="AD94" s="44"/>
      <c r="AE94" s="44"/>
      <c r="AF94" s="17" t="n">
        <f aca="false">IF(AND(E94&gt;0,COUNTIFS($R$5:R94,R94,$E$5:E94,"&gt;0")=1),1,0)</f>
        <v>0</v>
      </c>
      <c r="AG94" s="17" t="n">
        <f aca="false">IF(AND(E94&gt;0,COUNTIFS($R$5:R94,R94,$K$5:K94,K94,$E$5:E94,"&gt;0")=1),1,0)</f>
        <v>0</v>
      </c>
    </row>
    <row r="95" customFormat="false" ht="15" hidden="false" customHeight="false" outlineLevel="0" collapsed="false">
      <c r="A95" s="14" t="n">
        <v>4733857311</v>
      </c>
      <c r="B95" s="77" t="n">
        <v>46023.3835763889</v>
      </c>
      <c r="C95" s="77" t="n">
        <v>46023.3945601852</v>
      </c>
      <c r="D95" s="38" t="n">
        <v>0.263611111111111</v>
      </c>
      <c r="E95" s="38" t="n">
        <v>12.3724</v>
      </c>
      <c r="F95" s="38" t="n">
        <v>48.125</v>
      </c>
      <c r="G95" s="14" t="s">
        <v>65</v>
      </c>
      <c r="H95" s="78" t="b">
        <f aca="false">TRUE()</f>
        <v>1</v>
      </c>
      <c r="I95" s="78" t="b">
        <f aca="false">FALSE()</f>
        <v>0</v>
      </c>
      <c r="J95" s="55" t="n">
        <v>1</v>
      </c>
      <c r="K95" s="14" t="s">
        <v>229</v>
      </c>
      <c r="L95" s="14" t="s">
        <v>226</v>
      </c>
      <c r="M95" s="14" t="s">
        <v>277</v>
      </c>
      <c r="N95" s="14" t="s">
        <v>278</v>
      </c>
      <c r="O95" s="14" t="s">
        <v>279</v>
      </c>
      <c r="P95" s="42" t="n">
        <v>6.36</v>
      </c>
      <c r="Q95" s="42" t="n">
        <v>5.4</v>
      </c>
      <c r="R95" s="53" t="n">
        <f aca="false">INT(B95)</f>
        <v>46023</v>
      </c>
      <c r="S95" s="14" t="n">
        <f aca="false">IF(AND(I95=TRUE(),COUNTIFS($R$5:R95,R95,$I$5:I95,TRUE())=1),1,0)</f>
        <v>0</v>
      </c>
      <c r="T95" s="71" t="n">
        <v>0.4</v>
      </c>
      <c r="U95" s="42" t="n">
        <v>6</v>
      </c>
      <c r="V95" s="42" t="n">
        <v>4.94896</v>
      </c>
      <c r="W95" s="42" t="n">
        <f aca="false">SUM(Z95:AE95)</f>
        <v>0.96</v>
      </c>
      <c r="X95" s="14" t="s">
        <v>108</v>
      </c>
      <c r="Y95" s="53" t="n">
        <v>46020</v>
      </c>
      <c r="Z95" s="42" t="n">
        <v>0.36</v>
      </c>
      <c r="AA95" s="42" t="n">
        <v>0</v>
      </c>
      <c r="AB95" s="42" t="n">
        <v>0</v>
      </c>
      <c r="AC95" s="42" t="n">
        <v>0</v>
      </c>
      <c r="AD95" s="42" t="n">
        <v>0.6</v>
      </c>
      <c r="AE95" s="42" t="n">
        <v>0</v>
      </c>
      <c r="AF95" s="14" t="n">
        <f aca="false">IF(AND(E95&gt;0,COUNTIFS($R$5:R95,R95,$E$5:E95,"&gt;0")=1),1,0)</f>
        <v>1</v>
      </c>
      <c r="AG95" s="14" t="n">
        <f aca="false">IF(AND(E95&gt;0,COUNTIFS($R$5:R95,R95,$K$5:K95,K95,$E$5:E95,"&gt;0")=1),1,0)</f>
        <v>1</v>
      </c>
    </row>
    <row r="96" customFormat="false" ht="15" hidden="false" customHeight="false" outlineLevel="0" collapsed="false">
      <c r="A96" s="17" t="n">
        <v>4741403081</v>
      </c>
      <c r="B96" s="79" t="n">
        <v>46027.0339351852</v>
      </c>
      <c r="C96" s="79" t="n">
        <v>46027.0437731482</v>
      </c>
      <c r="D96" s="39" t="n">
        <v>0.236111111111111</v>
      </c>
      <c r="E96" s="39" t="n">
        <v>13.1661</v>
      </c>
      <c r="F96" s="39" t="n">
        <v>59.436</v>
      </c>
      <c r="G96" s="17" t="s">
        <v>68</v>
      </c>
      <c r="H96" s="80" t="b">
        <f aca="false">TRUE()</f>
        <v>1</v>
      </c>
      <c r="I96" s="80" t="b">
        <f aca="false">TRUE()</f>
        <v>1</v>
      </c>
      <c r="J96" s="81" t="n">
        <v>1</v>
      </c>
      <c r="K96" s="17" t="s">
        <v>229</v>
      </c>
      <c r="L96" s="17" t="s">
        <v>233</v>
      </c>
      <c r="M96" s="17"/>
      <c r="N96" s="17"/>
      <c r="O96" s="17"/>
      <c r="P96" s="44" t="n">
        <v>6.59</v>
      </c>
      <c r="Q96" s="44" t="n">
        <v>5.59</v>
      </c>
      <c r="R96" s="54" t="n">
        <f aca="false">INT(B96)</f>
        <v>46027</v>
      </c>
      <c r="S96" s="17" t="n">
        <f aca="false">IF(AND(I96=TRUE(),COUNTIFS($R$5:R96,R96,$I$5:I96,TRUE())=1),1,0)</f>
        <v>1</v>
      </c>
      <c r="T96" s="73" t="n">
        <v>0.4</v>
      </c>
      <c r="U96" s="44" t="n">
        <v>6.21</v>
      </c>
      <c r="V96" s="44" t="n">
        <v>5.26644</v>
      </c>
      <c r="W96" s="44" t="n">
        <f aca="false">SUM(Z96:AE96)</f>
        <v>1</v>
      </c>
      <c r="X96" s="17" t="s">
        <v>105</v>
      </c>
      <c r="Y96" s="54" t="n">
        <v>46027</v>
      </c>
      <c r="Z96" s="44" t="n">
        <v>0.38</v>
      </c>
      <c r="AA96" s="44" t="n">
        <v>0</v>
      </c>
      <c r="AB96" s="44" t="n">
        <v>0</v>
      </c>
      <c r="AC96" s="44" t="n">
        <v>0</v>
      </c>
      <c r="AD96" s="44" t="n">
        <v>0.62</v>
      </c>
      <c r="AE96" s="44" t="n">
        <v>0</v>
      </c>
      <c r="AF96" s="17" t="n">
        <f aca="false">IF(AND(E96&gt;0,COUNTIFS($R$5:R96,R96,$E$5:E96,"&gt;0")=1),1,0)</f>
        <v>1</v>
      </c>
      <c r="AG96" s="17" t="n">
        <f aca="false">IF(AND(E96&gt;0,COUNTIFS($R$5:R96,R96,$K$5:K96,K96,$E$5:E96,"&gt;0")=1),1,0)</f>
        <v>1</v>
      </c>
    </row>
    <row r="97" customFormat="false" ht="15" hidden="false" customHeight="false" outlineLevel="0" collapsed="false">
      <c r="A97" s="14" t="n">
        <v>4761006811</v>
      </c>
      <c r="B97" s="77" t="n">
        <v>46033.8160648148</v>
      </c>
      <c r="C97" s="77" t="n">
        <v>46033.81625</v>
      </c>
      <c r="D97" s="38" t="n">
        <v>0.0044444444444444</v>
      </c>
      <c r="E97" s="38" t="n">
        <v>0</v>
      </c>
      <c r="F97" s="38" t="n">
        <v>0</v>
      </c>
      <c r="G97" s="14" t="s">
        <v>67</v>
      </c>
      <c r="H97" s="78" t="b">
        <f aca="false">FALSE()</f>
        <v>0</v>
      </c>
      <c r="I97" s="78" t="b">
        <f aca="false">FALSE()</f>
        <v>0</v>
      </c>
      <c r="J97" s="55"/>
      <c r="K97" s="14" t="s">
        <v>229</v>
      </c>
      <c r="L97" s="14" t="s">
        <v>226</v>
      </c>
      <c r="M97" s="14"/>
      <c r="N97" s="14"/>
      <c r="O97" s="14"/>
      <c r="P97" s="42"/>
      <c r="Q97" s="42"/>
      <c r="R97" s="53" t="n">
        <f aca="false">INT(B97)</f>
        <v>46033</v>
      </c>
      <c r="S97" s="14" t="n">
        <f aca="false">IF(AND(I97=TRUE(),COUNTIFS($R$5:R97,R97,$I$5:I97,TRUE())=1),1,0)</f>
        <v>0</v>
      </c>
      <c r="T97" s="71"/>
      <c r="U97" s="42"/>
      <c r="V97" s="42"/>
      <c r="W97" s="42" t="n">
        <f aca="false">SUM(Z97:AE97)</f>
        <v>0</v>
      </c>
      <c r="X97" s="14" t="s">
        <v>111</v>
      </c>
      <c r="Y97" s="53" t="n">
        <v>46027</v>
      </c>
      <c r="Z97" s="42"/>
      <c r="AA97" s="42"/>
      <c r="AB97" s="42"/>
      <c r="AC97" s="42"/>
      <c r="AD97" s="42"/>
      <c r="AE97" s="42"/>
      <c r="AF97" s="14" t="n">
        <f aca="false">IF(AND(E97&gt;0,COUNTIFS($R$5:R97,R97,$E$5:E97,"&gt;0")=1),1,0)</f>
        <v>0</v>
      </c>
      <c r="AG97" s="14" t="n">
        <f aca="false">IF(AND(E97&gt;0,COUNTIFS($R$5:R97,R97,$K$5:K97,K97,$E$5:E97,"&gt;0")=1),1,0)</f>
        <v>0</v>
      </c>
    </row>
    <row r="98" customFormat="false" ht="15" hidden="false" customHeight="false" outlineLevel="0" collapsed="false">
      <c r="A98" s="17" t="n">
        <v>4761007781</v>
      </c>
      <c r="B98" s="79" t="n">
        <v>46033.816400463</v>
      </c>
      <c r="C98" s="79" t="n">
        <v>46033.8496990741</v>
      </c>
      <c r="D98" s="39" t="n">
        <v>0.799166666666667</v>
      </c>
      <c r="E98" s="39" t="n">
        <v>40.663502</v>
      </c>
      <c r="F98" s="39" t="n">
        <v>56.472</v>
      </c>
      <c r="G98" s="17" t="s">
        <v>67</v>
      </c>
      <c r="H98" s="80" t="b">
        <f aca="false">TRUE()</f>
        <v>1</v>
      </c>
      <c r="I98" s="80" t="b">
        <f aca="false">FALSE()</f>
        <v>0</v>
      </c>
      <c r="J98" s="81" t="n">
        <v>1</v>
      </c>
      <c r="K98" s="17" t="s">
        <v>229</v>
      </c>
      <c r="L98" s="17" t="s">
        <v>226</v>
      </c>
      <c r="M98" s="17" t="s">
        <v>230</v>
      </c>
      <c r="N98" s="17"/>
      <c r="O98" s="17" t="s">
        <v>228</v>
      </c>
      <c r="P98" s="44" t="n">
        <v>20.64</v>
      </c>
      <c r="Q98" s="44" t="n">
        <v>17.52</v>
      </c>
      <c r="R98" s="54" t="n">
        <f aca="false">INT(B98)</f>
        <v>46033</v>
      </c>
      <c r="S98" s="17" t="n">
        <f aca="false">IF(AND(I98=TRUE(),COUNTIFS($R$5:R98,R98,$I$5:I98,TRUE())=1),1,0)</f>
        <v>0</v>
      </c>
      <c r="T98" s="73" t="n">
        <v>0.4</v>
      </c>
      <c r="U98" s="44" t="n">
        <v>19.47</v>
      </c>
      <c r="V98" s="44" t="n">
        <v>16.2654008</v>
      </c>
      <c r="W98" s="44" t="n">
        <f aca="false">SUM(Z98:AE98)</f>
        <v>3.12</v>
      </c>
      <c r="X98" s="17" t="s">
        <v>111</v>
      </c>
      <c r="Y98" s="54" t="n">
        <v>46027</v>
      </c>
      <c r="Z98" s="44" t="n">
        <v>1.17</v>
      </c>
      <c r="AA98" s="44" t="n">
        <v>0</v>
      </c>
      <c r="AB98" s="44" t="n">
        <v>0</v>
      </c>
      <c r="AC98" s="44" t="n">
        <v>0</v>
      </c>
      <c r="AD98" s="44" t="n">
        <v>1.95</v>
      </c>
      <c r="AE98" s="44" t="n">
        <v>0</v>
      </c>
      <c r="AF98" s="17" t="n">
        <f aca="false">IF(AND(E98&gt;0,COUNTIFS($R$5:R98,R98,$E$5:E98,"&gt;0")=1),1,0)</f>
        <v>1</v>
      </c>
      <c r="AG98" s="17" t="n">
        <f aca="false">IF(AND(E98&gt;0,COUNTIFS($R$5:R98,R98,$K$5:K98,K98,$E$5:E98,"&gt;0")=1),1,0)</f>
        <v>1</v>
      </c>
    </row>
    <row r="99" customFormat="false" ht="15" hidden="false" customHeight="false" outlineLevel="0" collapsed="false">
      <c r="A99" s="14" t="n">
        <v>4777307511</v>
      </c>
      <c r="B99" s="77" t="n">
        <v>46038.8567013889</v>
      </c>
      <c r="C99" s="77" t="n">
        <v>46038.8587615741</v>
      </c>
      <c r="D99" s="38" t="n">
        <v>0.0494444444444444</v>
      </c>
      <c r="E99" s="38" t="n">
        <v>2.0061</v>
      </c>
      <c r="F99" s="38" t="n">
        <v>0</v>
      </c>
      <c r="G99" s="14" t="s">
        <v>67</v>
      </c>
      <c r="H99" s="78" t="b">
        <f aca="false">FALSE()</f>
        <v>0</v>
      </c>
      <c r="I99" s="78" t="b">
        <f aca="false">FALSE()</f>
        <v>0</v>
      </c>
      <c r="J99" s="55"/>
      <c r="K99" s="14" t="s">
        <v>229</v>
      </c>
      <c r="L99" s="14" t="s">
        <v>226</v>
      </c>
      <c r="M99" s="14" t="s">
        <v>230</v>
      </c>
      <c r="N99" s="14"/>
      <c r="O99" s="14" t="s">
        <v>228</v>
      </c>
      <c r="P99" s="42" t="n">
        <v>1.06</v>
      </c>
      <c r="Q99" s="42" t="n">
        <v>0.9</v>
      </c>
      <c r="R99" s="53" t="n">
        <f aca="false">INT(B99)</f>
        <v>46038</v>
      </c>
      <c r="S99" s="14" t="n">
        <f aca="false">IF(AND(I99=TRUE(),COUNTIFS($R$5:R99,R99,$I$5:I99,TRUE())=1),1,0)</f>
        <v>0</v>
      </c>
      <c r="T99" s="71" t="n">
        <v>0.4</v>
      </c>
      <c r="U99" s="42" t="n">
        <v>1</v>
      </c>
      <c r="V99" s="42" t="n">
        <v>0.80244</v>
      </c>
      <c r="W99" s="42" t="n">
        <f aca="false">SUM(Z99:AE99)</f>
        <v>0.16</v>
      </c>
      <c r="X99" s="14" t="s">
        <v>109</v>
      </c>
      <c r="Y99" s="53" t="n">
        <v>46034</v>
      </c>
      <c r="Z99" s="42" t="n">
        <v>0.06</v>
      </c>
      <c r="AA99" s="42" t="n">
        <v>0</v>
      </c>
      <c r="AB99" s="42" t="n">
        <v>0</v>
      </c>
      <c r="AC99" s="42" t="n">
        <v>0</v>
      </c>
      <c r="AD99" s="42" t="n">
        <v>0.1</v>
      </c>
      <c r="AE99" s="42" t="n">
        <v>0</v>
      </c>
      <c r="AF99" s="14" t="n">
        <f aca="false">IF(AND(E99&gt;0,COUNTIFS($R$5:R99,R99,$E$5:E99,"&gt;0")=1),1,0)</f>
        <v>1</v>
      </c>
      <c r="AG99" s="14" t="n">
        <f aca="false">IF(AND(E99&gt;0,COUNTIFS($R$5:R99,R99,$K$5:K99,K99,$E$5:E99,"&gt;0")=1),1,0)</f>
        <v>1</v>
      </c>
    </row>
    <row r="100" customFormat="false" ht="15" hidden="false" customHeight="false" outlineLevel="0" collapsed="false">
      <c r="A100" s="17" t="n">
        <v>4777318221</v>
      </c>
      <c r="B100" s="79" t="n">
        <v>46038.8590046296</v>
      </c>
      <c r="C100" s="79" t="n">
        <v>46038.8657638889</v>
      </c>
      <c r="D100" s="39" t="n">
        <v>0.162222222222222</v>
      </c>
      <c r="E100" s="39" t="n">
        <v>8.3979</v>
      </c>
      <c r="F100" s="39" t="n">
        <v>54.444</v>
      </c>
      <c r="G100" s="17" t="s">
        <v>67</v>
      </c>
      <c r="H100" s="80" t="b">
        <f aca="false">TRUE()</f>
        <v>1</v>
      </c>
      <c r="I100" s="80" t="b">
        <f aca="false">FALSE()</f>
        <v>0</v>
      </c>
      <c r="J100" s="81" t="n">
        <v>1</v>
      </c>
      <c r="K100" s="17" t="s">
        <v>229</v>
      </c>
      <c r="L100" s="17" t="s">
        <v>226</v>
      </c>
      <c r="M100" s="17" t="s">
        <v>230</v>
      </c>
      <c r="N100" s="17"/>
      <c r="O100" s="17" t="s">
        <v>228</v>
      </c>
      <c r="P100" s="44" t="n">
        <v>4.25</v>
      </c>
      <c r="Q100" s="44" t="n">
        <v>3.61</v>
      </c>
      <c r="R100" s="54" t="n">
        <f aca="false">INT(B100)</f>
        <v>46038</v>
      </c>
      <c r="S100" s="17" t="n">
        <f aca="false">IF(AND(I100=TRUE(),COUNTIFS($R$5:R100,R100,$I$5:I100,TRUE())=1),1,0)</f>
        <v>0</v>
      </c>
      <c r="T100" s="73" t="n">
        <v>0.4</v>
      </c>
      <c r="U100" s="44" t="n">
        <v>4.01</v>
      </c>
      <c r="V100" s="44" t="n">
        <v>3.35916</v>
      </c>
      <c r="W100" s="44" t="n">
        <f aca="false">SUM(Z100:AE100)</f>
        <v>0.64</v>
      </c>
      <c r="X100" s="17" t="s">
        <v>109</v>
      </c>
      <c r="Y100" s="54" t="n">
        <v>46034</v>
      </c>
      <c r="Z100" s="44" t="n">
        <v>0.24</v>
      </c>
      <c r="AA100" s="44" t="n">
        <v>0</v>
      </c>
      <c r="AB100" s="44" t="n">
        <v>0</v>
      </c>
      <c r="AC100" s="44" t="n">
        <v>0</v>
      </c>
      <c r="AD100" s="44" t="n">
        <v>0.4</v>
      </c>
      <c r="AE100" s="44" t="n">
        <v>0</v>
      </c>
      <c r="AF100" s="17" t="n">
        <f aca="false">IF(AND(E100&gt;0,COUNTIFS($R$5:R100,R100,$E$5:E100,"&gt;0")=1),1,0)</f>
        <v>0</v>
      </c>
      <c r="AG100" s="17" t="n">
        <f aca="false">IF(AND(E100&gt;0,COUNTIFS($R$5:R100,R100,$K$5:K100,K100,$E$5:E100,"&gt;0")=1),1,0)</f>
        <v>0</v>
      </c>
    </row>
    <row r="101" customFormat="false" ht="15" hidden="false" customHeight="false" outlineLevel="0" collapsed="false">
      <c r="A101" s="14" t="n">
        <v>4779338971</v>
      </c>
      <c r="B101" s="77" t="n">
        <v>46039.6522222222</v>
      </c>
      <c r="C101" s="77" t="n">
        <v>46039.6544097222</v>
      </c>
      <c r="D101" s="38" t="n">
        <v>0.0525</v>
      </c>
      <c r="E101" s="38" t="n">
        <v>0</v>
      </c>
      <c r="F101" s="38" t="n">
        <v>0</v>
      </c>
      <c r="G101" s="14" t="s">
        <v>66</v>
      </c>
      <c r="H101" s="78" t="b">
        <f aca="false">FALSE()</f>
        <v>0</v>
      </c>
      <c r="I101" s="78" t="b">
        <f aca="false">FALSE()</f>
        <v>0</v>
      </c>
      <c r="J101" s="55"/>
      <c r="K101" s="14" t="s">
        <v>229</v>
      </c>
      <c r="L101" s="14" t="s">
        <v>226</v>
      </c>
      <c r="M101" s="14" t="s">
        <v>280</v>
      </c>
      <c r="N101" s="14"/>
      <c r="O101" s="14" t="s">
        <v>228</v>
      </c>
      <c r="P101" s="42" t="n">
        <v>0.22</v>
      </c>
      <c r="Q101" s="42" t="n">
        <v>0.19</v>
      </c>
      <c r="R101" s="53" t="n">
        <f aca="false">INT(B101)</f>
        <v>46039</v>
      </c>
      <c r="S101" s="14" t="n">
        <f aca="false">IF(AND(I101=TRUE(),COUNTIFS($R$5:R101,R101,$I$5:I101,TRUE())=1),1,0)</f>
        <v>0</v>
      </c>
      <c r="T101" s="71" t="n">
        <v>0.4</v>
      </c>
      <c r="U101" s="42" t="n">
        <v>0.21</v>
      </c>
      <c r="V101" s="42" t="n">
        <v>0</v>
      </c>
      <c r="W101" s="42" t="n">
        <f aca="false">SUM(Z101:AE101)</f>
        <v>0.03</v>
      </c>
      <c r="X101" s="14" t="s">
        <v>110</v>
      </c>
      <c r="Y101" s="53" t="n">
        <v>46034</v>
      </c>
      <c r="Z101" s="42" t="n">
        <v>0.01</v>
      </c>
      <c r="AA101" s="42" t="n">
        <v>0</v>
      </c>
      <c r="AB101" s="42" t="n">
        <v>0</v>
      </c>
      <c r="AC101" s="42" t="n">
        <v>0</v>
      </c>
      <c r="AD101" s="42" t="n">
        <v>0.02</v>
      </c>
      <c r="AE101" s="42" t="n">
        <v>0</v>
      </c>
      <c r="AF101" s="14" t="n">
        <f aca="false">IF(AND(E101&gt;0,COUNTIFS($R$5:R101,R101,$E$5:E101,"&gt;0")=1),1,0)</f>
        <v>0</v>
      </c>
      <c r="AG101" s="14" t="n">
        <f aca="false">IF(AND(E101&gt;0,COUNTIFS($R$5:R101,R101,$K$5:K101,K101,$E$5:E101,"&gt;0")=1),1,0)</f>
        <v>0</v>
      </c>
    </row>
    <row r="102" customFormat="false" ht="15" hidden="false" customHeight="false" outlineLevel="0" collapsed="false">
      <c r="A102" s="17" t="n">
        <v>4779342671</v>
      </c>
      <c r="B102" s="79" t="n">
        <v>46039.6546064815</v>
      </c>
      <c r="C102" s="79" t="n">
        <v>46039.6575462963</v>
      </c>
      <c r="D102" s="39" t="n">
        <v>0.0705555555555555</v>
      </c>
      <c r="E102" s="39" t="n">
        <v>0</v>
      </c>
      <c r="F102" s="39" t="n">
        <v>0</v>
      </c>
      <c r="G102" s="17" t="s">
        <v>66</v>
      </c>
      <c r="H102" s="80" t="b">
        <f aca="false">FALSE()</f>
        <v>0</v>
      </c>
      <c r="I102" s="80" t="b">
        <f aca="false">FALSE()</f>
        <v>0</v>
      </c>
      <c r="J102" s="81" t="n">
        <v>0</v>
      </c>
      <c r="K102" s="17" t="s">
        <v>229</v>
      </c>
      <c r="L102" s="17" t="s">
        <v>226</v>
      </c>
      <c r="M102" s="17" t="s">
        <v>280</v>
      </c>
      <c r="N102" s="17"/>
      <c r="O102" s="17" t="s">
        <v>228</v>
      </c>
      <c r="P102" s="44" t="n">
        <v>0.3</v>
      </c>
      <c r="Q102" s="44" t="n">
        <v>0.25</v>
      </c>
      <c r="R102" s="54" t="n">
        <f aca="false">INT(B102)</f>
        <v>46039</v>
      </c>
      <c r="S102" s="17" t="n">
        <f aca="false">IF(AND(I102=TRUE(),COUNTIFS($R$5:R102,R102,$I$5:I102,TRUE())=1),1,0)</f>
        <v>0</v>
      </c>
      <c r="T102" s="73" t="n">
        <v>0.4</v>
      </c>
      <c r="U102" s="44" t="n">
        <v>0.28</v>
      </c>
      <c r="V102" s="44" t="n">
        <v>0</v>
      </c>
      <c r="W102" s="44" t="n">
        <f aca="false">SUM(Z102:AE102)</f>
        <v>0.05</v>
      </c>
      <c r="X102" s="17" t="s">
        <v>110</v>
      </c>
      <c r="Y102" s="54" t="n">
        <v>46034</v>
      </c>
      <c r="Z102" s="44" t="n">
        <v>0.02</v>
      </c>
      <c r="AA102" s="44" t="n">
        <v>0</v>
      </c>
      <c r="AB102" s="44" t="n">
        <v>0</v>
      </c>
      <c r="AC102" s="44" t="n">
        <v>0</v>
      </c>
      <c r="AD102" s="44" t="n">
        <v>0.03</v>
      </c>
      <c r="AE102" s="44" t="n">
        <v>0</v>
      </c>
      <c r="AF102" s="17" t="n">
        <f aca="false">IF(AND(E102&gt;0,COUNTIFS($R$5:R102,R102,$E$5:E102,"&gt;0")=1),1,0)</f>
        <v>0</v>
      </c>
      <c r="AG102" s="17" t="n">
        <f aca="false">IF(AND(E102&gt;0,COUNTIFS($R$5:R102,R102,$K$5:K102,K102,$E$5:E102,"&gt;0")=1),1,0)</f>
        <v>0</v>
      </c>
    </row>
    <row r="103" customFormat="false" ht="15" hidden="false" customHeight="false" outlineLevel="0" collapsed="false">
      <c r="A103" s="14" t="n">
        <v>4779350151</v>
      </c>
      <c r="B103" s="77" t="n">
        <v>46039.6577662037</v>
      </c>
      <c r="C103" s="77" t="n">
        <v>46039.6587962963</v>
      </c>
      <c r="D103" s="38" t="n">
        <v>0.0247222222222222</v>
      </c>
      <c r="E103" s="38" t="n">
        <v>0</v>
      </c>
      <c r="F103" s="38" t="n">
        <v>0</v>
      </c>
      <c r="G103" s="14" t="s">
        <v>66</v>
      </c>
      <c r="H103" s="78" t="b">
        <f aca="false">FALSE()</f>
        <v>0</v>
      </c>
      <c r="I103" s="78" t="b">
        <f aca="false">FALSE()</f>
        <v>0</v>
      </c>
      <c r="J103" s="55"/>
      <c r="K103" s="14" t="s">
        <v>229</v>
      </c>
      <c r="L103" s="14" t="s">
        <v>226</v>
      </c>
      <c r="M103" s="14"/>
      <c r="N103" s="14"/>
      <c r="O103" s="14"/>
      <c r="P103" s="42"/>
      <c r="Q103" s="42"/>
      <c r="R103" s="53" t="n">
        <f aca="false">INT(B103)</f>
        <v>46039</v>
      </c>
      <c r="S103" s="14" t="n">
        <f aca="false">IF(AND(I103=TRUE(),COUNTIFS($R$5:R103,R103,$I$5:I103,TRUE())=1),1,0)</f>
        <v>0</v>
      </c>
      <c r="T103" s="71"/>
      <c r="U103" s="42"/>
      <c r="V103" s="42"/>
      <c r="W103" s="42" t="n">
        <f aca="false">SUM(Z103:AE103)</f>
        <v>0</v>
      </c>
      <c r="X103" s="14" t="s">
        <v>110</v>
      </c>
      <c r="Y103" s="53" t="n">
        <v>46034</v>
      </c>
      <c r="Z103" s="42"/>
      <c r="AA103" s="42"/>
      <c r="AB103" s="42"/>
      <c r="AC103" s="42"/>
      <c r="AD103" s="42"/>
      <c r="AE103" s="42"/>
      <c r="AF103" s="14" t="n">
        <f aca="false">IF(AND(E103&gt;0,COUNTIFS($R$5:R103,R103,$E$5:E103,"&gt;0")=1),1,0)</f>
        <v>0</v>
      </c>
      <c r="AG103" s="14" t="n">
        <f aca="false">IF(AND(E103&gt;0,COUNTIFS($R$5:R103,R103,$K$5:K103,K103,$E$5:E103,"&gt;0")=1),1,0)</f>
        <v>0</v>
      </c>
    </row>
    <row r="104" customFormat="false" ht="15" hidden="false" customHeight="false" outlineLevel="0" collapsed="false">
      <c r="A104" s="17" t="n">
        <v>4779353161</v>
      </c>
      <c r="B104" s="79" t="n">
        <v>46039.6591087963</v>
      </c>
      <c r="C104" s="79" t="n">
        <v>46039.6773263889</v>
      </c>
      <c r="D104" s="39" t="n">
        <v>0.437222222222222</v>
      </c>
      <c r="E104" s="39" t="n">
        <v>21.7241</v>
      </c>
      <c r="F104" s="39" t="n">
        <v>53.549</v>
      </c>
      <c r="G104" s="17" t="s">
        <v>66</v>
      </c>
      <c r="H104" s="80" t="b">
        <f aca="false">TRUE()</f>
        <v>1</v>
      </c>
      <c r="I104" s="80" t="b">
        <f aca="false">FALSE()</f>
        <v>0</v>
      </c>
      <c r="J104" s="81" t="n">
        <v>1</v>
      </c>
      <c r="K104" s="17" t="s">
        <v>229</v>
      </c>
      <c r="L104" s="17" t="s">
        <v>226</v>
      </c>
      <c r="M104" s="17" t="s">
        <v>280</v>
      </c>
      <c r="N104" s="17"/>
      <c r="O104" s="17" t="s">
        <v>228</v>
      </c>
      <c r="P104" s="44" t="n">
        <v>11.07</v>
      </c>
      <c r="Q104" s="44" t="n">
        <v>9.4</v>
      </c>
      <c r="R104" s="54" t="n">
        <f aca="false">INT(B104)</f>
        <v>46039</v>
      </c>
      <c r="S104" s="17" t="n">
        <f aca="false">IF(AND(I104=TRUE(),COUNTIFS($R$5:R104,R104,$I$5:I104,TRUE())=1),1,0)</f>
        <v>0</v>
      </c>
      <c r="T104" s="73" t="n">
        <v>0.4</v>
      </c>
      <c r="U104" s="44" t="n">
        <v>10.44</v>
      </c>
      <c r="V104" s="44" t="n">
        <v>8.68964</v>
      </c>
      <c r="W104" s="44" t="n">
        <f aca="false">SUM(Z104:AE104)</f>
        <v>1.67</v>
      </c>
      <c r="X104" s="17" t="s">
        <v>110</v>
      </c>
      <c r="Y104" s="54" t="n">
        <v>46034</v>
      </c>
      <c r="Z104" s="44" t="n">
        <v>0.63</v>
      </c>
      <c r="AA104" s="44" t="n">
        <v>0</v>
      </c>
      <c r="AB104" s="44" t="n">
        <v>0</v>
      </c>
      <c r="AC104" s="44" t="n">
        <v>0</v>
      </c>
      <c r="AD104" s="44" t="n">
        <v>1.04</v>
      </c>
      <c r="AE104" s="44" t="n">
        <v>0</v>
      </c>
      <c r="AF104" s="17" t="n">
        <f aca="false">IF(AND(E104&gt;0,COUNTIFS($R$5:R104,R104,$E$5:E104,"&gt;0")=1),1,0)</f>
        <v>1</v>
      </c>
      <c r="AG104" s="17" t="n">
        <f aca="false">IF(AND(E104&gt;0,COUNTIFS($R$5:R104,R104,$K$5:K104,K104,$E$5:E104,"&gt;0")=1),1,0)</f>
        <v>1</v>
      </c>
    </row>
    <row r="105" customFormat="false" ht="15" hidden="false" customHeight="false" outlineLevel="0" collapsed="false">
      <c r="A105" s="14" t="n">
        <v>4822668641</v>
      </c>
      <c r="B105" s="77" t="n">
        <v>46054.6811574074</v>
      </c>
      <c r="C105" s="77" t="n">
        <v>46054.6818518519</v>
      </c>
      <c r="D105" s="38" t="n">
        <v>0.0166666666666666</v>
      </c>
      <c r="E105" s="38" t="n">
        <v>0</v>
      </c>
      <c r="F105" s="38" t="n">
        <v>0</v>
      </c>
      <c r="G105" s="14" t="s">
        <v>66</v>
      </c>
      <c r="H105" s="78" t="b">
        <f aca="false">FALSE()</f>
        <v>0</v>
      </c>
      <c r="I105" s="78" t="b">
        <f aca="false">FALSE()</f>
        <v>0</v>
      </c>
      <c r="J105" s="55"/>
      <c r="K105" s="14" t="s">
        <v>229</v>
      </c>
      <c r="L105" s="14" t="s">
        <v>226</v>
      </c>
      <c r="M105" s="14"/>
      <c r="N105" s="14"/>
      <c r="O105" s="14"/>
      <c r="P105" s="42"/>
      <c r="Q105" s="42"/>
      <c r="R105" s="53" t="n">
        <f aca="false">INT(B105)</f>
        <v>46054</v>
      </c>
      <c r="S105" s="14" t="n">
        <f aca="false">IF(AND(I105=TRUE(),COUNTIFS($R$5:R105,R105,$I$5:I105,TRUE())=1),1,0)</f>
        <v>0</v>
      </c>
      <c r="T105" s="71"/>
      <c r="U105" s="42"/>
      <c r="V105" s="42"/>
      <c r="W105" s="42" t="n">
        <f aca="false">SUM(Z105:AE105)</f>
        <v>0</v>
      </c>
      <c r="X105" s="14" t="s">
        <v>111</v>
      </c>
      <c r="Y105" s="53" t="n">
        <v>46048</v>
      </c>
      <c r="Z105" s="42"/>
      <c r="AA105" s="42"/>
      <c r="AB105" s="42"/>
      <c r="AC105" s="42"/>
      <c r="AD105" s="42"/>
      <c r="AE105" s="42"/>
      <c r="AF105" s="14" t="n">
        <f aca="false">IF(AND(E105&gt;0,COUNTIFS($R$5:R105,R105,$E$5:E105,"&gt;0")=1),1,0)</f>
        <v>0</v>
      </c>
      <c r="AG105" s="14" t="n">
        <f aca="false">IF(AND(E105&gt;0,COUNTIFS($R$5:R105,R105,$K$5:K105,K105,$E$5:E105,"&gt;0")=1),1,0)</f>
        <v>0</v>
      </c>
    </row>
    <row r="106" customFormat="false" ht="15" hidden="false" customHeight="false" outlineLevel="0" collapsed="false">
      <c r="A106" s="17" t="n">
        <v>4822670541</v>
      </c>
      <c r="B106" s="79" t="n">
        <v>46054.6819212963</v>
      </c>
      <c r="C106" s="79" t="n">
        <v>46054.7399421296</v>
      </c>
      <c r="D106" s="39" t="n">
        <v>1.3925</v>
      </c>
      <c r="E106" s="39" t="n">
        <v>73.232498</v>
      </c>
      <c r="F106" s="39" t="n">
        <v>56.939</v>
      </c>
      <c r="G106" s="17" t="s">
        <v>66</v>
      </c>
      <c r="H106" s="80" t="b">
        <f aca="false">TRUE()</f>
        <v>1</v>
      </c>
      <c r="I106" s="80" t="b">
        <f aca="false">FALSE()</f>
        <v>0</v>
      </c>
      <c r="J106" s="81" t="n">
        <v>1</v>
      </c>
      <c r="K106" s="17" t="s">
        <v>229</v>
      </c>
      <c r="L106" s="17" t="s">
        <v>226</v>
      </c>
      <c r="M106" s="17" t="s">
        <v>281</v>
      </c>
      <c r="N106" s="17" t="s">
        <v>282</v>
      </c>
      <c r="O106" s="17" t="s">
        <v>247</v>
      </c>
      <c r="P106" s="44" t="n">
        <v>36.95</v>
      </c>
      <c r="Q106" s="44" t="n">
        <v>31.37</v>
      </c>
      <c r="R106" s="54" t="n">
        <f aca="false">INT(B106)</f>
        <v>46054</v>
      </c>
      <c r="S106" s="17" t="n">
        <f aca="false">IF(AND(I106=TRUE(),COUNTIFS($R$5:R106,R106,$I$5:I106,TRUE())=1),1,0)</f>
        <v>0</v>
      </c>
      <c r="T106" s="73" t="n">
        <v>0.4</v>
      </c>
      <c r="U106" s="44" t="n">
        <v>34.86</v>
      </c>
      <c r="V106" s="44" t="n">
        <v>29.2929992</v>
      </c>
      <c r="W106" s="44" t="n">
        <f aca="false">SUM(Z106:AE106)</f>
        <v>5.58</v>
      </c>
      <c r="X106" s="17" t="s">
        <v>111</v>
      </c>
      <c r="Y106" s="54" t="n">
        <v>46048</v>
      </c>
      <c r="Z106" s="44" t="n">
        <v>2.09</v>
      </c>
      <c r="AA106" s="44" t="n">
        <v>0</v>
      </c>
      <c r="AB106" s="44" t="n">
        <v>0</v>
      </c>
      <c r="AC106" s="44" t="n">
        <v>0</v>
      </c>
      <c r="AD106" s="44" t="n">
        <v>3.49</v>
      </c>
      <c r="AE106" s="44" t="n">
        <v>0</v>
      </c>
      <c r="AF106" s="17" t="n">
        <f aca="false">IF(AND(E106&gt;0,COUNTIFS($R$5:R106,R106,$E$5:E106,"&gt;0")=1),1,0)</f>
        <v>1</v>
      </c>
      <c r="AG106" s="17" t="n">
        <f aca="false">IF(AND(E106&gt;0,COUNTIFS($R$5:R106,R106,$K$5:K106,K106,$E$5:E106,"&gt;0")=1),1,0)</f>
        <v>1</v>
      </c>
    </row>
    <row r="107" customFormat="false" ht="15" hidden="false" customHeight="false" outlineLevel="0" collapsed="false">
      <c r="A107" s="14" t="n">
        <v>4825237521</v>
      </c>
      <c r="B107" s="77" t="n">
        <v>46055.6612268519</v>
      </c>
      <c r="C107" s="77" t="n">
        <v>46055.7098263889</v>
      </c>
      <c r="D107" s="38" t="n">
        <v>1.16638888888889</v>
      </c>
      <c r="E107" s="38" t="n">
        <v>50.064899</v>
      </c>
      <c r="F107" s="38" t="n">
        <v>49.444</v>
      </c>
      <c r="G107" s="14" t="s">
        <v>66</v>
      </c>
      <c r="H107" s="78" t="b">
        <f aca="false">TRUE()</f>
        <v>1</v>
      </c>
      <c r="I107" s="78" t="b">
        <f aca="false">FALSE()</f>
        <v>0</v>
      </c>
      <c r="J107" s="55" t="n">
        <v>1</v>
      </c>
      <c r="K107" s="14" t="s">
        <v>229</v>
      </c>
      <c r="L107" s="14" t="s">
        <v>226</v>
      </c>
      <c r="M107" s="14" t="s">
        <v>283</v>
      </c>
      <c r="N107" s="14"/>
      <c r="O107" s="14" t="s">
        <v>284</v>
      </c>
      <c r="P107" s="42" t="n">
        <v>26.18</v>
      </c>
      <c r="Q107" s="42" t="n">
        <v>22.23</v>
      </c>
      <c r="R107" s="53" t="n">
        <f aca="false">INT(B107)</f>
        <v>46055</v>
      </c>
      <c r="S107" s="14" t="n">
        <f aca="false">IF(AND(I107=TRUE(),COUNTIFS($R$5:R107,R107,$I$5:I107,TRUE())=1),1,0)</f>
        <v>0</v>
      </c>
      <c r="T107" s="71" t="n">
        <v>0.4</v>
      </c>
      <c r="U107" s="42" t="n">
        <v>24.7</v>
      </c>
      <c r="V107" s="42" t="n">
        <v>20.0259596</v>
      </c>
      <c r="W107" s="42" t="n">
        <f aca="false">SUM(Z107:AE107)</f>
        <v>3.95</v>
      </c>
      <c r="X107" s="14" t="s">
        <v>105</v>
      </c>
      <c r="Y107" s="53" t="n">
        <v>46055</v>
      </c>
      <c r="Z107" s="42" t="n">
        <v>1.48</v>
      </c>
      <c r="AA107" s="42" t="n">
        <v>0</v>
      </c>
      <c r="AB107" s="42" t="n">
        <v>0</v>
      </c>
      <c r="AC107" s="42" t="n">
        <v>0</v>
      </c>
      <c r="AD107" s="42" t="n">
        <v>2.47</v>
      </c>
      <c r="AE107" s="42" t="n">
        <v>0</v>
      </c>
      <c r="AF107" s="14" t="n">
        <f aca="false">IF(AND(E107&gt;0,COUNTIFS($R$5:R107,R107,$E$5:E107,"&gt;0")=1),1,0)</f>
        <v>1</v>
      </c>
      <c r="AG107" s="14" t="n">
        <f aca="false">IF(AND(E107&gt;0,COUNTIFS($R$5:R107,R107,$K$5:K107,K107,$E$5:E107,"&gt;0")=1),1,0)</f>
        <v>1</v>
      </c>
    </row>
    <row r="108" customFormat="false" ht="15" hidden="false" customHeight="false" outlineLevel="0" collapsed="false">
      <c r="A108" s="17" t="n">
        <v>4832197411</v>
      </c>
      <c r="B108" s="79" t="n">
        <v>46057.7197337963</v>
      </c>
      <c r="C108" s="79" t="n">
        <v>46057.7647106482</v>
      </c>
      <c r="D108" s="39" t="n">
        <v>1.07944444444444</v>
      </c>
      <c r="E108" s="39" t="n">
        <v>55.120602</v>
      </c>
      <c r="F108" s="39" t="n">
        <v>60.372</v>
      </c>
      <c r="G108" s="17" t="s">
        <v>66</v>
      </c>
      <c r="H108" s="80" t="b">
        <f aca="false">TRUE()</f>
        <v>1</v>
      </c>
      <c r="I108" s="80" t="b">
        <f aca="false">FALSE()</f>
        <v>0</v>
      </c>
      <c r="J108" s="81" t="n">
        <v>1</v>
      </c>
      <c r="K108" s="17" t="s">
        <v>229</v>
      </c>
      <c r="L108" s="17" t="s">
        <v>226</v>
      </c>
      <c r="M108" s="17" t="s">
        <v>285</v>
      </c>
      <c r="N108" s="17"/>
      <c r="O108" s="17" t="s">
        <v>262</v>
      </c>
      <c r="P108" s="44" t="n">
        <v>27.95</v>
      </c>
      <c r="Q108" s="44" t="n">
        <v>23.73</v>
      </c>
      <c r="R108" s="54" t="n">
        <f aca="false">INT(B108)</f>
        <v>46057</v>
      </c>
      <c r="S108" s="17" t="n">
        <f aca="false">IF(AND(I108=TRUE(),COUNTIFS($R$5:R108,R108,$I$5:I108,TRUE())=1),1,0)</f>
        <v>0</v>
      </c>
      <c r="T108" s="73" t="n">
        <v>0.4</v>
      </c>
      <c r="U108" s="44" t="n">
        <v>26.37</v>
      </c>
      <c r="V108" s="44" t="n">
        <v>22.0482408</v>
      </c>
      <c r="W108" s="44" t="n">
        <f aca="false">SUM(Z108:AE108)</f>
        <v>4.22</v>
      </c>
      <c r="X108" s="17" t="s">
        <v>107</v>
      </c>
      <c r="Y108" s="54" t="n">
        <v>46055</v>
      </c>
      <c r="Z108" s="44" t="n">
        <v>1.58</v>
      </c>
      <c r="AA108" s="44" t="n">
        <v>0</v>
      </c>
      <c r="AB108" s="44" t="n">
        <v>0</v>
      </c>
      <c r="AC108" s="44" t="n">
        <v>0</v>
      </c>
      <c r="AD108" s="44" t="n">
        <v>2.64</v>
      </c>
      <c r="AE108" s="44" t="n">
        <v>0</v>
      </c>
      <c r="AF108" s="17" t="n">
        <f aca="false">IF(AND(E108&gt;0,COUNTIFS($R$5:R108,R108,$E$5:E108,"&gt;0")=1),1,0)</f>
        <v>1</v>
      </c>
      <c r="AG108" s="17" t="n">
        <f aca="false">IF(AND(E108&gt;0,COUNTIFS($R$5:R108,R108,$K$5:K108,K108,$E$5:E108,"&gt;0")=1),1,0)</f>
        <v>1</v>
      </c>
    </row>
    <row r="109" customFormat="false" ht="15" hidden="false" customHeight="false" outlineLevel="0" collapsed="false">
      <c r="A109" s="14" t="n">
        <v>4832810371</v>
      </c>
      <c r="B109" s="77" t="n">
        <v>46057.8694791667</v>
      </c>
      <c r="C109" s="77" t="n">
        <v>46057.8938194444</v>
      </c>
      <c r="D109" s="38" t="n">
        <v>0.584166666666667</v>
      </c>
      <c r="E109" s="38" t="n">
        <v>32.118401</v>
      </c>
      <c r="F109" s="38" t="n">
        <v>56.627</v>
      </c>
      <c r="G109" s="14" t="s">
        <v>67</v>
      </c>
      <c r="H109" s="78" t="b">
        <f aca="false">TRUE()</f>
        <v>1</v>
      </c>
      <c r="I109" s="78" t="b">
        <f aca="false">FALSE()</f>
        <v>0</v>
      </c>
      <c r="J109" s="55" t="n">
        <v>1</v>
      </c>
      <c r="K109" s="14" t="s">
        <v>229</v>
      </c>
      <c r="L109" s="14" t="s">
        <v>226</v>
      </c>
      <c r="M109" s="14" t="s">
        <v>273</v>
      </c>
      <c r="N109" s="14"/>
      <c r="O109" s="14" t="s">
        <v>232</v>
      </c>
      <c r="P109" s="42" t="n">
        <v>16.1</v>
      </c>
      <c r="Q109" s="42" t="n">
        <v>13.67</v>
      </c>
      <c r="R109" s="53" t="n">
        <f aca="false">INT(B109)</f>
        <v>46057</v>
      </c>
      <c r="S109" s="14" t="n">
        <f aca="false">IF(AND(I109=TRUE(),COUNTIFS($R$5:R109,R109,$I$5:I109,TRUE())=1),1,0)</f>
        <v>0</v>
      </c>
      <c r="T109" s="71" t="n">
        <v>0.4</v>
      </c>
      <c r="U109" s="42" t="n">
        <v>15.19</v>
      </c>
      <c r="V109" s="42" t="n">
        <v>12.8473604</v>
      </c>
      <c r="W109" s="42" t="n">
        <f aca="false">SUM(Z109:AE109)</f>
        <v>2.43</v>
      </c>
      <c r="X109" s="14" t="s">
        <v>107</v>
      </c>
      <c r="Y109" s="53" t="n">
        <v>46055</v>
      </c>
      <c r="Z109" s="42" t="n">
        <v>0.91</v>
      </c>
      <c r="AA109" s="42" t="n">
        <v>0</v>
      </c>
      <c r="AB109" s="42" t="n">
        <v>0</v>
      </c>
      <c r="AC109" s="42" t="n">
        <v>0</v>
      </c>
      <c r="AD109" s="42" t="n">
        <v>1.52</v>
      </c>
      <c r="AE109" s="42" t="n">
        <v>0</v>
      </c>
      <c r="AF109" s="14" t="n">
        <f aca="false">IF(AND(E109&gt;0,COUNTIFS($R$5:R109,R109,$E$5:E109,"&gt;0")=1),1,0)</f>
        <v>0</v>
      </c>
      <c r="AG109" s="14" t="n">
        <f aca="false">IF(AND(E109&gt;0,COUNTIFS($R$5:R109,R109,$K$5:K109,K109,$E$5:E109,"&gt;0")=1),1,0)</f>
        <v>0</v>
      </c>
    </row>
    <row r="110" customFormat="false" ht="15" hidden="false" customHeight="false" outlineLevel="0" collapsed="false">
      <c r="A110" s="17" t="n">
        <v>4833046641</v>
      </c>
      <c r="B110" s="79" t="n">
        <v>46057.9205555556</v>
      </c>
      <c r="C110" s="79" t="n">
        <v>46057.962349537</v>
      </c>
      <c r="D110" s="39" t="n">
        <v>1.00305555555556</v>
      </c>
      <c r="E110" s="39" t="n">
        <v>45.535</v>
      </c>
      <c r="F110" s="39" t="n">
        <v>62.088</v>
      </c>
      <c r="G110" s="17" t="s">
        <v>68</v>
      </c>
      <c r="H110" s="80" t="b">
        <f aca="false">TRUE()</f>
        <v>1</v>
      </c>
      <c r="I110" s="80" t="b">
        <f aca="false">TRUE()</f>
        <v>1</v>
      </c>
      <c r="J110" s="81" t="n">
        <v>1</v>
      </c>
      <c r="K110" s="17" t="s">
        <v>229</v>
      </c>
      <c r="L110" s="17" t="s">
        <v>233</v>
      </c>
      <c r="M110" s="17"/>
      <c r="N110" s="17"/>
      <c r="O110" s="17"/>
      <c r="P110" s="44" t="n">
        <v>23.55</v>
      </c>
      <c r="Q110" s="44" t="n">
        <v>20</v>
      </c>
      <c r="R110" s="54" t="n">
        <f aca="false">INT(B110)</f>
        <v>46057</v>
      </c>
      <c r="S110" s="17" t="n">
        <f aca="false">IF(AND(I110=TRUE(),COUNTIFS($R$5:R110,R110,$I$5:I110,TRUE())=1),1,0)</f>
        <v>1</v>
      </c>
      <c r="T110" s="73" t="n">
        <v>0.4</v>
      </c>
      <c r="U110" s="44" t="n">
        <v>22.22</v>
      </c>
      <c r="V110" s="44" t="n">
        <v>18.214</v>
      </c>
      <c r="W110" s="44" t="n">
        <f aca="false">SUM(Z110:AE110)</f>
        <v>3.55</v>
      </c>
      <c r="X110" s="17" t="s">
        <v>107</v>
      </c>
      <c r="Y110" s="54" t="n">
        <v>46055</v>
      </c>
      <c r="Z110" s="44" t="n">
        <v>1.33</v>
      </c>
      <c r="AA110" s="44" t="n">
        <v>0</v>
      </c>
      <c r="AB110" s="44" t="n">
        <v>0</v>
      </c>
      <c r="AC110" s="44" t="n">
        <v>0</v>
      </c>
      <c r="AD110" s="44" t="n">
        <v>2.22</v>
      </c>
      <c r="AE110" s="44" t="n">
        <v>0</v>
      </c>
      <c r="AF110" s="17" t="n">
        <f aca="false">IF(AND(E110&gt;0,COUNTIFS($R$5:R110,R110,$E$5:E110,"&gt;0")=1),1,0)</f>
        <v>0</v>
      </c>
      <c r="AG110" s="17" t="n">
        <f aca="false">IF(AND(E110&gt;0,COUNTIFS($R$5:R110,R110,$K$5:K110,K110,$E$5:E110,"&gt;0")=1),1,0)</f>
        <v>0</v>
      </c>
    </row>
    <row r="111" customFormat="false" ht="15" hidden="false" customHeight="false" outlineLevel="0" collapsed="false">
      <c r="A111" s="14" t="n">
        <v>4842032651</v>
      </c>
      <c r="B111" s="77" t="n">
        <v>46060.8156018519</v>
      </c>
      <c r="C111" s="77" t="n">
        <v>46060.8438541667</v>
      </c>
      <c r="D111" s="38" t="n">
        <v>0.678055555555556</v>
      </c>
      <c r="E111" s="38" t="n">
        <v>37.706402</v>
      </c>
      <c r="F111" s="38" t="n">
        <v>61.152</v>
      </c>
      <c r="G111" s="14" t="s">
        <v>67</v>
      </c>
      <c r="H111" s="78" t="b">
        <f aca="false">TRUE()</f>
        <v>1</v>
      </c>
      <c r="I111" s="78" t="b">
        <f aca="false">FALSE()</f>
        <v>0</v>
      </c>
      <c r="J111" s="55" t="n">
        <v>1</v>
      </c>
      <c r="K111" s="14" t="s">
        <v>229</v>
      </c>
      <c r="L111" s="14" t="s">
        <v>233</v>
      </c>
      <c r="M111" s="14"/>
      <c r="N111" s="14"/>
      <c r="O111" s="14"/>
      <c r="P111" s="42" t="n">
        <v>23.57</v>
      </c>
      <c r="Q111" s="42" t="n">
        <v>20.02</v>
      </c>
      <c r="R111" s="53" t="n">
        <f aca="false">INT(B111)</f>
        <v>46060</v>
      </c>
      <c r="S111" s="14" t="n">
        <f aca="false">IF(AND(I111=TRUE(),COUNTIFS($R$5:R111,R111,$I$5:I111,TRUE())=1),1,0)</f>
        <v>0</v>
      </c>
      <c r="T111" s="71" t="n">
        <v>0.4</v>
      </c>
      <c r="U111" s="42" t="n">
        <v>22.24</v>
      </c>
      <c r="V111" s="42" t="n">
        <v>15.0825608</v>
      </c>
      <c r="W111" s="42" t="n">
        <f aca="false">SUM(Z111:AE111)</f>
        <v>3.55</v>
      </c>
      <c r="X111" s="14" t="s">
        <v>110</v>
      </c>
      <c r="Y111" s="53" t="n">
        <v>46055</v>
      </c>
      <c r="Z111" s="42" t="n">
        <v>1.33</v>
      </c>
      <c r="AA111" s="42" t="n">
        <v>0</v>
      </c>
      <c r="AB111" s="42" t="n">
        <v>0</v>
      </c>
      <c r="AC111" s="42" t="n">
        <v>0</v>
      </c>
      <c r="AD111" s="42" t="n">
        <v>2.22</v>
      </c>
      <c r="AE111" s="42" t="n">
        <v>0</v>
      </c>
      <c r="AF111" s="14" t="n">
        <f aca="false">IF(AND(E111&gt;0,COUNTIFS($R$5:R111,R111,$E$5:E111,"&gt;0")=1),1,0)</f>
        <v>1</v>
      </c>
      <c r="AG111" s="14" t="n">
        <f aca="false">IF(AND(E111&gt;0,COUNTIFS($R$5:R111,R111,$K$5:K111,K111,$E$5:E111,"&gt;0")=1),1,0)</f>
        <v>1</v>
      </c>
    </row>
    <row r="112" customFormat="false" ht="15" hidden="false" customHeight="false" outlineLevel="0" collapsed="false">
      <c r="A112" s="17" t="n">
        <v>4843380231</v>
      </c>
      <c r="B112" s="79" t="n">
        <v>46061.2371064815</v>
      </c>
      <c r="C112" s="79" t="n">
        <v>46061.271400463</v>
      </c>
      <c r="D112" s="39" t="n">
        <v>0.823055555555556</v>
      </c>
      <c r="E112" s="39" t="n">
        <v>44.549</v>
      </c>
      <c r="F112" s="39" t="n">
        <v>57.251</v>
      </c>
      <c r="G112" s="17" t="s">
        <v>68</v>
      </c>
      <c r="H112" s="80" t="b">
        <f aca="false">TRUE()</f>
        <v>1</v>
      </c>
      <c r="I112" s="80" t="b">
        <f aca="false">TRUE()</f>
        <v>1</v>
      </c>
      <c r="J112" s="81" t="n">
        <v>1</v>
      </c>
      <c r="K112" s="17" t="s">
        <v>229</v>
      </c>
      <c r="L112" s="17" t="s">
        <v>226</v>
      </c>
      <c r="M112" s="17" t="s">
        <v>286</v>
      </c>
      <c r="N112" s="17" t="s">
        <v>287</v>
      </c>
      <c r="O112" s="17" t="s">
        <v>228</v>
      </c>
      <c r="P112" s="44" t="n">
        <v>27.98</v>
      </c>
      <c r="Q112" s="44" t="n">
        <v>23.75</v>
      </c>
      <c r="R112" s="54" t="n">
        <f aca="false">INT(B112)</f>
        <v>46061</v>
      </c>
      <c r="S112" s="17" t="n">
        <f aca="false">IF(AND(I112=TRUE(),COUNTIFS($R$5:R112,R112,$I$5:I112,TRUE())=1),1,0)</f>
        <v>1</v>
      </c>
      <c r="T112" s="73" t="n">
        <v>0.4</v>
      </c>
      <c r="U112" s="44" t="n">
        <v>26.39</v>
      </c>
      <c r="V112" s="44" t="n">
        <v>17.8196</v>
      </c>
      <c r="W112" s="44" t="n">
        <f aca="false">SUM(Z112:AE112)</f>
        <v>4.23</v>
      </c>
      <c r="X112" s="17" t="s">
        <v>111</v>
      </c>
      <c r="Y112" s="54" t="n">
        <v>46055</v>
      </c>
      <c r="Z112" s="44" t="n">
        <v>1.59</v>
      </c>
      <c r="AA112" s="44" t="n">
        <v>0</v>
      </c>
      <c r="AB112" s="44" t="n">
        <v>0</v>
      </c>
      <c r="AC112" s="44" t="n">
        <v>0</v>
      </c>
      <c r="AD112" s="44" t="n">
        <v>2.64</v>
      </c>
      <c r="AE112" s="44" t="n">
        <v>0</v>
      </c>
      <c r="AF112" s="17" t="n">
        <f aca="false">IF(AND(E112&gt;0,COUNTIFS($R$5:R112,R112,$E$5:E112,"&gt;0")=1),1,0)</f>
        <v>1</v>
      </c>
      <c r="AG112" s="17" t="n">
        <f aca="false">IF(AND(E112&gt;0,COUNTIFS($R$5:R112,R112,$K$5:K112,K112,$E$5:E112,"&gt;0")=1),1,0)</f>
        <v>1</v>
      </c>
    </row>
    <row r="113" customFormat="false" ht="15" hidden="false" customHeight="false" outlineLevel="0" collapsed="false">
      <c r="A113" s="14" t="n">
        <v>4844065361</v>
      </c>
      <c r="B113" s="77" t="n">
        <v>46061.7411226852</v>
      </c>
      <c r="C113" s="77" t="n">
        <v>46061.767025463</v>
      </c>
      <c r="D113" s="38" t="n">
        <v>0.621666666666667</v>
      </c>
      <c r="E113" s="38" t="n">
        <v>27.820801</v>
      </c>
      <c r="F113" s="38" t="n">
        <v>48.36</v>
      </c>
      <c r="G113" s="14" t="s">
        <v>66</v>
      </c>
      <c r="H113" s="78" t="b">
        <f aca="false">TRUE()</f>
        <v>1</v>
      </c>
      <c r="I113" s="78" t="b">
        <f aca="false">FALSE()</f>
        <v>0</v>
      </c>
      <c r="J113" s="55" t="n">
        <v>1</v>
      </c>
      <c r="K113" s="14" t="s">
        <v>229</v>
      </c>
      <c r="L113" s="14" t="s">
        <v>266</v>
      </c>
      <c r="M113" s="14"/>
      <c r="N113" s="14"/>
      <c r="O113" s="14"/>
      <c r="P113" s="42" t="n">
        <v>18.04</v>
      </c>
      <c r="Q113" s="42" t="n">
        <v>15.32</v>
      </c>
      <c r="R113" s="53" t="n">
        <f aca="false">INT(B113)</f>
        <v>46061</v>
      </c>
      <c r="S113" s="14" t="n">
        <f aca="false">IF(AND(I113=TRUE(),COUNTIFS($R$5:R113,R113,$I$5:I113,TRUE())=1),1,0)</f>
        <v>0</v>
      </c>
      <c r="T113" s="71" t="n">
        <v>0.4</v>
      </c>
      <c r="U113" s="42" t="n">
        <v>17.02</v>
      </c>
      <c r="V113" s="42" t="n">
        <v>11.1283204</v>
      </c>
      <c r="W113" s="42" t="n">
        <f aca="false">SUM(Z113:AE113)</f>
        <v>2.72</v>
      </c>
      <c r="X113" s="14" t="s">
        <v>111</v>
      </c>
      <c r="Y113" s="53" t="n">
        <v>46055</v>
      </c>
      <c r="Z113" s="42" t="n">
        <v>1.02</v>
      </c>
      <c r="AA113" s="42" t="n">
        <v>0</v>
      </c>
      <c r="AB113" s="42" t="n">
        <v>0</v>
      </c>
      <c r="AC113" s="42" t="n">
        <v>0</v>
      </c>
      <c r="AD113" s="42" t="n">
        <v>1.7</v>
      </c>
      <c r="AE113" s="42" t="n">
        <v>0</v>
      </c>
      <c r="AF113" s="14" t="n">
        <f aca="false">IF(AND(E113&gt;0,COUNTIFS($R$5:R113,R113,$E$5:E113,"&gt;0")=1),1,0)</f>
        <v>0</v>
      </c>
      <c r="AG113" s="14" t="n">
        <f aca="false">IF(AND(E113&gt;0,COUNTIFS($R$5:R113,R113,$K$5:K113,K113,$E$5:E113,"&gt;0")=1),1,0)</f>
        <v>0</v>
      </c>
    </row>
    <row r="114" customFormat="false" ht="15" hidden="false" customHeight="false" outlineLevel="0" collapsed="false">
      <c r="A114" s="17" t="n">
        <v>4847266781</v>
      </c>
      <c r="B114" s="79" t="n">
        <v>46062.8550115741</v>
      </c>
      <c r="C114" s="79" t="n">
        <v>46062.9076967593</v>
      </c>
      <c r="D114" s="39" t="n">
        <v>1.26444444444444</v>
      </c>
      <c r="E114" s="39" t="n">
        <v>55.450699</v>
      </c>
      <c r="F114" s="39" t="n">
        <v>62.513</v>
      </c>
      <c r="G114" s="17" t="s">
        <v>67</v>
      </c>
      <c r="H114" s="80" t="b">
        <f aca="false">TRUE()</f>
        <v>1</v>
      </c>
      <c r="I114" s="80" t="b">
        <f aca="false">FALSE()</f>
        <v>0</v>
      </c>
      <c r="J114" s="81" t="n">
        <v>0.796702055568105</v>
      </c>
      <c r="K114" s="17" t="s">
        <v>229</v>
      </c>
      <c r="L114" s="17" t="s">
        <v>226</v>
      </c>
      <c r="M114" s="17" t="s">
        <v>230</v>
      </c>
      <c r="N114" s="17"/>
      <c r="O114" s="17" t="s">
        <v>228</v>
      </c>
      <c r="P114" s="44" t="n">
        <v>36.09</v>
      </c>
      <c r="Q114" s="44" t="n">
        <v>30.65</v>
      </c>
      <c r="R114" s="54" t="n">
        <f aca="false">INT(B114)</f>
        <v>46062</v>
      </c>
      <c r="S114" s="17" t="n">
        <f aca="false">IF(AND(I114=TRUE(),COUNTIFS($R$5:R114,R114,$I$5:I114,TRUE())=1),1,0)</f>
        <v>0</v>
      </c>
      <c r="T114" s="73" t="n">
        <v>0.4</v>
      </c>
      <c r="U114" s="44" t="n">
        <v>34.05</v>
      </c>
      <c r="V114" s="44" t="n">
        <v>22.1802796</v>
      </c>
      <c r="W114" s="44" t="n">
        <f aca="false">SUM(Z114:AE114)</f>
        <v>5.44</v>
      </c>
      <c r="X114" s="17" t="s">
        <v>105</v>
      </c>
      <c r="Y114" s="54" t="n">
        <v>46062</v>
      </c>
      <c r="Z114" s="44" t="n">
        <v>2.04</v>
      </c>
      <c r="AA114" s="44" t="n">
        <v>0</v>
      </c>
      <c r="AB114" s="44" t="n">
        <v>0</v>
      </c>
      <c r="AC114" s="44" t="n">
        <v>0</v>
      </c>
      <c r="AD114" s="44" t="n">
        <v>3.4</v>
      </c>
      <c r="AE114" s="44" t="n">
        <v>0</v>
      </c>
      <c r="AF114" s="17" t="n">
        <f aca="false">IF(AND(E114&gt;0,COUNTIFS($R$5:R114,R114,$E$5:E114,"&gt;0")=1),1,0)</f>
        <v>1</v>
      </c>
      <c r="AG114" s="17" t="n">
        <f aca="false">IF(AND(E114&gt;0,COUNTIFS($R$5:R114,R114,$K$5:K114,K114,$E$5:E114,"&gt;0")=1),1,0)</f>
        <v>1</v>
      </c>
    </row>
    <row r="115" customFormat="false" ht="15" hidden="false" customHeight="false" outlineLevel="0" collapsed="false">
      <c r="A115" s="14" t="n">
        <v>4850779931</v>
      </c>
      <c r="B115" s="77" t="n">
        <v>46063.912037037</v>
      </c>
      <c r="C115" s="77" t="n">
        <v>46063.9299537037</v>
      </c>
      <c r="D115" s="38" t="n">
        <v>0.43</v>
      </c>
      <c r="E115" s="38" t="n">
        <v>22.3647</v>
      </c>
      <c r="F115" s="38" t="n">
        <v>54.131</v>
      </c>
      <c r="G115" s="14" t="s">
        <v>67</v>
      </c>
      <c r="H115" s="78" t="b">
        <f aca="false">TRUE()</f>
        <v>1</v>
      </c>
      <c r="I115" s="78" t="b">
        <f aca="false">FALSE()</f>
        <v>0</v>
      </c>
      <c r="J115" s="55" t="n">
        <v>1</v>
      </c>
      <c r="K115" s="14" t="s">
        <v>229</v>
      </c>
      <c r="L115" s="14" t="s">
        <v>226</v>
      </c>
      <c r="M115" s="14" t="s">
        <v>288</v>
      </c>
      <c r="N115" s="14" t="s">
        <v>289</v>
      </c>
      <c r="O115" s="14" t="s">
        <v>232</v>
      </c>
      <c r="P115" s="42" t="n">
        <v>14.13</v>
      </c>
      <c r="Q115" s="42" t="n">
        <v>12</v>
      </c>
      <c r="R115" s="53" t="n">
        <f aca="false">INT(B115)</f>
        <v>46063</v>
      </c>
      <c r="S115" s="14" t="n">
        <f aca="false">IF(AND(I115=TRUE(),COUNTIFS($R$5:R115,R115,$I$5:I115,TRUE())=1),1,0)</f>
        <v>0</v>
      </c>
      <c r="T115" s="71" t="n">
        <v>0.4</v>
      </c>
      <c r="U115" s="42" t="n">
        <v>13.33</v>
      </c>
      <c r="V115" s="42" t="n">
        <v>8.94588</v>
      </c>
      <c r="W115" s="42" t="n">
        <f aca="false">SUM(Z115:AE115)</f>
        <v>2.13</v>
      </c>
      <c r="X115" s="14" t="s">
        <v>106</v>
      </c>
      <c r="Y115" s="53" t="n">
        <v>46062</v>
      </c>
      <c r="Z115" s="42" t="n">
        <v>0.8</v>
      </c>
      <c r="AA115" s="42" t="n">
        <v>0</v>
      </c>
      <c r="AB115" s="42" t="n">
        <v>0</v>
      </c>
      <c r="AC115" s="42" t="n">
        <v>0</v>
      </c>
      <c r="AD115" s="42" t="n">
        <v>1.33</v>
      </c>
      <c r="AE115" s="42" t="n">
        <v>0</v>
      </c>
      <c r="AF115" s="14" t="n">
        <f aca="false">IF(AND(E115&gt;0,COUNTIFS($R$5:R115,R115,$E$5:E115,"&gt;0")=1),1,0)</f>
        <v>1</v>
      </c>
      <c r="AG115" s="14" t="n">
        <f aca="false">IF(AND(E115&gt;0,COUNTIFS($R$5:R115,R115,$K$5:K115,K115,$E$5:E115,"&gt;0")=1),1,0)</f>
        <v>1</v>
      </c>
    </row>
    <row r="116" customFormat="false" ht="15" hidden="false" customHeight="false" outlineLevel="0" collapsed="false">
      <c r="A116" s="17" t="n">
        <v>4867334471</v>
      </c>
      <c r="B116" s="79" t="n">
        <v>46069.8103356482</v>
      </c>
      <c r="C116" s="79" t="n">
        <v>46069.907650463</v>
      </c>
      <c r="D116" s="39" t="n">
        <v>2.33555555555556</v>
      </c>
      <c r="E116" s="39" t="n">
        <v>89.408302</v>
      </c>
      <c r="F116" s="39" t="n">
        <v>62.513</v>
      </c>
      <c r="G116" s="17" t="s">
        <v>67</v>
      </c>
      <c r="H116" s="80" t="b">
        <f aca="false">TRUE()</f>
        <v>1</v>
      </c>
      <c r="I116" s="80" t="b">
        <f aca="false">FALSE()</f>
        <v>0</v>
      </c>
      <c r="J116" s="81" t="n">
        <v>0.891396162664414</v>
      </c>
      <c r="K116" s="17" t="s">
        <v>229</v>
      </c>
      <c r="L116" s="17" t="s">
        <v>226</v>
      </c>
      <c r="M116" s="17" t="s">
        <v>230</v>
      </c>
      <c r="N116" s="17"/>
      <c r="O116" s="17" t="s">
        <v>228</v>
      </c>
      <c r="P116" s="44" t="n">
        <v>59.76</v>
      </c>
      <c r="Q116" s="44" t="n">
        <v>50.74</v>
      </c>
      <c r="R116" s="54" t="n">
        <f aca="false">INT(B116)</f>
        <v>46069</v>
      </c>
      <c r="S116" s="17" t="n">
        <f aca="false">IF(AND(I116=TRUE(),COUNTIFS($R$5:R116,R116,$I$5:I116,TRUE())=1),1,0)</f>
        <v>0</v>
      </c>
      <c r="T116" s="73" t="n">
        <v>0.4</v>
      </c>
      <c r="U116" s="44" t="n">
        <v>56.38</v>
      </c>
      <c r="V116" s="44" t="n">
        <v>35.7633208</v>
      </c>
      <c r="W116" s="44" t="n">
        <f aca="false">SUM(Z116:AE116)</f>
        <v>9.02</v>
      </c>
      <c r="X116" s="17" t="s">
        <v>105</v>
      </c>
      <c r="Y116" s="54" t="n">
        <v>46069</v>
      </c>
      <c r="Z116" s="44" t="n">
        <v>3.38</v>
      </c>
      <c r="AA116" s="44" t="n">
        <v>0</v>
      </c>
      <c r="AB116" s="44" t="n">
        <v>0</v>
      </c>
      <c r="AC116" s="44" t="n">
        <v>0</v>
      </c>
      <c r="AD116" s="44" t="n">
        <v>5.64</v>
      </c>
      <c r="AE116" s="44" t="n">
        <v>0</v>
      </c>
      <c r="AF116" s="17" t="n">
        <f aca="false">IF(AND(E116&gt;0,COUNTIFS($R$5:R116,R116,$E$5:E116,"&gt;0")=1),1,0)</f>
        <v>1</v>
      </c>
      <c r="AG116" s="17" t="n">
        <f aca="false">IF(AND(E116&gt;0,COUNTIFS($R$5:R116,R116,$K$5:K116,K116,$E$5:E116,"&gt;0")=1),1,0)</f>
        <v>1</v>
      </c>
    </row>
    <row r="117" customFormat="false" ht="15" hidden="false" customHeight="false" outlineLevel="0" collapsed="false">
      <c r="A117" s="14" t="n">
        <v>4875087351</v>
      </c>
      <c r="B117" s="77" t="n">
        <v>46072.2248611111</v>
      </c>
      <c r="C117" s="77" t="n">
        <v>46072.3605787037</v>
      </c>
      <c r="D117" s="38" t="n">
        <v>3.25722222222222</v>
      </c>
      <c r="E117" s="38" t="n">
        <v>14.536746</v>
      </c>
      <c r="F117" s="38" t="n">
        <v>5.592</v>
      </c>
      <c r="G117" s="14" t="s">
        <v>68</v>
      </c>
      <c r="H117" s="78" t="b">
        <f aca="false">FALSE()</f>
        <v>0</v>
      </c>
      <c r="I117" s="78" t="b">
        <f aca="false">TRUE()</f>
        <v>1</v>
      </c>
      <c r="J117" s="55" t="n">
        <v>0</v>
      </c>
      <c r="K117" s="14" t="s">
        <v>225</v>
      </c>
      <c r="L117" s="14" t="s">
        <v>252</v>
      </c>
      <c r="M117" s="14"/>
      <c r="N117" s="14"/>
      <c r="O117" s="14"/>
      <c r="P117" s="42" t="n">
        <v>24.98</v>
      </c>
      <c r="Q117" s="42" t="n">
        <v>21.2</v>
      </c>
      <c r="R117" s="53" t="n">
        <f aca="false">INT(B117)</f>
        <v>46072</v>
      </c>
      <c r="S117" s="14" t="n">
        <f aca="false">IF(AND(I117=TRUE(),COUNTIFS($R$5:R117,R117,$I$5:I117,TRUE())=1),1,0)</f>
        <v>1</v>
      </c>
      <c r="T117" s="71" t="n">
        <v>0.4</v>
      </c>
      <c r="U117" s="42" t="n">
        <v>23.56</v>
      </c>
      <c r="V117" s="42" t="n">
        <v>5.8146984</v>
      </c>
      <c r="W117" s="42" t="n">
        <f aca="false">SUM(Z117:AE117)</f>
        <v>3.78</v>
      </c>
      <c r="X117" s="14" t="s">
        <v>108</v>
      </c>
      <c r="Y117" s="53" t="n">
        <v>46069</v>
      </c>
      <c r="Z117" s="42" t="n">
        <v>1.42</v>
      </c>
      <c r="AA117" s="42" t="n">
        <v>0</v>
      </c>
      <c r="AB117" s="42" t="n">
        <v>0</v>
      </c>
      <c r="AC117" s="42" t="n">
        <v>0</v>
      </c>
      <c r="AD117" s="42" t="n">
        <v>2.36</v>
      </c>
      <c r="AE117" s="42" t="n">
        <v>0</v>
      </c>
      <c r="AF117" s="14" t="n">
        <f aca="false">IF(AND(E117&gt;0,COUNTIFS($R$5:R117,R117,$E$5:E117,"&gt;0")=1),1,0)</f>
        <v>1</v>
      </c>
      <c r="AG117" s="14" t="n">
        <f aca="false">IF(AND(E117&gt;0,COUNTIFS($R$5:R117,R117,$K$5:K117,K117,$E$5:E117,"&gt;0")=1),1,0)</f>
        <v>1</v>
      </c>
    </row>
    <row r="118" customFormat="false" ht="15" hidden="false" customHeight="false" outlineLevel="0" collapsed="false">
      <c r="A118" s="17" t="n">
        <v>4876786981</v>
      </c>
      <c r="B118" s="79" t="n">
        <v>46072.8464930556</v>
      </c>
      <c r="C118" s="79" t="n">
        <v>46072.8706134259</v>
      </c>
      <c r="D118" s="39" t="n">
        <v>0.578888888888889</v>
      </c>
      <c r="E118" s="39" t="n">
        <v>31.8365</v>
      </c>
      <c r="F118" s="39" t="n">
        <v>57.096</v>
      </c>
      <c r="G118" s="17" t="s">
        <v>67</v>
      </c>
      <c r="H118" s="80" t="b">
        <f aca="false">TRUE()</f>
        <v>1</v>
      </c>
      <c r="I118" s="80" t="b">
        <f aca="false">FALSE()</f>
        <v>0</v>
      </c>
      <c r="J118" s="81" t="n">
        <v>1</v>
      </c>
      <c r="K118" s="17" t="s">
        <v>229</v>
      </c>
      <c r="L118" s="17" t="s">
        <v>226</v>
      </c>
      <c r="M118" s="17" t="s">
        <v>290</v>
      </c>
      <c r="N118" s="17"/>
      <c r="O118" s="17" t="s">
        <v>228</v>
      </c>
      <c r="P118" s="44" t="n">
        <v>19.94</v>
      </c>
      <c r="Q118" s="44" t="n">
        <v>16.93</v>
      </c>
      <c r="R118" s="54" t="n">
        <f aca="false">INT(B118)</f>
        <v>46072</v>
      </c>
      <c r="S118" s="17" t="n">
        <f aca="false">IF(AND(I118=TRUE(),COUNTIFS($R$5:R118,R118,$I$5:I118,TRUE())=1),1,0)</f>
        <v>0</v>
      </c>
      <c r="T118" s="73" t="n">
        <v>0.4</v>
      </c>
      <c r="U118" s="44" t="n">
        <v>18.81</v>
      </c>
      <c r="V118" s="44" t="n">
        <v>12.7346</v>
      </c>
      <c r="W118" s="44" t="n">
        <f aca="false">SUM(Z118:AE118)</f>
        <v>3.01</v>
      </c>
      <c r="X118" s="17" t="s">
        <v>108</v>
      </c>
      <c r="Y118" s="54" t="n">
        <v>46069</v>
      </c>
      <c r="Z118" s="44" t="n">
        <v>1.13</v>
      </c>
      <c r="AA118" s="44" t="n">
        <v>0</v>
      </c>
      <c r="AB118" s="44" t="n">
        <v>0</v>
      </c>
      <c r="AC118" s="44" t="n">
        <v>0</v>
      </c>
      <c r="AD118" s="44" t="n">
        <v>1.88</v>
      </c>
      <c r="AE118" s="44" t="n">
        <v>0</v>
      </c>
      <c r="AF118" s="17" t="n">
        <f aca="false">IF(AND(E118&gt;0,COUNTIFS($R$5:R118,R118,$E$5:E118,"&gt;0")=1),1,0)</f>
        <v>0</v>
      </c>
      <c r="AG118" s="17" t="n">
        <f aca="false">IF(AND(E118&gt;0,COUNTIFS($R$5:R118,R118,$K$5:K118,K118,$E$5:E118,"&gt;0")=1),1,0)</f>
        <v>1</v>
      </c>
    </row>
    <row r="119" customFormat="false" ht="15" hidden="false" customHeight="false" outlineLevel="0" collapsed="false">
      <c r="A119" s="14" t="n">
        <v>4883142921</v>
      </c>
      <c r="B119" s="77" t="n">
        <v>46075.0016666667</v>
      </c>
      <c r="C119" s="77" t="n">
        <v>46075.0022106482</v>
      </c>
      <c r="D119" s="38" t="n">
        <v>0.0130555555555555</v>
      </c>
      <c r="E119" s="38" t="n">
        <v>0</v>
      </c>
      <c r="F119" s="38" t="n">
        <v>0</v>
      </c>
      <c r="G119" s="14" t="s">
        <v>68</v>
      </c>
      <c r="H119" s="78" t="b">
        <f aca="false">FALSE()</f>
        <v>0</v>
      </c>
      <c r="I119" s="78" t="b">
        <f aca="false">TRUE()</f>
        <v>1</v>
      </c>
      <c r="J119" s="55"/>
      <c r="K119" s="14" t="s">
        <v>229</v>
      </c>
      <c r="L119" s="14" t="s">
        <v>226</v>
      </c>
      <c r="M119" s="14"/>
      <c r="N119" s="14"/>
      <c r="O119" s="14"/>
      <c r="P119" s="42"/>
      <c r="Q119" s="42"/>
      <c r="R119" s="53" t="n">
        <f aca="false">INT(B119)</f>
        <v>46075</v>
      </c>
      <c r="S119" s="14" t="n">
        <f aca="false">IF(AND(I119=TRUE(),COUNTIFS($R$5:R119,R119,$I$5:I119,TRUE())=1),1,0)</f>
        <v>1</v>
      </c>
      <c r="T119" s="71"/>
      <c r="U119" s="42"/>
      <c r="V119" s="42"/>
      <c r="W119" s="42" t="n">
        <f aca="false">SUM(Z119:AE119)</f>
        <v>0</v>
      </c>
      <c r="X119" s="14" t="s">
        <v>111</v>
      </c>
      <c r="Y119" s="53" t="n">
        <v>46069</v>
      </c>
      <c r="Z119" s="42"/>
      <c r="AA119" s="42"/>
      <c r="AB119" s="42"/>
      <c r="AC119" s="42"/>
      <c r="AD119" s="42"/>
      <c r="AE119" s="42"/>
      <c r="AF119" s="14" t="n">
        <f aca="false">IF(AND(E119&gt;0,COUNTIFS($R$5:R119,R119,$E$5:E119,"&gt;0")=1),1,0)</f>
        <v>0</v>
      </c>
      <c r="AG119" s="14" t="n">
        <f aca="false">IF(AND(E119&gt;0,COUNTIFS($R$5:R119,R119,$K$5:K119,K119,$E$5:E119,"&gt;0")=1),1,0)</f>
        <v>0</v>
      </c>
    </row>
    <row r="120" customFormat="false" ht="15" hidden="false" customHeight="false" outlineLevel="0" collapsed="false">
      <c r="A120" s="17" t="n">
        <v>4883146261</v>
      </c>
      <c r="B120" s="79" t="n">
        <v>46075.0025115741</v>
      </c>
      <c r="C120" s="79" t="n">
        <v>46075.0152430556</v>
      </c>
      <c r="D120" s="39" t="n">
        <v>0.305555555555556</v>
      </c>
      <c r="E120" s="39" t="n">
        <v>17.5867</v>
      </c>
      <c r="F120" s="39" t="n">
        <v>60.84</v>
      </c>
      <c r="G120" s="17" t="s">
        <v>68</v>
      </c>
      <c r="H120" s="80" t="b">
        <f aca="false">TRUE()</f>
        <v>1</v>
      </c>
      <c r="I120" s="80" t="b">
        <f aca="false">TRUE()</f>
        <v>1</v>
      </c>
      <c r="J120" s="81" t="n">
        <v>1</v>
      </c>
      <c r="K120" s="17" t="s">
        <v>229</v>
      </c>
      <c r="L120" s="17" t="s">
        <v>226</v>
      </c>
      <c r="M120" s="17" t="s">
        <v>230</v>
      </c>
      <c r="N120" s="17"/>
      <c r="O120" s="17" t="s">
        <v>228</v>
      </c>
      <c r="P120" s="44" t="n">
        <v>10.94</v>
      </c>
      <c r="Q120" s="44" t="n">
        <v>9.29</v>
      </c>
      <c r="R120" s="54" t="n">
        <f aca="false">INT(B120)</f>
        <v>46075</v>
      </c>
      <c r="S120" s="17" t="n">
        <f aca="false">IF(AND(I120=TRUE(),COUNTIFS($R$5:R120,R120,$I$5:I120,TRUE())=1),1,0)</f>
        <v>0</v>
      </c>
      <c r="T120" s="73" t="n">
        <v>0.4</v>
      </c>
      <c r="U120" s="44" t="n">
        <v>10.32</v>
      </c>
      <c r="V120" s="44" t="n">
        <v>7.03468</v>
      </c>
      <c r="W120" s="44" t="n">
        <f aca="false">SUM(Z120:AE120)</f>
        <v>1.65</v>
      </c>
      <c r="X120" s="17" t="s">
        <v>111</v>
      </c>
      <c r="Y120" s="54" t="n">
        <v>46069</v>
      </c>
      <c r="Z120" s="44" t="n">
        <v>0.62</v>
      </c>
      <c r="AA120" s="44" t="n">
        <v>0</v>
      </c>
      <c r="AB120" s="44" t="n">
        <v>0</v>
      </c>
      <c r="AC120" s="44" t="n">
        <v>0</v>
      </c>
      <c r="AD120" s="44" t="n">
        <v>1.03</v>
      </c>
      <c r="AE120" s="44" t="n">
        <v>0</v>
      </c>
      <c r="AF120" s="17" t="n">
        <f aca="false">IF(AND(E120&gt;0,COUNTIFS($R$5:R120,R120,$E$5:E120,"&gt;0")=1),1,0)</f>
        <v>1</v>
      </c>
      <c r="AG120" s="17" t="n">
        <f aca="false">IF(AND(E120&gt;0,COUNTIFS($R$5:R120,R120,$K$5:K120,K120,$E$5:E120,"&gt;0")=1),1,0)</f>
        <v>1</v>
      </c>
    </row>
    <row r="121" customFormat="false" ht="15" hidden="false" customHeight="false" outlineLevel="0" collapsed="false">
      <c r="A121" s="14" t="n">
        <v>4884695201</v>
      </c>
      <c r="B121" s="77" t="n">
        <v>46075.7905902778</v>
      </c>
      <c r="C121" s="77" t="n">
        <v>46075.7919328704</v>
      </c>
      <c r="D121" s="38" t="n">
        <v>0.0322222222222222</v>
      </c>
      <c r="E121" s="38" t="n">
        <v>0</v>
      </c>
      <c r="F121" s="38" t="n">
        <v>0</v>
      </c>
      <c r="G121" s="14" t="s">
        <v>67</v>
      </c>
      <c r="H121" s="78" t="b">
        <f aca="false">FALSE()</f>
        <v>0</v>
      </c>
      <c r="I121" s="78" t="b">
        <f aca="false">FALSE()</f>
        <v>0</v>
      </c>
      <c r="J121" s="55" t="n">
        <v>0</v>
      </c>
      <c r="K121" s="14" t="s">
        <v>229</v>
      </c>
      <c r="L121" s="14" t="s">
        <v>233</v>
      </c>
      <c r="M121" s="14"/>
      <c r="N121" s="14"/>
      <c r="O121" s="14"/>
      <c r="P121" s="42"/>
      <c r="Q121" s="42"/>
      <c r="R121" s="53" t="n">
        <f aca="false">INT(B121)</f>
        <v>46075</v>
      </c>
      <c r="S121" s="14" t="n">
        <f aca="false">IF(AND(I121=TRUE(),COUNTIFS($R$5:R121,R121,$I$5:I121,TRUE())=1),1,0)</f>
        <v>0</v>
      </c>
      <c r="T121" s="71"/>
      <c r="U121" s="42"/>
      <c r="V121" s="42"/>
      <c r="W121" s="42" t="n">
        <f aca="false">SUM(Z121:AE121)</f>
        <v>0</v>
      </c>
      <c r="X121" s="14" t="s">
        <v>111</v>
      </c>
      <c r="Y121" s="53" t="n">
        <v>46069</v>
      </c>
      <c r="Z121" s="42"/>
      <c r="AA121" s="42"/>
      <c r="AB121" s="42"/>
      <c r="AC121" s="42"/>
      <c r="AD121" s="42"/>
      <c r="AE121" s="42"/>
      <c r="AF121" s="14" t="n">
        <f aca="false">IF(AND(E121&gt;0,COUNTIFS($R$5:R121,R121,$E$5:E121,"&gt;0")=1),1,0)</f>
        <v>0</v>
      </c>
      <c r="AG121" s="14" t="n">
        <f aca="false">IF(AND(E121&gt;0,COUNTIFS($R$5:R121,R121,$K$5:K121,K121,$E$5:E121,"&gt;0")=1),1,0)</f>
        <v>0</v>
      </c>
    </row>
    <row r="122" customFormat="false" ht="15" hidden="false" customHeight="false" outlineLevel="0" collapsed="false">
      <c r="A122" s="17" t="n">
        <v>4884702511</v>
      </c>
      <c r="B122" s="79" t="n">
        <v>46075.7925347222</v>
      </c>
      <c r="C122" s="79" t="n">
        <v>46075.8020138889</v>
      </c>
      <c r="D122" s="39" t="n">
        <v>0.2275</v>
      </c>
      <c r="E122" s="39" t="n">
        <v>11.6388</v>
      </c>
      <c r="F122" s="39" t="n">
        <v>0</v>
      </c>
      <c r="G122" s="17" t="s">
        <v>67</v>
      </c>
      <c r="H122" s="80" t="b">
        <f aca="false">FALSE()</f>
        <v>0</v>
      </c>
      <c r="I122" s="80" t="b">
        <f aca="false">FALSE()</f>
        <v>0</v>
      </c>
      <c r="J122" s="81"/>
      <c r="K122" s="17" t="s">
        <v>229</v>
      </c>
      <c r="L122" s="17" t="s">
        <v>233</v>
      </c>
      <c r="M122" s="17"/>
      <c r="N122" s="17"/>
      <c r="O122" s="17"/>
      <c r="P122" s="44" t="n">
        <v>7.38</v>
      </c>
      <c r="Q122" s="44" t="n">
        <v>6.26</v>
      </c>
      <c r="R122" s="54" t="n">
        <f aca="false">INT(B122)</f>
        <v>46075</v>
      </c>
      <c r="S122" s="17" t="n">
        <f aca="false">IF(AND(I122=TRUE(),COUNTIFS($R$5:R122,R122,$I$5:I122,TRUE())=1),1,0)</f>
        <v>0</v>
      </c>
      <c r="T122" s="73" t="n">
        <v>0.4</v>
      </c>
      <c r="U122" s="44" t="n">
        <v>6.96</v>
      </c>
      <c r="V122" s="44" t="n">
        <v>4.65552</v>
      </c>
      <c r="W122" s="44" t="n">
        <f aca="false">SUM(Z122:AE122)</f>
        <v>1.12</v>
      </c>
      <c r="X122" s="17" t="s">
        <v>111</v>
      </c>
      <c r="Y122" s="54" t="n">
        <v>46069</v>
      </c>
      <c r="Z122" s="44" t="n">
        <v>0.42</v>
      </c>
      <c r="AA122" s="44" t="n">
        <v>0</v>
      </c>
      <c r="AB122" s="44" t="n">
        <v>0</v>
      </c>
      <c r="AC122" s="44" t="n">
        <v>0</v>
      </c>
      <c r="AD122" s="44" t="n">
        <v>0.7</v>
      </c>
      <c r="AE122" s="44" t="n">
        <v>0</v>
      </c>
      <c r="AF122" s="17" t="n">
        <f aca="false">IF(AND(E122&gt;0,COUNTIFS($R$5:R122,R122,$E$5:E122,"&gt;0")=1),1,0)</f>
        <v>0</v>
      </c>
      <c r="AG122" s="17" t="n">
        <f aca="false">IF(AND(E122&gt;0,COUNTIFS($R$5:R122,R122,$K$5:K122,K122,$E$5:E122,"&gt;0")=1),1,0)</f>
        <v>0</v>
      </c>
    </row>
    <row r="123" customFormat="false" ht="15" hidden="false" customHeight="false" outlineLevel="0" collapsed="false">
      <c r="A123" s="14" t="n">
        <v>4886409211</v>
      </c>
      <c r="B123" s="77" t="n">
        <v>46076.5662615741</v>
      </c>
      <c r="C123" s="77" t="n">
        <v>46076.6148958333</v>
      </c>
      <c r="D123" s="38" t="n">
        <v>1.16722222222222</v>
      </c>
      <c r="E123" s="38" t="n">
        <v>8.101705</v>
      </c>
      <c r="F123" s="38" t="n">
        <v>7.2196</v>
      </c>
      <c r="G123" s="14" t="s">
        <v>66</v>
      </c>
      <c r="H123" s="78" t="b">
        <f aca="false">FALSE()</f>
        <v>0</v>
      </c>
      <c r="I123" s="78" t="b">
        <f aca="false">FALSE()</f>
        <v>0</v>
      </c>
      <c r="J123" s="55" t="n">
        <v>0</v>
      </c>
      <c r="K123" s="14" t="s">
        <v>225</v>
      </c>
      <c r="L123" s="14" t="s">
        <v>226</v>
      </c>
      <c r="M123" s="14" t="s">
        <v>291</v>
      </c>
      <c r="N123" s="14"/>
      <c r="O123" s="14" t="s">
        <v>232</v>
      </c>
      <c r="P123" s="42" t="n">
        <v>10.48</v>
      </c>
      <c r="Q123" s="42" t="n">
        <v>8.9</v>
      </c>
      <c r="R123" s="53" t="n">
        <f aca="false">INT(B123)</f>
        <v>46076</v>
      </c>
      <c r="S123" s="14" t="n">
        <f aca="false">IF(AND(I123=TRUE(),COUNTIFS($R$5:R123,R123,$I$5:I123,TRUE())=1),1,0)</f>
        <v>0</v>
      </c>
      <c r="T123" s="71" t="n">
        <v>0.4</v>
      </c>
      <c r="U123" s="42" t="n">
        <v>9.89</v>
      </c>
      <c r="V123" s="42" t="n">
        <v>3.240682</v>
      </c>
      <c r="W123" s="42" t="n">
        <f aca="false">SUM(Z123:AE123)</f>
        <v>1.58</v>
      </c>
      <c r="X123" s="14" t="s">
        <v>105</v>
      </c>
      <c r="Y123" s="53" t="n">
        <v>46076</v>
      </c>
      <c r="Z123" s="42" t="n">
        <v>0.59</v>
      </c>
      <c r="AA123" s="42" t="n">
        <v>0</v>
      </c>
      <c r="AB123" s="42" t="n">
        <v>0</v>
      </c>
      <c r="AC123" s="42" t="n">
        <v>0</v>
      </c>
      <c r="AD123" s="42" t="n">
        <v>0.99</v>
      </c>
      <c r="AE123" s="42" t="n">
        <v>0</v>
      </c>
      <c r="AF123" s="14" t="n">
        <f aca="false">IF(AND(E123&gt;0,COUNTIFS($R$5:R123,R123,$E$5:E123,"&gt;0")=1),1,0)</f>
        <v>1</v>
      </c>
      <c r="AG123" s="14" t="n">
        <f aca="false">IF(AND(E123&gt;0,COUNTIFS($R$5:R123,R123,$K$5:K123,K123,$E$5:E123,"&gt;0")=1),1,0)</f>
        <v>1</v>
      </c>
    </row>
    <row r="124" customFormat="false" ht="15" hidden="false" customHeight="false" outlineLevel="0" collapsed="false">
      <c r="A124" s="17" t="n">
        <v>4888019241</v>
      </c>
      <c r="B124" s="79" t="n">
        <v>46076.9835069445</v>
      </c>
      <c r="C124" s="79" t="n">
        <v>46076.9933449074</v>
      </c>
      <c r="D124" s="39" t="n">
        <v>0.236111111111111</v>
      </c>
      <c r="E124" s="39" t="n">
        <v>11.6894</v>
      </c>
      <c r="F124" s="39" t="n">
        <v>55.38</v>
      </c>
      <c r="G124" s="17" t="s">
        <v>68</v>
      </c>
      <c r="H124" s="80" t="b">
        <f aca="false">TRUE()</f>
        <v>1</v>
      </c>
      <c r="I124" s="80" t="b">
        <f aca="false">TRUE()</f>
        <v>1</v>
      </c>
      <c r="J124" s="81" t="n">
        <v>1</v>
      </c>
      <c r="K124" s="17" t="s">
        <v>229</v>
      </c>
      <c r="L124" s="17" t="s">
        <v>226</v>
      </c>
      <c r="M124" s="17" t="s">
        <v>292</v>
      </c>
      <c r="N124" s="17" t="s">
        <v>287</v>
      </c>
      <c r="O124" s="17" t="s">
        <v>228</v>
      </c>
      <c r="P124" s="44" t="n">
        <v>7.44</v>
      </c>
      <c r="Q124" s="44" t="n">
        <v>6.32</v>
      </c>
      <c r="R124" s="54" t="n">
        <f aca="false">INT(B124)</f>
        <v>46076</v>
      </c>
      <c r="S124" s="17" t="n">
        <f aca="false">IF(AND(I124=TRUE(),COUNTIFS($R$5:R124,R124,$I$5:I124,TRUE())=1),1,0)</f>
        <v>1</v>
      </c>
      <c r="T124" s="73" t="n">
        <v>0.4</v>
      </c>
      <c r="U124" s="44" t="n">
        <v>7.02</v>
      </c>
      <c r="V124" s="44" t="n">
        <v>4.67576</v>
      </c>
      <c r="W124" s="44" t="n">
        <f aca="false">SUM(Z124:AE124)</f>
        <v>1.12</v>
      </c>
      <c r="X124" s="17" t="s">
        <v>105</v>
      </c>
      <c r="Y124" s="54" t="n">
        <v>46076</v>
      </c>
      <c r="Z124" s="44" t="n">
        <v>0.42</v>
      </c>
      <c r="AA124" s="44" t="n">
        <v>0</v>
      </c>
      <c r="AB124" s="44" t="n">
        <v>0</v>
      </c>
      <c r="AC124" s="44" t="n">
        <v>0</v>
      </c>
      <c r="AD124" s="44" t="n">
        <v>0.7</v>
      </c>
      <c r="AE124" s="44" t="n">
        <v>0</v>
      </c>
      <c r="AF124" s="17" t="n">
        <f aca="false">IF(AND(E124&gt;0,COUNTIFS($R$5:R124,R124,$E$5:E124,"&gt;0")=1),1,0)</f>
        <v>0</v>
      </c>
      <c r="AG124" s="17" t="n">
        <f aca="false">IF(AND(E124&gt;0,COUNTIFS($R$5:R124,R124,$K$5:K124,K124,$E$5:E124,"&gt;0")=1),1,0)</f>
        <v>1</v>
      </c>
    </row>
    <row r="125" customFormat="false" ht="15" hidden="false" customHeight="false" outlineLevel="0" collapsed="false">
      <c r="A125" s="14" t="n">
        <v>4889971981</v>
      </c>
      <c r="B125" s="77" t="n">
        <v>46077.7149537037</v>
      </c>
      <c r="C125" s="77" t="n">
        <v>46077.7279050926</v>
      </c>
      <c r="D125" s="38" t="n">
        <v>0.310833333333333</v>
      </c>
      <c r="E125" s="38" t="n">
        <v>16.996799</v>
      </c>
      <c r="F125" s="38" t="n">
        <v>56.884</v>
      </c>
      <c r="G125" s="14" t="s">
        <v>66</v>
      </c>
      <c r="H125" s="78" t="b">
        <f aca="false">TRUE()</f>
        <v>1</v>
      </c>
      <c r="I125" s="78" t="b">
        <f aca="false">FALSE()</f>
        <v>0</v>
      </c>
      <c r="J125" s="55" t="n">
        <v>1</v>
      </c>
      <c r="K125" s="14" t="s">
        <v>229</v>
      </c>
      <c r="L125" s="14" t="s">
        <v>226</v>
      </c>
      <c r="M125" s="14" t="s">
        <v>293</v>
      </c>
      <c r="N125" s="14" t="s">
        <v>294</v>
      </c>
      <c r="O125" s="14" t="s">
        <v>228</v>
      </c>
      <c r="P125" s="42" t="n">
        <v>10.65</v>
      </c>
      <c r="Q125" s="42" t="n">
        <v>9.05</v>
      </c>
      <c r="R125" s="53" t="n">
        <f aca="false">INT(B125)</f>
        <v>46077</v>
      </c>
      <c r="S125" s="14" t="n">
        <f aca="false">IF(AND(I125=TRUE(),COUNTIFS($R$5:R125,R125,$I$5:I125,TRUE())=1),1,0)</f>
        <v>0</v>
      </c>
      <c r="T125" s="71" t="n">
        <v>0.4</v>
      </c>
      <c r="U125" s="42" t="n">
        <v>10.05</v>
      </c>
      <c r="V125" s="42" t="n">
        <v>6.7987196</v>
      </c>
      <c r="W125" s="42" t="n">
        <f aca="false">SUM(Z125:AE125)</f>
        <v>1.6</v>
      </c>
      <c r="X125" s="14" t="s">
        <v>106</v>
      </c>
      <c r="Y125" s="53" t="n">
        <v>46076</v>
      </c>
      <c r="Z125" s="42" t="n">
        <v>0.6</v>
      </c>
      <c r="AA125" s="42" t="n">
        <v>0</v>
      </c>
      <c r="AB125" s="42" t="n">
        <v>0</v>
      </c>
      <c r="AC125" s="42" t="n">
        <v>0</v>
      </c>
      <c r="AD125" s="42" t="n">
        <v>1</v>
      </c>
      <c r="AE125" s="42" t="n">
        <v>0</v>
      </c>
      <c r="AF125" s="14" t="n">
        <f aca="false">IF(AND(E125&gt;0,COUNTIFS($R$5:R125,R125,$E$5:E125,"&gt;0")=1),1,0)</f>
        <v>1</v>
      </c>
      <c r="AG125" s="14" t="n">
        <f aca="false">IF(AND(E125&gt;0,COUNTIFS($R$5:R125,R125,$K$5:K125,K125,$E$5:E125,"&gt;0")=1),1,0)</f>
        <v>1</v>
      </c>
    </row>
    <row r="126" customFormat="false" ht="15" hidden="false" customHeight="false" outlineLevel="0" collapsed="false">
      <c r="A126" s="17" t="n">
        <v>4890382581</v>
      </c>
      <c r="B126" s="79" t="n">
        <v>46077.8233912037</v>
      </c>
      <c r="C126" s="79" t="n">
        <v>46077.8582175926</v>
      </c>
      <c r="D126" s="39" t="n">
        <v>0.835833333333333</v>
      </c>
      <c r="E126" s="39" t="n">
        <v>45.560398</v>
      </c>
      <c r="F126" s="39" t="n">
        <v>62.513</v>
      </c>
      <c r="G126" s="17" t="s">
        <v>67</v>
      </c>
      <c r="H126" s="80" t="b">
        <f aca="false">TRUE()</f>
        <v>1</v>
      </c>
      <c r="I126" s="80" t="b">
        <f aca="false">FALSE()</f>
        <v>0</v>
      </c>
      <c r="J126" s="81" t="n">
        <v>1</v>
      </c>
      <c r="K126" s="17" t="s">
        <v>229</v>
      </c>
      <c r="L126" s="17" t="s">
        <v>226</v>
      </c>
      <c r="M126" s="17" t="s">
        <v>230</v>
      </c>
      <c r="N126" s="17"/>
      <c r="O126" s="17" t="s">
        <v>228</v>
      </c>
      <c r="P126" s="44" t="n">
        <v>28.58</v>
      </c>
      <c r="Q126" s="44" t="n">
        <v>24.26</v>
      </c>
      <c r="R126" s="54" t="n">
        <f aca="false">INT(B126)</f>
        <v>46077</v>
      </c>
      <c r="S126" s="17" t="n">
        <f aca="false">IF(AND(I126=TRUE(),COUNTIFS($R$5:R126,R126,$I$5:I126,TRUE())=1),1,0)</f>
        <v>0</v>
      </c>
      <c r="T126" s="73" t="n">
        <v>0.4</v>
      </c>
      <c r="U126" s="44" t="n">
        <v>26.96</v>
      </c>
      <c r="V126" s="44" t="n">
        <v>18.2241592</v>
      </c>
      <c r="W126" s="44" t="n">
        <f aca="false">SUM(Z126:AE126)</f>
        <v>4.32</v>
      </c>
      <c r="X126" s="17" t="s">
        <v>106</v>
      </c>
      <c r="Y126" s="54" t="n">
        <v>46076</v>
      </c>
      <c r="Z126" s="44" t="n">
        <v>1.62</v>
      </c>
      <c r="AA126" s="44" t="n">
        <v>0</v>
      </c>
      <c r="AB126" s="44" t="n">
        <v>0</v>
      </c>
      <c r="AC126" s="44" t="n">
        <v>0</v>
      </c>
      <c r="AD126" s="44" t="n">
        <v>2.7</v>
      </c>
      <c r="AE126" s="44" t="n">
        <v>0</v>
      </c>
      <c r="AF126" s="17" t="n">
        <f aca="false">IF(AND(E126&gt;0,COUNTIFS($R$5:R126,R126,$E$5:E126,"&gt;0")=1),1,0)</f>
        <v>0</v>
      </c>
      <c r="AG126" s="17" t="n">
        <f aca="false">IF(AND(E126&gt;0,COUNTIFS($R$5:R126,R126,$K$5:K126,K126,$E$5:E126,"&gt;0")=1),1,0)</f>
        <v>0</v>
      </c>
    </row>
    <row r="127" customFormat="false" ht="15" hidden="false" customHeight="false" outlineLevel="0" collapsed="false">
      <c r="A127" s="14" t="n">
        <v>4900441001</v>
      </c>
      <c r="B127" s="77" t="n">
        <v>46080.9108912037</v>
      </c>
      <c r="C127" s="77" t="n">
        <v>46080.9122337963</v>
      </c>
      <c r="D127" s="38" t="n">
        <v>0.0322222222222222</v>
      </c>
      <c r="E127" s="38" t="n">
        <v>0</v>
      </c>
      <c r="F127" s="38" t="n">
        <v>0</v>
      </c>
      <c r="G127" s="14" t="s">
        <v>67</v>
      </c>
      <c r="H127" s="78" t="b">
        <f aca="false">FALSE()</f>
        <v>0</v>
      </c>
      <c r="I127" s="78" t="b">
        <f aca="false">FALSE()</f>
        <v>0</v>
      </c>
      <c r="J127" s="55"/>
      <c r="K127" s="14" t="s">
        <v>225</v>
      </c>
      <c r="L127" s="14" t="s">
        <v>226</v>
      </c>
      <c r="M127" s="14"/>
      <c r="N127" s="14"/>
      <c r="O127" s="14"/>
      <c r="P127" s="42"/>
      <c r="Q127" s="42"/>
      <c r="R127" s="53" t="n">
        <f aca="false">INT(B127)</f>
        <v>46080</v>
      </c>
      <c r="S127" s="14" t="n">
        <f aca="false">IF(AND(I127=TRUE(),COUNTIFS($R$5:R127,R127,$I$5:I127,TRUE())=1),1,0)</f>
        <v>0</v>
      </c>
      <c r="T127" s="71"/>
      <c r="U127" s="42"/>
      <c r="V127" s="42"/>
      <c r="W127" s="42" t="n">
        <f aca="false">SUM(Z127:AE127)</f>
        <v>0</v>
      </c>
      <c r="X127" s="14" t="s">
        <v>109</v>
      </c>
      <c r="Y127" s="53" t="n">
        <v>46076</v>
      </c>
      <c r="Z127" s="42"/>
      <c r="AA127" s="42"/>
      <c r="AB127" s="42"/>
      <c r="AC127" s="42"/>
      <c r="AD127" s="42"/>
      <c r="AE127" s="42"/>
      <c r="AF127" s="14" t="n">
        <f aca="false">IF(AND(E127&gt;0,COUNTIFS($R$5:R127,R127,$E$5:E127,"&gt;0")=1),1,0)</f>
        <v>0</v>
      </c>
      <c r="AG127" s="14" t="n">
        <f aca="false">IF(AND(E127&gt;0,COUNTIFS($R$5:R127,R127,$K$5:K127,K127,$E$5:E127,"&gt;0")=1),1,0)</f>
        <v>0</v>
      </c>
    </row>
    <row r="128" customFormat="false" ht="15" hidden="false" customHeight="false" outlineLevel="0" collapsed="false">
      <c r="A128" s="17" t="n">
        <v>4900439591</v>
      </c>
      <c r="B128" s="79" t="n">
        <v>46080.9119444444</v>
      </c>
      <c r="C128" s="79" t="n">
        <v>46080.9237268519</v>
      </c>
      <c r="D128" s="39" t="n">
        <v>0.282777777777778</v>
      </c>
      <c r="E128" s="39" t="n">
        <v>14.9908</v>
      </c>
      <c r="F128" s="39" t="n">
        <v>55.223</v>
      </c>
      <c r="G128" s="17" t="s">
        <v>67</v>
      </c>
      <c r="H128" s="80" t="b">
        <f aca="false">TRUE()</f>
        <v>1</v>
      </c>
      <c r="I128" s="80" t="b">
        <f aca="false">FALSE()</f>
        <v>0</v>
      </c>
      <c r="J128" s="81" t="n">
        <v>1</v>
      </c>
      <c r="K128" s="17" t="s">
        <v>229</v>
      </c>
      <c r="L128" s="17" t="s">
        <v>226</v>
      </c>
      <c r="M128" s="17" t="s">
        <v>273</v>
      </c>
      <c r="N128" s="17"/>
      <c r="O128" s="17" t="s">
        <v>232</v>
      </c>
      <c r="P128" s="44" t="n">
        <v>9.44</v>
      </c>
      <c r="Q128" s="44" t="n">
        <v>8.02</v>
      </c>
      <c r="R128" s="54" t="n">
        <f aca="false">INT(B128)</f>
        <v>46080</v>
      </c>
      <c r="S128" s="17" t="n">
        <f aca="false">IF(AND(I128=TRUE(),COUNTIFS($R$5:R128,R128,$I$5:I128,TRUE())=1),1,0)</f>
        <v>0</v>
      </c>
      <c r="T128" s="73" t="n">
        <v>0.4</v>
      </c>
      <c r="U128" s="44" t="n">
        <v>8.91</v>
      </c>
      <c r="V128" s="44" t="n">
        <v>5.99632</v>
      </c>
      <c r="W128" s="44" t="n">
        <f aca="false">SUM(Z128:AE128)</f>
        <v>1.42</v>
      </c>
      <c r="X128" s="17" t="s">
        <v>109</v>
      </c>
      <c r="Y128" s="54" t="n">
        <v>46076</v>
      </c>
      <c r="Z128" s="44" t="n">
        <v>0.53</v>
      </c>
      <c r="AA128" s="44" t="n">
        <v>0</v>
      </c>
      <c r="AB128" s="44" t="n">
        <v>0</v>
      </c>
      <c r="AC128" s="44" t="n">
        <v>0</v>
      </c>
      <c r="AD128" s="44" t="n">
        <v>0.89</v>
      </c>
      <c r="AE128" s="44" t="n">
        <v>0</v>
      </c>
      <c r="AF128" s="17" t="n">
        <f aca="false">IF(AND(E128&gt;0,COUNTIFS($R$5:R128,R128,$E$5:E128,"&gt;0")=1),1,0)</f>
        <v>1</v>
      </c>
      <c r="AG128" s="17" t="n">
        <f aca="false">IF(AND(E128&gt;0,COUNTIFS($R$5:R128,R128,$K$5:K128,K128,$E$5:E128,"&gt;0")=1),1,0)</f>
        <v>1</v>
      </c>
    </row>
    <row r="129" customFormat="false" ht="15" hidden="false" customHeight="false" outlineLevel="0" collapsed="false">
      <c r="A129" s="14" t="n">
        <v>4900744161</v>
      </c>
      <c r="B129" s="77" t="n">
        <v>46080.9819560185</v>
      </c>
      <c r="C129" s="77" t="n">
        <v>46081.0315740741</v>
      </c>
      <c r="D129" s="38" t="n">
        <v>1.19083333333333</v>
      </c>
      <c r="E129" s="38" t="n">
        <v>62.445</v>
      </c>
      <c r="F129" s="38" t="n">
        <v>62.576</v>
      </c>
      <c r="G129" s="14" t="s">
        <v>68</v>
      </c>
      <c r="H129" s="78" t="b">
        <f aca="false">TRUE()</f>
        <v>1</v>
      </c>
      <c r="I129" s="78" t="b">
        <f aca="false">TRUE()</f>
        <v>1</v>
      </c>
      <c r="J129" s="55" t="n">
        <v>1</v>
      </c>
      <c r="K129" s="14" t="s">
        <v>229</v>
      </c>
      <c r="L129" s="14" t="s">
        <v>226</v>
      </c>
      <c r="M129" s="14" t="s">
        <v>286</v>
      </c>
      <c r="N129" s="14" t="s">
        <v>287</v>
      </c>
      <c r="O129" s="14" t="s">
        <v>228</v>
      </c>
      <c r="P129" s="42" t="n">
        <v>39.4</v>
      </c>
      <c r="Q129" s="42" t="n">
        <v>33.45</v>
      </c>
      <c r="R129" s="53" t="n">
        <f aca="false">INT(B129)</f>
        <v>46080</v>
      </c>
      <c r="S129" s="14" t="n">
        <f aca="false">IF(AND(I129=TRUE(),COUNTIFS($R$5:R129,R129,$I$5:I129,TRUE())=1),1,0)</f>
        <v>1</v>
      </c>
      <c r="T129" s="71" t="n">
        <v>0.4</v>
      </c>
      <c r="U129" s="42" t="n">
        <v>37.17</v>
      </c>
      <c r="V129" s="42" t="n">
        <v>24.978</v>
      </c>
      <c r="W129" s="42" t="n">
        <f aca="false">SUM(Z129:AE129)</f>
        <v>5.95</v>
      </c>
      <c r="X129" s="14" t="s">
        <v>109</v>
      </c>
      <c r="Y129" s="53" t="n">
        <v>46076</v>
      </c>
      <c r="Z129" s="42" t="n">
        <v>2.23</v>
      </c>
      <c r="AA129" s="42" t="n">
        <v>0</v>
      </c>
      <c r="AB129" s="42" t="n">
        <v>0</v>
      </c>
      <c r="AC129" s="42" t="n">
        <v>0</v>
      </c>
      <c r="AD129" s="42" t="n">
        <v>3.72</v>
      </c>
      <c r="AE129" s="42" t="n">
        <v>0</v>
      </c>
      <c r="AF129" s="14" t="n">
        <f aca="false">IF(AND(E129&gt;0,COUNTIFS($R$5:R129,R129,$E$5:E129,"&gt;0")=1),1,0)</f>
        <v>0</v>
      </c>
      <c r="AG129" s="14" t="n">
        <f aca="false">IF(AND(E129&gt;0,COUNTIFS($R$5:R129,R129,$K$5:K129,K129,$E$5:E129,"&gt;0")=1),1,0)</f>
        <v>0</v>
      </c>
    </row>
    <row r="130" customFormat="false" ht="15" hidden="false" customHeight="false" outlineLevel="0" collapsed="false">
      <c r="A130" s="17" t="n">
        <v>4902145451</v>
      </c>
      <c r="B130" s="79" t="n">
        <v>46081.6263541667</v>
      </c>
      <c r="C130" s="79" t="n">
        <v>46081.6533796296</v>
      </c>
      <c r="D130" s="39" t="n">
        <v>0.648611111111111</v>
      </c>
      <c r="E130" s="39" t="n">
        <v>37.776299</v>
      </c>
      <c r="F130" s="39" t="n">
        <v>61.619</v>
      </c>
      <c r="G130" s="17" t="s">
        <v>66</v>
      </c>
      <c r="H130" s="80" t="b">
        <f aca="false">TRUE()</f>
        <v>1</v>
      </c>
      <c r="I130" s="80" t="b">
        <f aca="false">FALSE()</f>
        <v>0</v>
      </c>
      <c r="J130" s="81" t="n">
        <v>1</v>
      </c>
      <c r="K130" s="17" t="s">
        <v>229</v>
      </c>
      <c r="L130" s="17" t="s">
        <v>226</v>
      </c>
      <c r="M130" s="17" t="s">
        <v>230</v>
      </c>
      <c r="N130" s="17"/>
      <c r="O130" s="17" t="s">
        <v>228</v>
      </c>
      <c r="P130" s="44" t="n">
        <v>23.45</v>
      </c>
      <c r="Q130" s="44" t="n">
        <v>19.92</v>
      </c>
      <c r="R130" s="54" t="n">
        <f aca="false">INT(B130)</f>
        <v>46081</v>
      </c>
      <c r="S130" s="17" t="n">
        <f aca="false">IF(AND(I130=TRUE(),COUNTIFS($R$5:R130,R130,$I$5:I130,TRUE())=1),1,0)</f>
        <v>0</v>
      </c>
      <c r="T130" s="73" t="n">
        <v>0.4</v>
      </c>
      <c r="U130" s="44" t="n">
        <v>22.13</v>
      </c>
      <c r="V130" s="44" t="n">
        <v>15.1105196</v>
      </c>
      <c r="W130" s="44" t="n">
        <f aca="false">SUM(Z130:AE130)</f>
        <v>3.53</v>
      </c>
      <c r="X130" s="17" t="s">
        <v>110</v>
      </c>
      <c r="Y130" s="54" t="n">
        <v>46076</v>
      </c>
      <c r="Z130" s="44" t="n">
        <v>1.32</v>
      </c>
      <c r="AA130" s="44" t="n">
        <v>0</v>
      </c>
      <c r="AB130" s="44" t="n">
        <v>0</v>
      </c>
      <c r="AC130" s="44" t="n">
        <v>0</v>
      </c>
      <c r="AD130" s="44" t="n">
        <v>2.21</v>
      </c>
      <c r="AE130" s="44" t="n">
        <v>0</v>
      </c>
      <c r="AF130" s="17" t="n">
        <f aca="false">IF(AND(E130&gt;0,COUNTIFS($R$5:R130,R130,$E$5:E130,"&gt;0")=1),1,0)</f>
        <v>1</v>
      </c>
      <c r="AG130" s="17" t="n">
        <f aca="false">IF(AND(E130&gt;0,COUNTIFS($R$5:R130,R130,$K$5:K130,K130,$E$5:E130,"&gt;0")=1),1,0)</f>
        <v>1</v>
      </c>
    </row>
    <row r="131" customFormat="false" ht="15" hidden="false" customHeight="false" outlineLevel="0" collapsed="false">
      <c r="A131" s="14" t="n">
        <v>4902368671</v>
      </c>
      <c r="B131" s="77" t="n">
        <v>46081.7119907407</v>
      </c>
      <c r="C131" s="77" t="n">
        <v>46081.7137152778</v>
      </c>
      <c r="D131" s="38" t="n">
        <v>0.0413888888888888</v>
      </c>
      <c r="E131" s="38" t="n">
        <v>0.7749</v>
      </c>
      <c r="F131" s="38" t="n">
        <v>0</v>
      </c>
      <c r="G131" s="14" t="s">
        <v>66</v>
      </c>
      <c r="H131" s="78" t="b">
        <f aca="false">FALSE()</f>
        <v>0</v>
      </c>
      <c r="I131" s="78" t="b">
        <f aca="false">FALSE()</f>
        <v>0</v>
      </c>
      <c r="J131" s="55"/>
      <c r="K131" s="14" t="s">
        <v>229</v>
      </c>
      <c r="L131" s="14" t="s">
        <v>226</v>
      </c>
      <c r="M131" s="14" t="s">
        <v>295</v>
      </c>
      <c r="N131" s="14"/>
      <c r="O131" s="14" t="s">
        <v>228</v>
      </c>
      <c r="P131" s="42" t="n">
        <v>0.41</v>
      </c>
      <c r="Q131" s="42" t="n">
        <v>0.35</v>
      </c>
      <c r="R131" s="53" t="n">
        <f aca="false">INT(B131)</f>
        <v>46081</v>
      </c>
      <c r="S131" s="14" t="n">
        <f aca="false">IF(AND(I131=TRUE(),COUNTIFS($R$5:R131,R131,$I$5:I131,TRUE())=1),1,0)</f>
        <v>0</v>
      </c>
      <c r="T131" s="71" t="n">
        <v>0.4</v>
      </c>
      <c r="U131" s="42" t="n">
        <v>0.39</v>
      </c>
      <c r="V131" s="42" t="n">
        <v>0.30996</v>
      </c>
      <c r="W131" s="42" t="n">
        <f aca="false">SUM(Z131:AE131)</f>
        <v>0.06</v>
      </c>
      <c r="X131" s="14" t="s">
        <v>110</v>
      </c>
      <c r="Y131" s="53" t="n">
        <v>46076</v>
      </c>
      <c r="Z131" s="42" t="n">
        <v>0.02</v>
      </c>
      <c r="AA131" s="42" t="n">
        <v>0</v>
      </c>
      <c r="AB131" s="42" t="n">
        <v>0</v>
      </c>
      <c r="AC131" s="42" t="n">
        <v>0</v>
      </c>
      <c r="AD131" s="42" t="n">
        <v>0.04</v>
      </c>
      <c r="AE131" s="42" t="n">
        <v>0</v>
      </c>
      <c r="AF131" s="14" t="n">
        <f aca="false">IF(AND(E131&gt;0,COUNTIFS($R$5:R131,R131,$E$5:E131,"&gt;0")=1),1,0)</f>
        <v>0</v>
      </c>
      <c r="AG131" s="14" t="n">
        <f aca="false">IF(AND(E131&gt;0,COUNTIFS($R$5:R131,R131,$K$5:K131,K131,$E$5:E131,"&gt;0")=1),1,0)</f>
        <v>0</v>
      </c>
    </row>
    <row r="132" customFormat="false" ht="15" hidden="false" customHeight="false" outlineLevel="0" collapsed="false">
      <c r="A132" s="17" t="n">
        <v>4908614761</v>
      </c>
      <c r="B132" s="79" t="n">
        <v>46084.0200925926</v>
      </c>
      <c r="C132" s="79" t="n">
        <v>46084.0815740741</v>
      </c>
      <c r="D132" s="39" t="n">
        <v>1.47555555555556</v>
      </c>
      <c r="E132" s="39" t="n">
        <v>67.7453</v>
      </c>
      <c r="F132" s="39" t="n">
        <v>51.459</v>
      </c>
      <c r="G132" s="17" t="s">
        <v>68</v>
      </c>
      <c r="H132" s="80" t="b">
        <f aca="false">TRUE()</f>
        <v>1</v>
      </c>
      <c r="I132" s="80" t="b">
        <f aca="false">TRUE()</f>
        <v>1</v>
      </c>
      <c r="J132" s="81" t="n">
        <v>1</v>
      </c>
      <c r="K132" s="17" t="s">
        <v>229</v>
      </c>
      <c r="L132" s="17" t="s">
        <v>226</v>
      </c>
      <c r="M132" s="17" t="s">
        <v>296</v>
      </c>
      <c r="N132" s="17"/>
      <c r="O132" s="17" t="s">
        <v>297</v>
      </c>
      <c r="P132" s="44" t="n">
        <v>43.72</v>
      </c>
      <c r="Q132" s="44" t="n">
        <v>37.13</v>
      </c>
      <c r="R132" s="54" t="n">
        <f aca="false">INT(B132)</f>
        <v>46084</v>
      </c>
      <c r="S132" s="17" t="n">
        <f aca="false">IF(AND(I132=TRUE(),COUNTIFS($R$5:R132,R132,$I$5:I132,TRUE())=1),1,0)</f>
        <v>1</v>
      </c>
      <c r="T132" s="73" t="n">
        <v>0.4</v>
      </c>
      <c r="U132" s="44" t="n">
        <v>41.25</v>
      </c>
      <c r="V132" s="44" t="n">
        <v>27.09812</v>
      </c>
      <c r="W132" s="44" t="n">
        <f aca="false">SUM(Z132:AE132)</f>
        <v>6.59</v>
      </c>
      <c r="X132" s="17" t="s">
        <v>106</v>
      </c>
      <c r="Y132" s="54" t="n">
        <v>46083</v>
      </c>
      <c r="Z132" s="44" t="n">
        <v>2.47</v>
      </c>
      <c r="AA132" s="44" t="n">
        <v>0</v>
      </c>
      <c r="AB132" s="44" t="n">
        <v>0</v>
      </c>
      <c r="AC132" s="44" t="n">
        <v>0</v>
      </c>
      <c r="AD132" s="44" t="n">
        <v>4.12</v>
      </c>
      <c r="AE132" s="44" t="n">
        <v>0</v>
      </c>
      <c r="AF132" s="17" t="n">
        <f aca="false">IF(AND(E132&gt;0,COUNTIFS($R$5:R132,R132,$E$5:E132,"&gt;0")=1),1,0)</f>
        <v>1</v>
      </c>
      <c r="AG132" s="17" t="n">
        <f aca="false">IF(AND(E132&gt;0,COUNTIFS($R$5:R132,R132,$K$5:K132,K132,$E$5:E132,"&gt;0")=1),1,0)</f>
        <v>1</v>
      </c>
    </row>
    <row r="133" customFormat="false" ht="15" hidden="false" customHeight="false" outlineLevel="0" collapsed="false">
      <c r="A133" s="14" t="n">
        <v>4925318501</v>
      </c>
      <c r="B133" s="77" t="n">
        <v>46089.7206597222</v>
      </c>
      <c r="C133" s="77" t="n">
        <v>46089.7320717593</v>
      </c>
      <c r="D133" s="38" t="n">
        <v>0.273888888888889</v>
      </c>
      <c r="E133" s="38" t="n">
        <v>1.655707</v>
      </c>
      <c r="F133" s="38" t="n">
        <v>6.8019</v>
      </c>
      <c r="G133" s="14" t="s">
        <v>66</v>
      </c>
      <c r="H133" s="78" t="b">
        <f aca="false">FALSE()</f>
        <v>0</v>
      </c>
      <c r="I133" s="78" t="b">
        <f aca="false">FALSE()</f>
        <v>0</v>
      </c>
      <c r="J133" s="55" t="n">
        <v>0</v>
      </c>
      <c r="K133" s="14" t="s">
        <v>225</v>
      </c>
      <c r="L133" s="14" t="s">
        <v>233</v>
      </c>
      <c r="M133" s="14"/>
      <c r="N133" s="14"/>
      <c r="O133" s="14"/>
      <c r="P133" s="42" t="n">
        <v>2.33</v>
      </c>
      <c r="Q133" s="42" t="n">
        <v>1.98</v>
      </c>
      <c r="R133" s="53" t="n">
        <f aca="false">INT(B133)</f>
        <v>46089</v>
      </c>
      <c r="S133" s="14" t="n">
        <f aca="false">IF(AND(I133=TRUE(),COUNTIFS($R$5:R133,R133,$I$5:I133,TRUE())=1),1,0)</f>
        <v>0</v>
      </c>
      <c r="T133" s="71" t="n">
        <v>0.4</v>
      </c>
      <c r="U133" s="42" t="n">
        <v>2.2</v>
      </c>
      <c r="V133" s="42" t="n">
        <v>0.6622828</v>
      </c>
      <c r="W133" s="42" t="n">
        <f aca="false">SUM(Z133:AE133)</f>
        <v>0.35</v>
      </c>
      <c r="X133" s="14" t="s">
        <v>111</v>
      </c>
      <c r="Y133" s="53" t="n">
        <v>46083</v>
      </c>
      <c r="Z133" s="42" t="n">
        <v>0.13</v>
      </c>
      <c r="AA133" s="42" t="n">
        <v>0</v>
      </c>
      <c r="AB133" s="42" t="n">
        <v>0</v>
      </c>
      <c r="AC133" s="42" t="n">
        <v>0</v>
      </c>
      <c r="AD133" s="42" t="n">
        <v>0.22</v>
      </c>
      <c r="AE133" s="42" t="n">
        <v>0</v>
      </c>
      <c r="AF133" s="14" t="n">
        <f aca="false">IF(AND(E133&gt;0,COUNTIFS($R$5:R133,R133,$E$5:E133,"&gt;0")=1),1,0)</f>
        <v>1</v>
      </c>
      <c r="AG133" s="14" t="n">
        <f aca="false">IF(AND(E133&gt;0,COUNTIFS($R$5:R133,R133,$K$5:K133,K133,$E$5:E133,"&gt;0")=1),1,0)</f>
        <v>1</v>
      </c>
    </row>
    <row r="134" customFormat="false" ht="15" hidden="false" customHeight="false" outlineLevel="0" collapsed="false">
      <c r="A134" s="17" t="n">
        <v>4925500661</v>
      </c>
      <c r="B134" s="79" t="n">
        <v>46089.7826041667</v>
      </c>
      <c r="C134" s="79" t="n">
        <v>46089.7918634259</v>
      </c>
      <c r="D134" s="39" t="n">
        <v>0.222222222222222</v>
      </c>
      <c r="E134" s="39" t="n">
        <v>11.6677</v>
      </c>
      <c r="F134" s="39" t="n">
        <v>58.187</v>
      </c>
      <c r="G134" s="17" t="s">
        <v>67</v>
      </c>
      <c r="H134" s="80" t="b">
        <f aca="false">TRUE()</f>
        <v>1</v>
      </c>
      <c r="I134" s="80" t="b">
        <f aca="false">FALSE()</f>
        <v>0</v>
      </c>
      <c r="J134" s="81" t="n">
        <v>1</v>
      </c>
      <c r="K134" s="17" t="s">
        <v>229</v>
      </c>
      <c r="L134" s="17" t="s">
        <v>226</v>
      </c>
      <c r="M134" s="17" t="s">
        <v>273</v>
      </c>
      <c r="N134" s="17"/>
      <c r="O134" s="17" t="s">
        <v>232</v>
      </c>
      <c r="P134" s="44" t="n">
        <v>7.36</v>
      </c>
      <c r="Q134" s="44" t="n">
        <v>6.25</v>
      </c>
      <c r="R134" s="54" t="n">
        <f aca="false">INT(B134)</f>
        <v>46089</v>
      </c>
      <c r="S134" s="17" t="n">
        <f aca="false">IF(AND(I134=TRUE(),COUNTIFS($R$5:R134,R134,$I$5:I134,TRUE())=1),1,0)</f>
        <v>0</v>
      </c>
      <c r="T134" s="73" t="n">
        <v>0.4</v>
      </c>
      <c r="U134" s="44" t="n">
        <v>6.94</v>
      </c>
      <c r="V134" s="44" t="n">
        <v>4.66708</v>
      </c>
      <c r="W134" s="44" t="n">
        <f aca="false">SUM(Z134:AE134)</f>
        <v>1.11</v>
      </c>
      <c r="X134" s="17" t="s">
        <v>111</v>
      </c>
      <c r="Y134" s="54" t="n">
        <v>46083</v>
      </c>
      <c r="Z134" s="44" t="n">
        <v>0.42</v>
      </c>
      <c r="AA134" s="44" t="n">
        <v>0</v>
      </c>
      <c r="AB134" s="44" t="n">
        <v>0</v>
      </c>
      <c r="AC134" s="44" t="n">
        <v>0</v>
      </c>
      <c r="AD134" s="44" t="n">
        <v>0.69</v>
      </c>
      <c r="AE134" s="44" t="n">
        <v>0</v>
      </c>
      <c r="AF134" s="17" t="n">
        <f aca="false">IF(AND(E134&gt;0,COUNTIFS($R$5:R134,R134,$E$5:E134,"&gt;0")=1),1,0)</f>
        <v>0</v>
      </c>
      <c r="AG134" s="17" t="n">
        <f aca="false">IF(AND(E134&gt;0,COUNTIFS($R$5:R134,R134,$K$5:K134,K134,$E$5:E134,"&gt;0")=1),1,0)</f>
        <v>1</v>
      </c>
    </row>
    <row r="135" customFormat="false" ht="15" hidden="false" customHeight="false" outlineLevel="0" collapsed="false">
      <c r="A135" s="14" t="n">
        <v>4926065441</v>
      </c>
      <c r="B135" s="77" t="n">
        <v>46089.9487152778</v>
      </c>
      <c r="C135" s="77" t="n">
        <v>46089.9779513889</v>
      </c>
      <c r="D135" s="38" t="n">
        <v>0.701666666666667</v>
      </c>
      <c r="E135" s="38" t="n">
        <v>26.359501</v>
      </c>
      <c r="F135" s="38" t="n">
        <v>53.7</v>
      </c>
      <c r="G135" s="14" t="s">
        <v>68</v>
      </c>
      <c r="H135" s="78" t="b">
        <f aca="false">TRUE()</f>
        <v>1</v>
      </c>
      <c r="I135" s="78" t="b">
        <f aca="false">TRUE()</f>
        <v>1</v>
      </c>
      <c r="J135" s="55" t="n">
        <v>1</v>
      </c>
      <c r="K135" s="14" t="s">
        <v>229</v>
      </c>
      <c r="L135" s="14" t="s">
        <v>226</v>
      </c>
      <c r="M135" s="14" t="s">
        <v>298</v>
      </c>
      <c r="N135" s="14" t="s">
        <v>299</v>
      </c>
      <c r="O135" s="14" t="s">
        <v>232</v>
      </c>
      <c r="P135" s="42" t="n">
        <v>17.69</v>
      </c>
      <c r="Q135" s="42" t="n">
        <v>15.02</v>
      </c>
      <c r="R135" s="53" t="n">
        <f aca="false">INT(B135)</f>
        <v>46089</v>
      </c>
      <c r="S135" s="14" t="n">
        <f aca="false">IF(AND(I135=TRUE(),COUNTIFS($R$5:R135,R135,$I$5:I135,TRUE())=1),1,0)</f>
        <v>1</v>
      </c>
      <c r="T135" s="71" t="n">
        <v>0.4</v>
      </c>
      <c r="U135" s="42" t="n">
        <v>16.69</v>
      </c>
      <c r="V135" s="42" t="n">
        <v>10.5438004</v>
      </c>
      <c r="W135" s="42" t="n">
        <f aca="false">SUM(Z135:AE135)</f>
        <v>2.67</v>
      </c>
      <c r="X135" s="14" t="s">
        <v>111</v>
      </c>
      <c r="Y135" s="53" t="n">
        <v>46083</v>
      </c>
      <c r="Z135" s="42" t="n">
        <v>1</v>
      </c>
      <c r="AA135" s="42" t="n">
        <v>0</v>
      </c>
      <c r="AB135" s="42" t="n">
        <v>0</v>
      </c>
      <c r="AC135" s="42" t="n">
        <v>0</v>
      </c>
      <c r="AD135" s="42" t="n">
        <v>1.67</v>
      </c>
      <c r="AE135" s="42" t="n">
        <v>0</v>
      </c>
      <c r="AF135" s="14" t="n">
        <f aca="false">IF(AND(E135&gt;0,COUNTIFS($R$5:R135,R135,$E$5:E135,"&gt;0")=1),1,0)</f>
        <v>0</v>
      </c>
      <c r="AG135" s="14" t="n">
        <f aca="false">IF(AND(E135&gt;0,COUNTIFS($R$5:R135,R135,$K$5:K135,K135,$E$5:E135,"&gt;0")=1),1,0)</f>
        <v>0</v>
      </c>
    </row>
    <row r="136" customFormat="false" ht="15" hidden="false" customHeight="false" outlineLevel="0" collapsed="false">
      <c r="A136" s="17" t="n">
        <v>4926279751</v>
      </c>
      <c r="B136" s="79" t="n">
        <v>46090.004849537</v>
      </c>
      <c r="C136" s="79" t="n">
        <v>46090.0140509259</v>
      </c>
      <c r="D136" s="39" t="n">
        <v>0.220833333333333</v>
      </c>
      <c r="E136" s="39" t="n">
        <v>12.4824</v>
      </c>
      <c r="F136" s="39" t="n">
        <v>59.436</v>
      </c>
      <c r="G136" s="17" t="s">
        <v>68</v>
      </c>
      <c r="H136" s="80" t="b">
        <f aca="false">TRUE()</f>
        <v>1</v>
      </c>
      <c r="I136" s="80" t="b">
        <f aca="false">TRUE()</f>
        <v>1</v>
      </c>
      <c r="J136" s="81" t="n">
        <v>1</v>
      </c>
      <c r="K136" s="17" t="s">
        <v>229</v>
      </c>
      <c r="L136" s="17" t="s">
        <v>226</v>
      </c>
      <c r="M136" s="17" t="s">
        <v>227</v>
      </c>
      <c r="N136" s="17"/>
      <c r="O136" s="17" t="s">
        <v>228</v>
      </c>
      <c r="P136" s="44" t="n">
        <v>7.78</v>
      </c>
      <c r="Q136" s="44" t="n">
        <v>6.61</v>
      </c>
      <c r="R136" s="54" t="n">
        <f aca="false">INT(B136)</f>
        <v>46090</v>
      </c>
      <c r="S136" s="17" t="n">
        <f aca="false">IF(AND(I136=TRUE(),COUNTIFS($R$5:R136,R136,$I$5:I136,TRUE())=1),1,0)</f>
        <v>1</v>
      </c>
      <c r="T136" s="73" t="n">
        <v>0.4</v>
      </c>
      <c r="U136" s="44" t="n">
        <v>7.34</v>
      </c>
      <c r="V136" s="44" t="n">
        <v>4.99296</v>
      </c>
      <c r="W136" s="44" t="n">
        <f aca="false">SUM(Z136:AE136)</f>
        <v>1.17</v>
      </c>
      <c r="X136" s="17" t="s">
        <v>105</v>
      </c>
      <c r="Y136" s="54" t="n">
        <v>46090</v>
      </c>
      <c r="Z136" s="44" t="n">
        <v>0.44</v>
      </c>
      <c r="AA136" s="44" t="n">
        <v>0</v>
      </c>
      <c r="AB136" s="44" t="n">
        <v>0</v>
      </c>
      <c r="AC136" s="44" t="n">
        <v>0</v>
      </c>
      <c r="AD136" s="44" t="n">
        <v>0.73</v>
      </c>
      <c r="AE136" s="44" t="n">
        <v>0</v>
      </c>
      <c r="AF136" s="17" t="n">
        <f aca="false">IF(AND(E136&gt;0,COUNTIFS($R$5:R136,R136,$E$5:E136,"&gt;0")=1),1,0)</f>
        <v>1</v>
      </c>
      <c r="AG136" s="17" t="n">
        <f aca="false">IF(AND(E136&gt;0,COUNTIFS($R$5:R136,R136,$K$5:K136,K136,$E$5:E136,"&gt;0")=1),1,0)</f>
        <v>1</v>
      </c>
    </row>
    <row r="137" customFormat="false" ht="15" hidden="false" customHeight="false" outlineLevel="0" collapsed="false">
      <c r="A137" s="14" t="n">
        <v>4935015601</v>
      </c>
      <c r="B137" s="77" t="n">
        <v>46092.8227893519</v>
      </c>
      <c r="C137" s="77" t="n">
        <v>46092.8989583333</v>
      </c>
      <c r="D137" s="38" t="n">
        <v>1.82805555555556</v>
      </c>
      <c r="E137" s="38" t="n">
        <v>60.586899</v>
      </c>
      <c r="F137" s="38" t="n">
        <v>62.523</v>
      </c>
      <c r="G137" s="14" t="s">
        <v>67</v>
      </c>
      <c r="H137" s="78" t="b">
        <f aca="false">TRUE()</f>
        <v>1</v>
      </c>
      <c r="I137" s="78" t="b">
        <f aca="false">FALSE()</f>
        <v>0</v>
      </c>
      <c r="J137" s="55" t="n">
        <v>0.572175566471241</v>
      </c>
      <c r="K137" s="14" t="s">
        <v>229</v>
      </c>
      <c r="L137" s="14" t="s">
        <v>226</v>
      </c>
      <c r="M137" s="14" t="s">
        <v>230</v>
      </c>
      <c r="N137" s="14"/>
      <c r="O137" s="14" t="s">
        <v>228</v>
      </c>
      <c r="P137" s="42" t="n">
        <v>41.8</v>
      </c>
      <c r="Q137" s="42" t="n">
        <v>35.49</v>
      </c>
      <c r="R137" s="53" t="n">
        <f aca="false">INT(B137)</f>
        <v>46092</v>
      </c>
      <c r="S137" s="14" t="n">
        <f aca="false">IF(AND(I137=TRUE(),COUNTIFS($R$5:R137,R137,$I$5:I137,TRUE())=1),1,0)</f>
        <v>0</v>
      </c>
      <c r="T137" s="71" t="n">
        <v>0.5</v>
      </c>
      <c r="U137" s="42" t="n">
        <v>39.43</v>
      </c>
      <c r="V137" s="42" t="n">
        <v>30.2934495</v>
      </c>
      <c r="W137" s="42" t="n">
        <f aca="false">SUM(Z137:AE137)</f>
        <v>6.31</v>
      </c>
      <c r="X137" s="14" t="s">
        <v>107</v>
      </c>
      <c r="Y137" s="53" t="n">
        <v>46090</v>
      </c>
      <c r="Z137" s="42" t="n">
        <v>2.37</v>
      </c>
      <c r="AA137" s="42" t="n">
        <v>0</v>
      </c>
      <c r="AB137" s="42" t="n">
        <v>0</v>
      </c>
      <c r="AC137" s="42" t="n">
        <v>0</v>
      </c>
      <c r="AD137" s="42" t="n">
        <v>3.94</v>
      </c>
      <c r="AE137" s="42" t="n">
        <v>0</v>
      </c>
      <c r="AF137" s="14" t="n">
        <f aca="false">IF(AND(E137&gt;0,COUNTIFS($R$5:R137,R137,$E$5:E137,"&gt;0")=1),1,0)</f>
        <v>1</v>
      </c>
      <c r="AG137" s="14" t="n">
        <f aca="false">IF(AND(E137&gt;0,COUNTIFS($R$5:R137,R137,$K$5:K137,K137,$E$5:E137,"&gt;0")=1),1,0)</f>
        <v>1</v>
      </c>
    </row>
    <row r="138" customFormat="false" ht="15" hidden="false" customHeight="false" outlineLevel="0" collapsed="false">
      <c r="A138" s="17" t="n">
        <v>4944129701</v>
      </c>
      <c r="B138" s="79" t="n">
        <v>46095.7106365741</v>
      </c>
      <c r="C138" s="79" t="n">
        <v>46095.7483796296</v>
      </c>
      <c r="D138" s="39" t="n">
        <v>0.905833333333333</v>
      </c>
      <c r="E138" s="39" t="n">
        <v>53.8335</v>
      </c>
      <c r="F138" s="39" t="n">
        <v>62.523</v>
      </c>
      <c r="G138" s="17" t="s">
        <v>66</v>
      </c>
      <c r="H138" s="80" t="b">
        <f aca="false">TRUE()</f>
        <v>1</v>
      </c>
      <c r="I138" s="80" t="b">
        <f aca="false">FALSE()</f>
        <v>0</v>
      </c>
      <c r="J138" s="81" t="n">
        <v>1</v>
      </c>
      <c r="K138" s="17" t="s">
        <v>229</v>
      </c>
      <c r="L138" s="17" t="s">
        <v>226</v>
      </c>
      <c r="M138" s="17" t="s">
        <v>230</v>
      </c>
      <c r="N138" s="17"/>
      <c r="O138" s="17" t="s">
        <v>228</v>
      </c>
      <c r="P138" s="44" t="n">
        <v>33.34</v>
      </c>
      <c r="Q138" s="44" t="n">
        <v>28.31</v>
      </c>
      <c r="R138" s="54" t="n">
        <f aca="false">INT(B138)</f>
        <v>46095</v>
      </c>
      <c r="S138" s="17" t="n">
        <f aca="false">IF(AND(I138=TRUE(),COUNTIFS($R$5:R138,R138,$I$5:I138,TRUE())=1),1,0)</f>
        <v>0</v>
      </c>
      <c r="T138" s="73" t="n">
        <v>0.5</v>
      </c>
      <c r="U138" s="44" t="n">
        <v>31.45</v>
      </c>
      <c r="V138" s="44" t="n">
        <v>26.91675</v>
      </c>
      <c r="W138" s="44" t="n">
        <f aca="false">SUM(Z138:AE138)</f>
        <v>5.03</v>
      </c>
      <c r="X138" s="17" t="s">
        <v>110</v>
      </c>
      <c r="Y138" s="54" t="n">
        <v>46090</v>
      </c>
      <c r="Z138" s="44" t="n">
        <v>1.89</v>
      </c>
      <c r="AA138" s="44" t="n">
        <v>0</v>
      </c>
      <c r="AB138" s="44" t="n">
        <v>0</v>
      </c>
      <c r="AC138" s="44" t="n">
        <v>0</v>
      </c>
      <c r="AD138" s="44" t="n">
        <v>3.14</v>
      </c>
      <c r="AE138" s="44" t="n">
        <v>0</v>
      </c>
      <c r="AF138" s="17" t="n">
        <f aca="false">IF(AND(E138&gt;0,COUNTIFS($R$5:R138,R138,$E$5:E138,"&gt;0")=1),1,0)</f>
        <v>1</v>
      </c>
      <c r="AG138" s="17" t="n">
        <f aca="false">IF(AND(E138&gt;0,COUNTIFS($R$5:R138,R138,$K$5:K138,K138,$E$5:E138,"&gt;0")=1),1,0)</f>
        <v>1</v>
      </c>
    </row>
    <row r="139" customFormat="false" ht="15" hidden="false" customHeight="false" outlineLevel="0" collapsed="false">
      <c r="A139" s="14" t="n">
        <v>4949686711</v>
      </c>
      <c r="B139" s="77" t="n">
        <v>46097.7749074074</v>
      </c>
      <c r="C139" s="77" t="n">
        <v>46097.7874652778</v>
      </c>
      <c r="D139" s="38" t="n">
        <v>0.301388888888889</v>
      </c>
      <c r="E139" s="38" t="n">
        <v>13.1724</v>
      </c>
      <c r="F139" s="38" t="n">
        <v>46.654</v>
      </c>
      <c r="G139" s="14" t="s">
        <v>67</v>
      </c>
      <c r="H139" s="78" t="b">
        <f aca="false">TRUE()</f>
        <v>1</v>
      </c>
      <c r="I139" s="78" t="b">
        <f aca="false">FALSE()</f>
        <v>0</v>
      </c>
      <c r="J139" s="55" t="n">
        <v>1</v>
      </c>
      <c r="K139" s="14" t="s">
        <v>229</v>
      </c>
      <c r="L139" s="14" t="s">
        <v>226</v>
      </c>
      <c r="M139" s="14" t="s">
        <v>300</v>
      </c>
      <c r="N139" s="14" t="s">
        <v>301</v>
      </c>
      <c r="O139" s="14" t="s">
        <v>284</v>
      </c>
      <c r="P139" s="42" t="n">
        <v>8.59</v>
      </c>
      <c r="Q139" s="42" t="n">
        <v>7.29</v>
      </c>
      <c r="R139" s="53" t="n">
        <f aca="false">INT(B139)</f>
        <v>46097</v>
      </c>
      <c r="S139" s="14" t="n">
        <f aca="false">IF(AND(I139=TRUE(),COUNTIFS($R$5:R139,R139,$I$5:I139,TRUE())=1),1,0)</f>
        <v>0</v>
      </c>
      <c r="T139" s="71" t="n">
        <v>0.5</v>
      </c>
      <c r="U139" s="42" t="n">
        <v>8.1</v>
      </c>
      <c r="V139" s="42" t="n">
        <v>6.5862</v>
      </c>
      <c r="W139" s="42" t="n">
        <f aca="false">SUM(Z139:AE139)</f>
        <v>1.3</v>
      </c>
      <c r="X139" s="14" t="s">
        <v>105</v>
      </c>
      <c r="Y139" s="53" t="n">
        <v>46097</v>
      </c>
      <c r="Z139" s="42" t="n">
        <v>0.49</v>
      </c>
      <c r="AA139" s="42" t="n">
        <v>0</v>
      </c>
      <c r="AB139" s="42" t="n">
        <v>0</v>
      </c>
      <c r="AC139" s="42" t="n">
        <v>0</v>
      </c>
      <c r="AD139" s="42" t="n">
        <v>0.81</v>
      </c>
      <c r="AE139" s="42" t="n">
        <v>0</v>
      </c>
      <c r="AF139" s="14" t="n">
        <f aca="false">IF(AND(E139&gt;0,COUNTIFS($R$5:R139,R139,$E$5:E139,"&gt;0")=1),1,0)</f>
        <v>1</v>
      </c>
      <c r="AG139" s="14" t="n">
        <f aca="false">IF(AND(E139&gt;0,COUNTIFS($R$5:R139,R139,$K$5:K139,K139,$E$5:E139,"&gt;0")=1),1,0)</f>
        <v>1</v>
      </c>
    </row>
    <row r="140" customFormat="false" ht="15" hidden="false" customHeight="false" outlineLevel="0" collapsed="false">
      <c r="A140" s="17" t="n">
        <v>4951981571</v>
      </c>
      <c r="B140" s="79" t="n">
        <v>46098.5517824074</v>
      </c>
      <c r="C140" s="79" t="n">
        <v>46098.5884143519</v>
      </c>
      <c r="D140" s="39" t="n">
        <v>0.879166666666667</v>
      </c>
      <c r="E140" s="39" t="n">
        <v>40.9562</v>
      </c>
      <c r="F140" s="39" t="n">
        <v>48.825</v>
      </c>
      <c r="G140" s="17" t="s">
        <v>66</v>
      </c>
      <c r="H140" s="80" t="b">
        <f aca="false">TRUE()</f>
        <v>1</v>
      </c>
      <c r="I140" s="80" t="b">
        <f aca="false">FALSE()</f>
        <v>0</v>
      </c>
      <c r="J140" s="81" t="n">
        <v>0.99046221570066</v>
      </c>
      <c r="K140" s="17" t="s">
        <v>229</v>
      </c>
      <c r="L140" s="17" t="s">
        <v>233</v>
      </c>
      <c r="M140" s="17"/>
      <c r="N140" s="17"/>
      <c r="O140" s="17"/>
      <c r="P140" s="44" t="n">
        <v>26.37</v>
      </c>
      <c r="Q140" s="44" t="n">
        <v>22.39</v>
      </c>
      <c r="R140" s="54" t="n">
        <f aca="false">INT(B140)</f>
        <v>46098</v>
      </c>
      <c r="S140" s="17" t="n">
        <f aca="false">IF(AND(I140=TRUE(),COUNTIFS($R$5:R140,R140,$I$5:I140,TRUE())=1),1,0)</f>
        <v>0</v>
      </c>
      <c r="T140" s="73" t="n">
        <v>0.5</v>
      </c>
      <c r="U140" s="44" t="n">
        <v>24.88</v>
      </c>
      <c r="V140" s="44" t="n">
        <v>20.4781</v>
      </c>
      <c r="W140" s="44" t="n">
        <f aca="false">SUM(Z140:AE140)</f>
        <v>3.98</v>
      </c>
      <c r="X140" s="17" t="s">
        <v>106</v>
      </c>
      <c r="Y140" s="54" t="n">
        <v>46097</v>
      </c>
      <c r="Z140" s="44" t="n">
        <v>1.49</v>
      </c>
      <c r="AA140" s="44" t="n">
        <v>0</v>
      </c>
      <c r="AB140" s="44" t="n">
        <v>0</v>
      </c>
      <c r="AC140" s="44" t="n">
        <v>0</v>
      </c>
      <c r="AD140" s="44" t="n">
        <v>2.49</v>
      </c>
      <c r="AE140" s="44" t="n">
        <v>0</v>
      </c>
      <c r="AF140" s="17" t="n">
        <f aca="false">IF(AND(E140&gt;0,COUNTIFS($R$5:R140,R140,$E$5:E140,"&gt;0")=1),1,0)</f>
        <v>1</v>
      </c>
      <c r="AG140" s="17" t="n">
        <f aca="false">IF(AND(E140&gt;0,COUNTIFS($R$5:R140,R140,$K$5:K140,K140,$E$5:E140,"&gt;0")=1),1,0)</f>
        <v>1</v>
      </c>
    </row>
    <row r="141" customFormat="false" ht="15" hidden="false" customHeight="false" outlineLevel="0" collapsed="false">
      <c r="A141" s="14" t="n">
        <v>4957293331</v>
      </c>
      <c r="B141" s="77" t="n">
        <v>46099.978125</v>
      </c>
      <c r="C141" s="77" t="n">
        <v>46100.0242013889</v>
      </c>
      <c r="D141" s="38" t="n">
        <v>1.10583333333333</v>
      </c>
      <c r="E141" s="38" t="n">
        <v>66.366898</v>
      </c>
      <c r="F141" s="38" t="n">
        <v>62.465</v>
      </c>
      <c r="G141" s="14" t="s">
        <v>68</v>
      </c>
      <c r="H141" s="78" t="b">
        <f aca="false">TRUE()</f>
        <v>1</v>
      </c>
      <c r="I141" s="78" t="b">
        <f aca="false">TRUE()</f>
        <v>1</v>
      </c>
      <c r="J141" s="55" t="n">
        <v>1</v>
      </c>
      <c r="K141" s="14" t="s">
        <v>229</v>
      </c>
      <c r="L141" s="14" t="s">
        <v>226</v>
      </c>
      <c r="M141" s="14" t="s">
        <v>230</v>
      </c>
      <c r="N141" s="14"/>
      <c r="O141" s="14" t="s">
        <v>228</v>
      </c>
      <c r="P141" s="42" t="n">
        <v>41.03</v>
      </c>
      <c r="Q141" s="42" t="n">
        <v>34.84</v>
      </c>
      <c r="R141" s="53" t="n">
        <f aca="false">INT(B141)</f>
        <v>46099</v>
      </c>
      <c r="S141" s="14" t="n">
        <f aca="false">IF(AND(I141=TRUE(),COUNTIFS($R$5:R141,R141,$I$5:I141,TRUE())=1),1,0)</f>
        <v>1</v>
      </c>
      <c r="T141" s="71" t="n">
        <v>0.5</v>
      </c>
      <c r="U141" s="42" t="n">
        <v>38.71</v>
      </c>
      <c r="V141" s="42" t="n">
        <v>33.183449</v>
      </c>
      <c r="W141" s="42" t="n">
        <f aca="false">SUM(Z141:AE141)</f>
        <v>6.19</v>
      </c>
      <c r="X141" s="14" t="s">
        <v>107</v>
      </c>
      <c r="Y141" s="53" t="n">
        <v>46097</v>
      </c>
      <c r="Z141" s="42" t="n">
        <v>2.32</v>
      </c>
      <c r="AA141" s="42" t="n">
        <v>0</v>
      </c>
      <c r="AB141" s="42" t="n">
        <v>0</v>
      </c>
      <c r="AC141" s="42" t="n">
        <v>0</v>
      </c>
      <c r="AD141" s="42" t="n">
        <v>3.87</v>
      </c>
      <c r="AE141" s="42" t="n">
        <v>0</v>
      </c>
      <c r="AF141" s="14" t="n">
        <f aca="false">IF(AND(E141&gt;0,COUNTIFS($R$5:R141,R141,$E$5:E141,"&gt;0")=1),1,0)</f>
        <v>1</v>
      </c>
      <c r="AG141" s="14" t="n">
        <f aca="false">IF(AND(E141&gt;0,COUNTIFS($R$5:R141,R141,$K$5:K141,K141,$E$5:E141,"&gt;0")=1),1,0)</f>
        <v>1</v>
      </c>
    </row>
    <row r="142" customFormat="false" ht="15" hidden="false" customHeight="false" outlineLevel="0" collapsed="false">
      <c r="A142" s="17" t="n">
        <v>4976809861</v>
      </c>
      <c r="B142" s="79" t="n">
        <v>46106.5855787037</v>
      </c>
      <c r="C142" s="79" t="n">
        <v>46106.603912037</v>
      </c>
      <c r="D142" s="39" t="n">
        <v>0.44</v>
      </c>
      <c r="E142" s="39" t="n">
        <v>19.178699</v>
      </c>
      <c r="F142" s="39" t="n">
        <v>45.161</v>
      </c>
      <c r="G142" s="17" t="s">
        <v>66</v>
      </c>
      <c r="H142" s="80" t="b">
        <f aca="false">TRUE()</f>
        <v>1</v>
      </c>
      <c r="I142" s="80" t="b">
        <f aca="false">FALSE()</f>
        <v>0</v>
      </c>
      <c r="J142" s="81" t="n">
        <v>1</v>
      </c>
      <c r="K142" s="17" t="s">
        <v>229</v>
      </c>
      <c r="L142" s="17" t="s">
        <v>233</v>
      </c>
      <c r="M142" s="17"/>
      <c r="N142" s="17"/>
      <c r="O142" s="17"/>
      <c r="P142" s="44" t="n">
        <v>12.5</v>
      </c>
      <c r="Q142" s="44" t="n">
        <v>10.61</v>
      </c>
      <c r="R142" s="54" t="n">
        <f aca="false">INT(B142)</f>
        <v>46106</v>
      </c>
      <c r="S142" s="17" t="n">
        <f aca="false">IF(AND(I142=TRUE(),COUNTIFS($R$5:R142,R142,$I$5:I142,TRUE())=1),1,0)</f>
        <v>0</v>
      </c>
      <c r="T142" s="73" t="n">
        <v>0.5</v>
      </c>
      <c r="U142" s="44" t="n">
        <v>11.79</v>
      </c>
      <c r="V142" s="44" t="n">
        <v>9.5893495</v>
      </c>
      <c r="W142" s="44" t="n">
        <f aca="false">SUM(Z142:AE142)</f>
        <v>1.89</v>
      </c>
      <c r="X142" s="17" t="s">
        <v>107</v>
      </c>
      <c r="Y142" s="54" t="n">
        <v>46104</v>
      </c>
      <c r="Z142" s="44" t="n">
        <v>0.71</v>
      </c>
      <c r="AA142" s="44" t="n">
        <v>0</v>
      </c>
      <c r="AB142" s="44" t="n">
        <v>0</v>
      </c>
      <c r="AC142" s="44" t="n">
        <v>0</v>
      </c>
      <c r="AD142" s="44" t="n">
        <v>1.18</v>
      </c>
      <c r="AE142" s="44" t="n">
        <v>0</v>
      </c>
      <c r="AF142" s="17" t="n">
        <f aca="false">IF(AND(E142&gt;0,COUNTIFS($R$5:R142,R142,$E$5:E142,"&gt;0")=1),1,0)</f>
        <v>1</v>
      </c>
      <c r="AG142" s="17" t="n">
        <f aca="false">IF(AND(E142&gt;0,COUNTIFS($R$5:R142,R142,$K$5:K142,K142,$E$5:E142,"&gt;0")=1),1,0)</f>
        <v>1</v>
      </c>
    </row>
    <row r="143" customFormat="false" ht="15" hidden="false" customHeight="false" outlineLevel="0" collapsed="false">
      <c r="A143" s="14" t="n">
        <v>4983982431</v>
      </c>
      <c r="B143" s="77" t="n">
        <v>46108.6844560185</v>
      </c>
      <c r="C143" s="77" t="n">
        <v>46108.7313541667</v>
      </c>
      <c r="D143" s="38" t="n">
        <v>1.12555555555556</v>
      </c>
      <c r="E143" s="38" t="n">
        <v>43.7174</v>
      </c>
      <c r="F143" s="38" t="n">
        <v>59.279</v>
      </c>
      <c r="G143" s="14" t="s">
        <v>66</v>
      </c>
      <c r="H143" s="78" t="b">
        <f aca="false">TRUE()</f>
        <v>1</v>
      </c>
      <c r="I143" s="78" t="b">
        <f aca="false">FALSE()</f>
        <v>0</v>
      </c>
      <c r="J143" s="55" t="n">
        <v>1</v>
      </c>
      <c r="K143" s="14" t="s">
        <v>229</v>
      </c>
      <c r="L143" s="14" t="s">
        <v>252</v>
      </c>
      <c r="M143" s="14"/>
      <c r="N143" s="14"/>
      <c r="O143" s="14"/>
      <c r="P143" s="42" t="n">
        <v>29.14</v>
      </c>
      <c r="Q143" s="42" t="n">
        <v>24.74</v>
      </c>
      <c r="R143" s="53" t="n">
        <f aca="false">INT(B143)</f>
        <v>46108</v>
      </c>
      <c r="S143" s="14" t="n">
        <f aca="false">IF(AND(I143=TRUE(),COUNTIFS($R$5:R143,R143,$I$5:I143,TRUE())=1),1,0)</f>
        <v>0</v>
      </c>
      <c r="T143" s="71" t="n">
        <v>0.5</v>
      </c>
      <c r="U143" s="42" t="n">
        <v>27.49</v>
      </c>
      <c r="V143" s="42" t="n">
        <v>21.8587</v>
      </c>
      <c r="W143" s="42" t="n">
        <f aca="false">SUM(Z143:AE143)</f>
        <v>4.4</v>
      </c>
      <c r="X143" s="14" t="s">
        <v>109</v>
      </c>
      <c r="Y143" s="53" t="n">
        <v>46104</v>
      </c>
      <c r="Z143" s="42" t="n">
        <v>1.65</v>
      </c>
      <c r="AA143" s="42" t="n">
        <v>0</v>
      </c>
      <c r="AB143" s="42" t="n">
        <v>0</v>
      </c>
      <c r="AC143" s="42" t="n">
        <v>0</v>
      </c>
      <c r="AD143" s="42" t="n">
        <v>2.75</v>
      </c>
      <c r="AE143" s="42" t="n">
        <v>0</v>
      </c>
      <c r="AF143" s="14" t="n">
        <f aca="false">IF(AND(E143&gt;0,COUNTIFS($R$5:R143,R143,$E$5:E143,"&gt;0")=1),1,0)</f>
        <v>1</v>
      </c>
      <c r="AG143" s="14" t="n">
        <f aca="false">IF(AND(E143&gt;0,COUNTIFS($R$5:R143,R143,$K$5:K143,K143,$E$5:E143,"&gt;0")=1),1,0)</f>
        <v>1</v>
      </c>
    </row>
    <row r="144" customFormat="false" ht="15" hidden="false" customHeight="false" outlineLevel="0" collapsed="false">
      <c r="A144" s="17" t="n">
        <v>4984669281</v>
      </c>
      <c r="B144" s="79" t="n">
        <v>46108.8523611111</v>
      </c>
      <c r="C144" s="79" t="n">
        <v>46108.8605439815</v>
      </c>
      <c r="D144" s="39" t="n">
        <v>0.196388888888889</v>
      </c>
      <c r="E144" s="39" t="n">
        <v>9.6899</v>
      </c>
      <c r="F144" s="39" t="n">
        <v>55.068</v>
      </c>
      <c r="G144" s="17" t="s">
        <v>67</v>
      </c>
      <c r="H144" s="80" t="b">
        <f aca="false">TRUE()</f>
        <v>1</v>
      </c>
      <c r="I144" s="80" t="b">
        <f aca="false">FALSE()</f>
        <v>0</v>
      </c>
      <c r="J144" s="81" t="n">
        <v>1</v>
      </c>
      <c r="K144" s="17" t="s">
        <v>229</v>
      </c>
      <c r="L144" s="17" t="s">
        <v>226</v>
      </c>
      <c r="M144" s="17" t="s">
        <v>273</v>
      </c>
      <c r="N144" s="17"/>
      <c r="O144" s="17" t="s">
        <v>232</v>
      </c>
      <c r="P144" s="44" t="n">
        <v>6.17</v>
      </c>
      <c r="Q144" s="44" t="n">
        <v>5.24</v>
      </c>
      <c r="R144" s="54" t="n">
        <f aca="false">INT(B144)</f>
        <v>46108</v>
      </c>
      <c r="S144" s="17" t="n">
        <f aca="false">IF(AND(I144=TRUE(),COUNTIFS($R$5:R144,R144,$I$5:I144,TRUE())=1),1,0)</f>
        <v>0</v>
      </c>
      <c r="T144" s="73" t="n">
        <v>0.5</v>
      </c>
      <c r="U144" s="44" t="n">
        <v>5.82</v>
      </c>
      <c r="V144" s="44" t="n">
        <v>4.84495</v>
      </c>
      <c r="W144" s="44" t="n">
        <f aca="false">SUM(Z144:AE144)</f>
        <v>0.93</v>
      </c>
      <c r="X144" s="17" t="s">
        <v>109</v>
      </c>
      <c r="Y144" s="54" t="n">
        <v>46104</v>
      </c>
      <c r="Z144" s="44" t="n">
        <v>0.35</v>
      </c>
      <c r="AA144" s="44" t="n">
        <v>0</v>
      </c>
      <c r="AB144" s="44" t="n">
        <v>0</v>
      </c>
      <c r="AC144" s="44" t="n">
        <v>0</v>
      </c>
      <c r="AD144" s="44" t="n">
        <v>0.58</v>
      </c>
      <c r="AE144" s="44" t="n">
        <v>0</v>
      </c>
      <c r="AF144" s="17" t="n">
        <f aca="false">IF(AND(E144&gt;0,COUNTIFS($R$5:R144,R144,$E$5:E144,"&gt;0")=1),1,0)</f>
        <v>0</v>
      </c>
      <c r="AG144" s="17" t="n">
        <f aca="false">IF(AND(E144&gt;0,COUNTIFS($R$5:R144,R144,$K$5:K144,K144,$E$5:E144,"&gt;0")=1),1,0)</f>
        <v>0</v>
      </c>
    </row>
    <row r="145" customFormat="false" ht="15" hidden="false" customHeight="false" outlineLevel="0" collapsed="false">
      <c r="A145" s="14" t="n">
        <v>4985693971</v>
      </c>
      <c r="B145" s="77" t="n">
        <v>46109.1020949074</v>
      </c>
      <c r="C145" s="77" t="n">
        <v>46109.1035300926</v>
      </c>
      <c r="D145" s="38" t="n">
        <v>0.0344444444444444</v>
      </c>
      <c r="E145" s="38" t="n">
        <v>0</v>
      </c>
      <c r="F145" s="38"/>
      <c r="G145" s="14" t="s">
        <v>68</v>
      </c>
      <c r="H145" s="78" t="b">
        <f aca="false">FALSE()</f>
        <v>0</v>
      </c>
      <c r="I145" s="78" t="b">
        <f aca="false">TRUE()</f>
        <v>1</v>
      </c>
      <c r="J145" s="55"/>
      <c r="K145" s="14" t="s">
        <v>229</v>
      </c>
      <c r="L145" s="14" t="s">
        <v>226</v>
      </c>
      <c r="M145" s="14"/>
      <c r="N145" s="14"/>
      <c r="O145" s="14"/>
      <c r="P145" s="42"/>
      <c r="Q145" s="42"/>
      <c r="R145" s="53" t="n">
        <f aca="false">INT(B145)</f>
        <v>46109</v>
      </c>
      <c r="S145" s="14" t="n">
        <f aca="false">IF(AND(I145=TRUE(),COUNTIFS($R$5:R145,R145,$I$5:I145,TRUE())=1),1,0)</f>
        <v>1</v>
      </c>
      <c r="T145" s="71"/>
      <c r="U145" s="42"/>
      <c r="V145" s="42"/>
      <c r="W145" s="42" t="n">
        <f aca="false">SUM(Z145:AE145)</f>
        <v>0</v>
      </c>
      <c r="X145" s="14" t="s">
        <v>110</v>
      </c>
      <c r="Y145" s="53" t="n">
        <v>46104</v>
      </c>
      <c r="Z145" s="42"/>
      <c r="AA145" s="42"/>
      <c r="AB145" s="42"/>
      <c r="AC145" s="42"/>
      <c r="AD145" s="42"/>
      <c r="AE145" s="42"/>
      <c r="AF145" s="14" t="n">
        <f aca="false">IF(AND(E145&gt;0,COUNTIFS($R$5:R145,R145,$E$5:E145,"&gt;0")=1),1,0)</f>
        <v>0</v>
      </c>
      <c r="AG145" s="14" t="n">
        <f aca="false">IF(AND(E145&gt;0,COUNTIFS($R$5:R145,R145,$K$5:K145,K145,$E$5:E145,"&gt;0")=1),1,0)</f>
        <v>0</v>
      </c>
    </row>
    <row r="146" customFormat="false" ht="15" hidden="false" customHeight="false" outlineLevel="0" collapsed="false">
      <c r="A146" s="17" t="n">
        <v>4985696991</v>
      </c>
      <c r="B146" s="79" t="n">
        <v>46109.1041319444</v>
      </c>
      <c r="C146" s="79" t="n">
        <v>46109.1148148148</v>
      </c>
      <c r="D146" s="39" t="n">
        <v>0.256388888888889</v>
      </c>
      <c r="E146" s="39" t="n">
        <v>1.797054</v>
      </c>
      <c r="F146" s="39" t="n">
        <v>7.3751</v>
      </c>
      <c r="G146" s="17" t="s">
        <v>68</v>
      </c>
      <c r="H146" s="80" t="b">
        <f aca="false">FALSE()</f>
        <v>0</v>
      </c>
      <c r="I146" s="80" t="b">
        <f aca="false">TRUE()</f>
        <v>1</v>
      </c>
      <c r="J146" s="81" t="n">
        <v>0</v>
      </c>
      <c r="K146" s="17" t="s">
        <v>225</v>
      </c>
      <c r="L146" s="17" t="s">
        <v>226</v>
      </c>
      <c r="M146" s="17" t="s">
        <v>302</v>
      </c>
      <c r="N146" s="17"/>
      <c r="O146" s="17" t="s">
        <v>228</v>
      </c>
      <c r="P146" s="44" t="n">
        <v>2.31</v>
      </c>
      <c r="Q146" s="44" t="n">
        <v>1.96</v>
      </c>
      <c r="R146" s="54" t="n">
        <f aca="false">INT(B146)</f>
        <v>46109</v>
      </c>
      <c r="S146" s="17" t="n">
        <f aca="false">IF(AND(I146=TRUE(),COUNTIFS($R$5:R146,R146,$I$5:I146,TRUE())=1),1,0)</f>
        <v>0</v>
      </c>
      <c r="T146" s="73" t="n">
        <v>0.5</v>
      </c>
      <c r="U146" s="44" t="n">
        <v>2.18</v>
      </c>
      <c r="V146" s="44" t="n">
        <v>0.898527</v>
      </c>
      <c r="W146" s="44" t="n">
        <f aca="false">SUM(Z146:AE146)</f>
        <v>0.35</v>
      </c>
      <c r="X146" s="17" t="s">
        <v>110</v>
      </c>
      <c r="Y146" s="54" t="n">
        <v>46104</v>
      </c>
      <c r="Z146" s="44" t="n">
        <v>0.13</v>
      </c>
      <c r="AA146" s="44" t="n">
        <v>0</v>
      </c>
      <c r="AB146" s="44" t="n">
        <v>0</v>
      </c>
      <c r="AC146" s="44" t="n">
        <v>0</v>
      </c>
      <c r="AD146" s="44" t="n">
        <v>0.22</v>
      </c>
      <c r="AE146" s="44" t="n">
        <v>0</v>
      </c>
      <c r="AF146" s="17" t="n">
        <f aca="false">IF(AND(E146&gt;0,COUNTIFS($R$5:R146,R146,$E$5:E146,"&gt;0")=1),1,0)</f>
        <v>1</v>
      </c>
      <c r="AG146" s="17" t="n">
        <f aca="false">IF(AND(E146&gt;0,COUNTIFS($R$5:R146,R146,$K$5:K146,K146,$E$5:E146,"&gt;0")=1),1,0)</f>
        <v>1</v>
      </c>
    </row>
    <row r="147" customFormat="false" ht="15" hidden="false" customHeight="false" outlineLevel="0" collapsed="false">
      <c r="A147" s="14" t="n">
        <v>4986565491</v>
      </c>
      <c r="B147" s="77" t="n">
        <v>46109.6102083333</v>
      </c>
      <c r="C147" s="77" t="n">
        <v>46109.6812847222</v>
      </c>
      <c r="D147" s="38" t="n">
        <v>1.70583333333333</v>
      </c>
      <c r="E147" s="38" t="n">
        <v>86.0774</v>
      </c>
      <c r="F147" s="38" t="n">
        <v>62.472</v>
      </c>
      <c r="G147" s="14" t="s">
        <v>66</v>
      </c>
      <c r="H147" s="78" t="b">
        <f aca="false">TRUE()</f>
        <v>1</v>
      </c>
      <c r="I147" s="78" t="b">
        <f aca="false">FALSE()</f>
        <v>0</v>
      </c>
      <c r="J147" s="55" t="n">
        <v>1</v>
      </c>
      <c r="K147" s="14" t="s">
        <v>229</v>
      </c>
      <c r="L147" s="14" t="s">
        <v>226</v>
      </c>
      <c r="M147" s="14" t="s">
        <v>293</v>
      </c>
      <c r="N147" s="14" t="s">
        <v>294</v>
      </c>
      <c r="O147" s="14" t="s">
        <v>228</v>
      </c>
      <c r="P147" s="42" t="n">
        <v>54.66</v>
      </c>
      <c r="Q147" s="42" t="n">
        <v>46.41</v>
      </c>
      <c r="R147" s="53" t="n">
        <f aca="false">INT(B147)</f>
        <v>46109</v>
      </c>
      <c r="S147" s="14" t="n">
        <f aca="false">IF(AND(I147=TRUE(),COUNTIFS($R$5:R147,R147,$I$5:I147,TRUE())=1),1,0)</f>
        <v>0</v>
      </c>
      <c r="T147" s="71" t="n">
        <v>0.5</v>
      </c>
      <c r="U147" s="42" t="n">
        <v>51.57</v>
      </c>
      <c r="V147" s="42" t="n">
        <v>43.0387</v>
      </c>
      <c r="W147" s="42" t="n">
        <f aca="false">SUM(Z147:AE147)</f>
        <v>8.25</v>
      </c>
      <c r="X147" s="14" t="s">
        <v>110</v>
      </c>
      <c r="Y147" s="53" t="n">
        <v>46104</v>
      </c>
      <c r="Z147" s="42" t="n">
        <v>3.09</v>
      </c>
      <c r="AA147" s="42" t="n">
        <v>0</v>
      </c>
      <c r="AB147" s="42" t="n">
        <v>0</v>
      </c>
      <c r="AC147" s="42" t="n">
        <v>0</v>
      </c>
      <c r="AD147" s="42" t="n">
        <v>5.16</v>
      </c>
      <c r="AE147" s="42" t="n">
        <v>0</v>
      </c>
      <c r="AF147" s="14" t="n">
        <f aca="false">IF(AND(E147&gt;0,COUNTIFS($R$5:R147,R147,$E$5:E147,"&gt;0")=1),1,0)</f>
        <v>0</v>
      </c>
      <c r="AG147" s="14" t="n">
        <f aca="false">IF(AND(E147&gt;0,COUNTIFS($R$5:R147,R147,$K$5:K147,K147,$E$5:E147,"&gt;0")=1),1,0)</f>
        <v>1</v>
      </c>
    </row>
    <row r="148" customFormat="false" ht="15" hidden="false" customHeight="false" outlineLevel="0" collapsed="false">
      <c r="A148" s="17" t="n">
        <v>4986844971</v>
      </c>
      <c r="B148" s="79" t="n">
        <v>46109.7058333333</v>
      </c>
      <c r="C148" s="79" t="n">
        <v>46109.7279513889</v>
      </c>
      <c r="D148" s="39" t="n">
        <v>0.530833333333333</v>
      </c>
      <c r="E148" s="39" t="n">
        <v>12.7405</v>
      </c>
      <c r="F148" s="39" t="n">
        <v>30.336</v>
      </c>
      <c r="G148" s="17" t="s">
        <v>66</v>
      </c>
      <c r="H148" s="80" t="b">
        <f aca="false">TRUE()</f>
        <v>1</v>
      </c>
      <c r="I148" s="80" t="b">
        <f aca="false">FALSE()</f>
        <v>0</v>
      </c>
      <c r="J148" s="81" t="n">
        <v>1</v>
      </c>
      <c r="K148" s="17" t="s">
        <v>229</v>
      </c>
      <c r="L148" s="17" t="s">
        <v>252</v>
      </c>
      <c r="M148" s="17"/>
      <c r="N148" s="17"/>
      <c r="O148" s="17"/>
      <c r="P148" s="44" t="n">
        <v>9.56</v>
      </c>
      <c r="Q148" s="44" t="n">
        <v>8.12</v>
      </c>
      <c r="R148" s="54" t="n">
        <f aca="false">INT(B148)</f>
        <v>46109</v>
      </c>
      <c r="S148" s="17" t="n">
        <f aca="false">IF(AND(I148=TRUE(),COUNTIFS($R$5:R148,R148,$I$5:I148,TRUE())=1),1,0)</f>
        <v>0</v>
      </c>
      <c r="T148" s="73" t="n">
        <v>0.5</v>
      </c>
      <c r="U148" s="44" t="n">
        <v>9.02</v>
      </c>
      <c r="V148" s="44" t="n">
        <v>6.37025</v>
      </c>
      <c r="W148" s="44" t="n">
        <f aca="false">SUM(Z148:AE148)</f>
        <v>1.44</v>
      </c>
      <c r="X148" s="17" t="s">
        <v>110</v>
      </c>
      <c r="Y148" s="54" t="n">
        <v>46104</v>
      </c>
      <c r="Z148" s="44" t="n">
        <v>0.54</v>
      </c>
      <c r="AA148" s="44" t="n">
        <v>0</v>
      </c>
      <c r="AB148" s="44" t="n">
        <v>0</v>
      </c>
      <c r="AC148" s="44" t="n">
        <v>0</v>
      </c>
      <c r="AD148" s="44" t="n">
        <v>0.9</v>
      </c>
      <c r="AE148" s="44" t="n">
        <v>0</v>
      </c>
      <c r="AF148" s="17" t="n">
        <f aca="false">IF(AND(E148&gt;0,COUNTIFS($R$5:R148,R148,$E$5:E148,"&gt;0")=1),1,0)</f>
        <v>0</v>
      </c>
      <c r="AG148" s="17" t="n">
        <f aca="false">IF(AND(E148&gt;0,COUNTIFS($R$5:R148,R148,$K$5:K148,K148,$E$5:E148,"&gt;0")=1),1,0)</f>
        <v>0</v>
      </c>
    </row>
    <row r="149" customFormat="false" ht="15" hidden="false" customHeight="false" outlineLevel="0" collapsed="false">
      <c r="A149" s="14" t="n">
        <v>4987734581</v>
      </c>
      <c r="B149" s="77" t="n">
        <v>46109.9627777778</v>
      </c>
      <c r="C149" s="77" t="n">
        <v>46110.1789467593</v>
      </c>
      <c r="D149" s="38" t="n">
        <v>5.18805555555556</v>
      </c>
      <c r="E149" s="38" t="n">
        <v>37.759991</v>
      </c>
      <c r="F149" s="38" t="n">
        <v>7.4007</v>
      </c>
      <c r="G149" s="14" t="s">
        <v>68</v>
      </c>
      <c r="H149" s="78" t="b">
        <f aca="false">FALSE()</f>
        <v>0</v>
      </c>
      <c r="I149" s="78" t="b">
        <f aca="false">TRUE()</f>
        <v>1</v>
      </c>
      <c r="J149" s="55" t="n">
        <v>0</v>
      </c>
      <c r="K149" s="14" t="s">
        <v>225</v>
      </c>
      <c r="L149" s="14" t="s">
        <v>226</v>
      </c>
      <c r="M149" s="14" t="s">
        <v>302</v>
      </c>
      <c r="N149" s="14"/>
      <c r="O149" s="14" t="s">
        <v>228</v>
      </c>
      <c r="P149" s="42" t="n">
        <v>47.51</v>
      </c>
      <c r="Q149" s="42" t="n">
        <v>40.34</v>
      </c>
      <c r="R149" s="53" t="n">
        <f aca="false">INT(B149)</f>
        <v>46109</v>
      </c>
      <c r="S149" s="14" t="n">
        <f aca="false">IF(AND(I149=TRUE(),COUNTIFS($R$5:R149,R149,$I$5:I149,TRUE())=1),1,0)</f>
        <v>0</v>
      </c>
      <c r="T149" s="71" t="n">
        <v>0.5</v>
      </c>
      <c r="U149" s="42" t="n">
        <v>44.82</v>
      </c>
      <c r="V149" s="42" t="n">
        <v>18.8799955</v>
      </c>
      <c r="W149" s="42" t="n">
        <f aca="false">SUM(Z149:AE149)</f>
        <v>7.17</v>
      </c>
      <c r="X149" s="14" t="s">
        <v>110</v>
      </c>
      <c r="Y149" s="53" t="n">
        <v>46104</v>
      </c>
      <c r="Z149" s="42" t="n">
        <v>2.69</v>
      </c>
      <c r="AA149" s="42" t="n">
        <v>0</v>
      </c>
      <c r="AB149" s="42" t="n">
        <v>0</v>
      </c>
      <c r="AC149" s="42" t="n">
        <v>0</v>
      </c>
      <c r="AD149" s="42" t="n">
        <v>4.48</v>
      </c>
      <c r="AE149" s="42" t="n">
        <v>0</v>
      </c>
      <c r="AF149" s="14" t="n">
        <f aca="false">IF(AND(E149&gt;0,COUNTIFS($R$5:R149,R149,$E$5:E149,"&gt;0")=1),1,0)</f>
        <v>0</v>
      </c>
      <c r="AG149" s="14" t="n">
        <f aca="false">IF(AND(E149&gt;0,COUNTIFS($R$5:R149,R149,$K$5:K149,K149,$E$5:E149,"&gt;0")=1),1,0)</f>
        <v>0</v>
      </c>
    </row>
    <row r="150" customFormat="false" ht="15" hidden="false" customHeight="false" outlineLevel="0" collapsed="false">
      <c r="A150" s="17" t="n">
        <v>4988062341</v>
      </c>
      <c r="B150" s="79" t="n">
        <v>46110.0585648148</v>
      </c>
      <c r="C150" s="79" t="n">
        <v>46110.0670601852</v>
      </c>
      <c r="D150" s="39" t="n">
        <v>0.203888888888889</v>
      </c>
      <c r="E150" s="39" t="n">
        <v>11.5198</v>
      </c>
      <c r="F150" s="39" t="n">
        <v>62.472</v>
      </c>
      <c r="G150" s="17" t="s">
        <v>68</v>
      </c>
      <c r="H150" s="80" t="b">
        <f aca="false">TRUE()</f>
        <v>1</v>
      </c>
      <c r="I150" s="80" t="b">
        <f aca="false">TRUE()</f>
        <v>1</v>
      </c>
      <c r="J150" s="81" t="n">
        <v>1</v>
      </c>
      <c r="K150" s="17" t="s">
        <v>229</v>
      </c>
      <c r="L150" s="17" t="s">
        <v>233</v>
      </c>
      <c r="M150" s="17"/>
      <c r="N150" s="17"/>
      <c r="O150" s="17"/>
      <c r="P150" s="44" t="n">
        <v>7.19</v>
      </c>
      <c r="Q150" s="44" t="n">
        <v>6.1</v>
      </c>
      <c r="R150" s="54" t="n">
        <f aca="false">INT(B150)</f>
        <v>46110</v>
      </c>
      <c r="S150" s="17" t="n">
        <f aca="false">IF(AND(I150=TRUE(),COUNTIFS($R$5:R150,R150,$I$5:I150,TRUE())=1),1,0)</f>
        <v>1</v>
      </c>
      <c r="T150" s="73" t="n">
        <v>0.5</v>
      </c>
      <c r="U150" s="44" t="n">
        <v>6.78</v>
      </c>
      <c r="V150" s="44" t="n">
        <v>5.7599</v>
      </c>
      <c r="W150" s="44" t="n">
        <f aca="false">SUM(Z150:AE150)</f>
        <v>1.09</v>
      </c>
      <c r="X150" s="17" t="s">
        <v>111</v>
      </c>
      <c r="Y150" s="54" t="n">
        <v>46104</v>
      </c>
      <c r="Z150" s="44" t="n">
        <v>0.41</v>
      </c>
      <c r="AA150" s="44" t="n">
        <v>0</v>
      </c>
      <c r="AB150" s="44" t="n">
        <v>0</v>
      </c>
      <c r="AC150" s="44" t="n">
        <v>0</v>
      </c>
      <c r="AD150" s="44" t="n">
        <v>0.68</v>
      </c>
      <c r="AE150" s="44" t="n">
        <v>0</v>
      </c>
      <c r="AF150" s="17" t="n">
        <f aca="false">IF(AND(E150&gt;0,COUNTIFS($R$5:R150,R150,$E$5:E150,"&gt;0")=1),1,0)</f>
        <v>1</v>
      </c>
      <c r="AG150" s="17" t="n">
        <f aca="false">IF(AND(E150&gt;0,COUNTIFS($R$5:R150,R150,$K$5:K150,K150,$E$5:E150,"&gt;0")=1),1,0)</f>
        <v>1</v>
      </c>
    </row>
    <row r="151" customFormat="false" ht="15" hidden="false" customHeight="false" outlineLevel="0" collapsed="false">
      <c r="A151" s="14" t="n">
        <v>4989170751</v>
      </c>
      <c r="B151" s="77" t="n">
        <v>46110.7040972222</v>
      </c>
      <c r="C151" s="77" t="n">
        <v>46110.7663425926</v>
      </c>
      <c r="D151" s="38" t="n">
        <v>1.49388888888889</v>
      </c>
      <c r="E151" s="38" t="n">
        <v>20.0592</v>
      </c>
      <c r="F151" s="38" t="n">
        <v>19.023</v>
      </c>
      <c r="G151" s="14" t="s">
        <v>66</v>
      </c>
      <c r="H151" s="78" t="b">
        <f aca="false">TRUE()</f>
        <v>1</v>
      </c>
      <c r="I151" s="78" t="b">
        <f aca="false">FALSE()</f>
        <v>0</v>
      </c>
      <c r="J151" s="55" t="n">
        <v>1</v>
      </c>
      <c r="K151" s="14" t="s">
        <v>229</v>
      </c>
      <c r="L151" s="14" t="s">
        <v>226</v>
      </c>
      <c r="M151" s="14" t="s">
        <v>303</v>
      </c>
      <c r="N151" s="14"/>
      <c r="O151" s="14" t="s">
        <v>228</v>
      </c>
      <c r="P151" s="42" t="n">
        <v>18.55</v>
      </c>
      <c r="Q151" s="42" t="n">
        <v>15.75</v>
      </c>
      <c r="R151" s="53" t="n">
        <f aca="false">INT(B151)</f>
        <v>46110</v>
      </c>
      <c r="S151" s="14" t="n">
        <f aca="false">IF(AND(I151=TRUE(),COUNTIFS($R$5:R151,R151,$I$5:I151,TRUE())=1),1,0)</f>
        <v>0</v>
      </c>
      <c r="T151" s="71" t="n">
        <v>0.5</v>
      </c>
      <c r="U151" s="42" t="n">
        <v>17.5</v>
      </c>
      <c r="V151" s="42" t="n">
        <v>10.0296</v>
      </c>
      <c r="W151" s="42" t="n">
        <f aca="false">SUM(Z151:AE151)</f>
        <v>2.8</v>
      </c>
      <c r="X151" s="14" t="s">
        <v>111</v>
      </c>
      <c r="Y151" s="53" t="n">
        <v>46104</v>
      </c>
      <c r="Z151" s="42" t="n">
        <v>1.05</v>
      </c>
      <c r="AA151" s="42" t="n">
        <v>0</v>
      </c>
      <c r="AB151" s="42" t="n">
        <v>0</v>
      </c>
      <c r="AC151" s="42" t="n">
        <v>0</v>
      </c>
      <c r="AD151" s="42" t="n">
        <v>1.75</v>
      </c>
      <c r="AE151" s="42" t="n">
        <v>0</v>
      </c>
      <c r="AF151" s="14" t="n">
        <f aca="false">IF(AND(E151&gt;0,COUNTIFS($R$5:R151,R151,$E$5:E151,"&gt;0")=1),1,0)</f>
        <v>0</v>
      </c>
      <c r="AG151" s="14" t="n">
        <f aca="false">IF(AND(E151&gt;0,COUNTIFS($R$5:R151,R151,$K$5:K151,K151,$E$5:E151,"&gt;0")=1),1,0)</f>
        <v>0</v>
      </c>
    </row>
    <row r="152" customFormat="false" ht="15" hidden="false" customHeight="false" outlineLevel="0" collapsed="false">
      <c r="A152" s="17" t="n">
        <v>4992293321</v>
      </c>
      <c r="B152" s="79" t="n">
        <v>46111.7793402778</v>
      </c>
      <c r="C152" s="79" t="n">
        <v>46111.8902662037</v>
      </c>
      <c r="D152" s="39" t="n">
        <v>2.66222222222222</v>
      </c>
      <c r="E152" s="39" t="n">
        <v>57.816898</v>
      </c>
      <c r="F152" s="39" t="n">
        <v>62.523</v>
      </c>
      <c r="G152" s="17" t="s">
        <v>67</v>
      </c>
      <c r="H152" s="80" t="b">
        <f aca="false">TRUE()</f>
        <v>1</v>
      </c>
      <c r="I152" s="80" t="b">
        <f aca="false">FALSE()</f>
        <v>0</v>
      </c>
      <c r="J152" s="81" t="n">
        <v>0.410801963993453</v>
      </c>
      <c r="K152" s="17" t="s">
        <v>229</v>
      </c>
      <c r="L152" s="17" t="s">
        <v>226</v>
      </c>
      <c r="M152" s="17" t="s">
        <v>230</v>
      </c>
      <c r="N152" s="17"/>
      <c r="O152" s="17" t="s">
        <v>228</v>
      </c>
      <c r="P152" s="44" t="n">
        <v>44.75</v>
      </c>
      <c r="Q152" s="44" t="n">
        <v>38</v>
      </c>
      <c r="R152" s="54" t="n">
        <f aca="false">INT(B152)</f>
        <v>46111</v>
      </c>
      <c r="S152" s="17" t="n">
        <f aca="false">IF(AND(I152=TRUE(),COUNTIFS($R$5:R152,R152,$I$5:I152,TRUE())=1),1,0)</f>
        <v>0</v>
      </c>
      <c r="T152" s="73" t="n">
        <v>0.5</v>
      </c>
      <c r="U152" s="44" t="n">
        <v>42.22</v>
      </c>
      <c r="V152" s="44" t="n">
        <v>28.908449</v>
      </c>
      <c r="W152" s="44" t="n">
        <f aca="false">SUM(Z152:AE152)</f>
        <v>6.75</v>
      </c>
      <c r="X152" s="17" t="s">
        <v>105</v>
      </c>
      <c r="Y152" s="54" t="n">
        <v>46111</v>
      </c>
      <c r="Z152" s="44" t="n">
        <v>2.53</v>
      </c>
      <c r="AA152" s="44" t="n">
        <v>0</v>
      </c>
      <c r="AB152" s="44" t="n">
        <v>0</v>
      </c>
      <c r="AC152" s="44" t="n">
        <v>0</v>
      </c>
      <c r="AD152" s="44" t="n">
        <v>4.22</v>
      </c>
      <c r="AE152" s="44" t="n">
        <v>0</v>
      </c>
      <c r="AF152" s="17" t="n">
        <f aca="false">IF(AND(E152&gt;0,COUNTIFS($R$5:R152,R152,$E$5:E152,"&gt;0")=1),1,0)</f>
        <v>1</v>
      </c>
      <c r="AG152" s="17" t="n">
        <f aca="false">IF(AND(E152&gt;0,COUNTIFS($R$5:R152,R152,$K$5:K152,K152,$E$5:E152,"&gt;0")=1),1,0)</f>
        <v>1</v>
      </c>
    </row>
    <row r="153" customFormat="false" ht="15" hidden="false" customHeight="false" outlineLevel="0" collapsed="false">
      <c r="A153" s="14" t="n">
        <v>5000972361</v>
      </c>
      <c r="B153" s="77" t="n">
        <v>46114.545775463</v>
      </c>
      <c r="C153" s="77" t="n">
        <v>46114.5768287037</v>
      </c>
      <c r="D153" s="38" t="n">
        <v>0.745277777777778</v>
      </c>
      <c r="E153" s="38" t="n">
        <v>33.316002</v>
      </c>
      <c r="F153" s="38" t="n">
        <v>56.784</v>
      </c>
      <c r="G153" s="14" t="s">
        <v>66</v>
      </c>
      <c r="H153" s="78" t="b">
        <f aca="false">TRUE()</f>
        <v>1</v>
      </c>
      <c r="I153" s="78" t="b">
        <f aca="false">FALSE()</f>
        <v>0</v>
      </c>
      <c r="J153" s="55" t="n">
        <v>1</v>
      </c>
      <c r="K153" s="14" t="s">
        <v>229</v>
      </c>
      <c r="L153" s="14" t="s">
        <v>226</v>
      </c>
      <c r="M153" s="14" t="s">
        <v>230</v>
      </c>
      <c r="N153" s="14"/>
      <c r="O153" s="14" t="s">
        <v>228</v>
      </c>
      <c r="P153" s="42" t="n">
        <v>21.61</v>
      </c>
      <c r="Q153" s="42" t="n">
        <v>18.35</v>
      </c>
      <c r="R153" s="53" t="n">
        <f aca="false">INT(B153)</f>
        <v>46114</v>
      </c>
      <c r="S153" s="14" t="n">
        <f aca="false">IF(AND(I153=TRUE(),COUNTIFS($R$5:R153,R153,$I$5:I153,TRUE())=1),1,0)</f>
        <v>0</v>
      </c>
      <c r="T153" s="71" t="n">
        <v>0.5</v>
      </c>
      <c r="U153" s="42" t="n">
        <v>20.39</v>
      </c>
      <c r="V153" s="42" t="n">
        <v>16.658001</v>
      </c>
      <c r="W153" s="42" t="n">
        <f aca="false">SUM(Z153:AE153)</f>
        <v>3.26</v>
      </c>
      <c r="X153" s="14" t="s">
        <v>108</v>
      </c>
      <c r="Y153" s="53" t="n">
        <v>46111</v>
      </c>
      <c r="Z153" s="42" t="n">
        <v>1.22</v>
      </c>
      <c r="AA153" s="42" t="n">
        <v>0</v>
      </c>
      <c r="AB153" s="42" t="n">
        <v>0</v>
      </c>
      <c r="AC153" s="42" t="n">
        <v>0</v>
      </c>
      <c r="AD153" s="42" t="n">
        <v>2.04</v>
      </c>
      <c r="AE153" s="42" t="n">
        <v>0</v>
      </c>
      <c r="AF153" s="14" t="n">
        <f aca="false">IF(AND(E153&gt;0,COUNTIFS($R$5:R153,R153,$E$5:E153,"&gt;0")=1),1,0)</f>
        <v>1</v>
      </c>
      <c r="AG153" s="14" t="n">
        <f aca="false">IF(AND(E153&gt;0,COUNTIFS($R$5:R153,R153,$K$5:K153,K153,$E$5:E153,"&gt;0")=1),1,0)</f>
        <v>1</v>
      </c>
    </row>
    <row r="154" customFormat="false" ht="15" hidden="false" customHeight="false" outlineLevel="0" collapsed="false">
      <c r="A154" s="17" t="n">
        <v>5001495271</v>
      </c>
      <c r="B154" s="79" t="n">
        <v>46114.6569675926</v>
      </c>
      <c r="C154" s="79" t="n">
        <v>46114.7724421296</v>
      </c>
      <c r="D154" s="39" t="n">
        <v>2.77138888888889</v>
      </c>
      <c r="E154" s="39" t="n">
        <v>20.032721</v>
      </c>
      <c r="F154" s="39" t="n">
        <v>7.3148</v>
      </c>
      <c r="G154" s="17" t="s">
        <v>66</v>
      </c>
      <c r="H154" s="80" t="b">
        <f aca="false">FALSE()</f>
        <v>0</v>
      </c>
      <c r="I154" s="80" t="b">
        <f aca="false">FALSE()</f>
        <v>0</v>
      </c>
      <c r="J154" s="81" t="n">
        <v>0</v>
      </c>
      <c r="K154" s="17" t="s">
        <v>225</v>
      </c>
      <c r="L154" s="17" t="s">
        <v>226</v>
      </c>
      <c r="M154" s="17" t="s">
        <v>302</v>
      </c>
      <c r="N154" s="17"/>
      <c r="O154" s="17" t="s">
        <v>228</v>
      </c>
      <c r="P154" s="44" t="n">
        <v>25.31</v>
      </c>
      <c r="Q154" s="44" t="n">
        <v>21.49</v>
      </c>
      <c r="R154" s="54" t="n">
        <f aca="false">INT(B154)</f>
        <v>46114</v>
      </c>
      <c r="S154" s="17" t="n">
        <f aca="false">IF(AND(I154=TRUE(),COUNTIFS($R$5:R154,R154,$I$5:I154,TRUE())=1),1,0)</f>
        <v>0</v>
      </c>
      <c r="T154" s="73" t="n">
        <v>0.5</v>
      </c>
      <c r="U154" s="44" t="n">
        <v>23.88</v>
      </c>
      <c r="V154" s="44" t="n">
        <v>10.0163605</v>
      </c>
      <c r="W154" s="44" t="n">
        <f aca="false">SUM(Z154:AE154)</f>
        <v>3.82</v>
      </c>
      <c r="X154" s="17" t="s">
        <v>108</v>
      </c>
      <c r="Y154" s="54" t="n">
        <v>46111</v>
      </c>
      <c r="Z154" s="44" t="n">
        <v>1.43</v>
      </c>
      <c r="AA154" s="44" t="n">
        <v>0</v>
      </c>
      <c r="AB154" s="44" t="n">
        <v>0</v>
      </c>
      <c r="AC154" s="44" t="n">
        <v>0</v>
      </c>
      <c r="AD154" s="44" t="n">
        <v>2.39</v>
      </c>
      <c r="AE154" s="44" t="n">
        <v>0</v>
      </c>
      <c r="AF154" s="17" t="n">
        <f aca="false">IF(AND(E154&gt;0,COUNTIFS($R$5:R154,R154,$E$5:E154,"&gt;0")=1),1,0)</f>
        <v>0</v>
      </c>
      <c r="AG154" s="17" t="n">
        <f aca="false">IF(AND(E154&gt;0,COUNTIFS($R$5:R154,R154,$K$5:K154,K154,$E$5:E154,"&gt;0")=1),1,0)</f>
        <v>1</v>
      </c>
    </row>
    <row r="155" customFormat="false" ht="15" hidden="false" customHeight="false" outlineLevel="0" collapsed="false">
      <c r="A155" s="14" t="n">
        <v>5002321781</v>
      </c>
      <c r="B155" s="77" t="n">
        <v>46114.8482291667</v>
      </c>
      <c r="C155" s="77" t="n">
        <v>46114.8662384259</v>
      </c>
      <c r="D155" s="38" t="n">
        <v>0.432222222222222</v>
      </c>
      <c r="E155" s="38" t="n">
        <v>22.825899</v>
      </c>
      <c r="F155" s="38" t="n">
        <v>61.599</v>
      </c>
      <c r="G155" s="14" t="s">
        <v>67</v>
      </c>
      <c r="H155" s="78" t="b">
        <f aca="false">TRUE()</f>
        <v>1</v>
      </c>
      <c r="I155" s="78" t="b">
        <f aca="false">FALSE()</f>
        <v>0</v>
      </c>
      <c r="J155" s="55" t="n">
        <v>1</v>
      </c>
      <c r="K155" s="14" t="s">
        <v>229</v>
      </c>
      <c r="L155" s="14" t="s">
        <v>226</v>
      </c>
      <c r="M155" s="14" t="s">
        <v>304</v>
      </c>
      <c r="N155" s="14"/>
      <c r="O155" s="14" t="s">
        <v>251</v>
      </c>
      <c r="P155" s="42" t="n">
        <v>14.38</v>
      </c>
      <c r="Q155" s="42" t="n">
        <v>12.21</v>
      </c>
      <c r="R155" s="53" t="n">
        <f aca="false">INT(B155)</f>
        <v>46114</v>
      </c>
      <c r="S155" s="14" t="n">
        <f aca="false">IF(AND(I155=TRUE(),COUNTIFS($R$5:R155,R155,$I$5:I155,TRUE())=1),1,0)</f>
        <v>0</v>
      </c>
      <c r="T155" s="71" t="n">
        <v>0.5</v>
      </c>
      <c r="U155" s="42" t="n">
        <v>13.57</v>
      </c>
      <c r="V155" s="42" t="n">
        <v>11.4129495</v>
      </c>
      <c r="W155" s="42" t="n">
        <f aca="false">SUM(Z155:AE155)</f>
        <v>2.17</v>
      </c>
      <c r="X155" s="14" t="s">
        <v>108</v>
      </c>
      <c r="Y155" s="53" t="n">
        <v>46111</v>
      </c>
      <c r="Z155" s="42" t="n">
        <v>0.81</v>
      </c>
      <c r="AA155" s="42" t="n">
        <v>0</v>
      </c>
      <c r="AB155" s="42" t="n">
        <v>0</v>
      </c>
      <c r="AC155" s="42" t="n">
        <v>0</v>
      </c>
      <c r="AD155" s="42" t="n">
        <v>1.36</v>
      </c>
      <c r="AE155" s="42" t="n">
        <v>0</v>
      </c>
      <c r="AF155" s="14" t="n">
        <f aca="false">IF(AND(E155&gt;0,COUNTIFS($R$5:R155,R155,$E$5:E155,"&gt;0")=1),1,0)</f>
        <v>0</v>
      </c>
      <c r="AG155" s="14" t="n">
        <f aca="false">IF(AND(E155&gt;0,COUNTIFS($R$5:R155,R155,$K$5:K155,K155,$E$5:E155,"&gt;0")=1),1,0)</f>
        <v>0</v>
      </c>
    </row>
    <row r="156" customFormat="false" ht="15" hidden="false" customHeight="false" outlineLevel="0" collapsed="false">
      <c r="A156" s="17" t="n">
        <v>5004585191</v>
      </c>
      <c r="B156" s="79" t="n">
        <v>46115.6311805556</v>
      </c>
      <c r="C156" s="79" t="n">
        <v>46115.735787037</v>
      </c>
      <c r="D156" s="39" t="n">
        <v>2.51055555555556</v>
      </c>
      <c r="E156" s="39" t="n">
        <v>51.890499</v>
      </c>
      <c r="F156" s="39" t="n">
        <v>51.436</v>
      </c>
      <c r="G156" s="17" t="s">
        <v>66</v>
      </c>
      <c r="H156" s="80" t="b">
        <f aca="false">TRUE()</f>
        <v>1</v>
      </c>
      <c r="I156" s="80" t="b">
        <f aca="false">FALSE()</f>
        <v>0</v>
      </c>
      <c r="J156" s="81" t="n">
        <v>0.468462083628632</v>
      </c>
      <c r="K156" s="17" t="s">
        <v>229</v>
      </c>
      <c r="L156" s="17" t="s">
        <v>233</v>
      </c>
      <c r="M156" s="17"/>
      <c r="N156" s="17"/>
      <c r="O156" s="17"/>
      <c r="P156" s="44" t="n">
        <v>40.81</v>
      </c>
      <c r="Q156" s="44" t="n">
        <v>34.65</v>
      </c>
      <c r="R156" s="54" t="n">
        <f aca="false">INT(B156)</f>
        <v>46115</v>
      </c>
      <c r="S156" s="17" t="n">
        <f aca="false">IF(AND(I156=TRUE(),COUNTIFS($R$5:R156,R156,$I$5:I156,TRUE())=1),1,0)</f>
        <v>0</v>
      </c>
      <c r="T156" s="73" t="n">
        <v>0.5</v>
      </c>
      <c r="U156" s="44" t="n">
        <v>38.5</v>
      </c>
      <c r="V156" s="44" t="n">
        <v>25.9452495</v>
      </c>
      <c r="W156" s="44" t="n">
        <f aca="false">SUM(Z156:AE156)</f>
        <v>6.16</v>
      </c>
      <c r="X156" s="17" t="s">
        <v>109</v>
      </c>
      <c r="Y156" s="54" t="n">
        <v>46111</v>
      </c>
      <c r="Z156" s="44" t="n">
        <v>2.31</v>
      </c>
      <c r="AA156" s="44" t="n">
        <v>0</v>
      </c>
      <c r="AB156" s="44" t="n">
        <v>0</v>
      </c>
      <c r="AC156" s="44" t="n">
        <v>0</v>
      </c>
      <c r="AD156" s="44" t="n">
        <v>3.85</v>
      </c>
      <c r="AE156" s="44" t="n">
        <v>0</v>
      </c>
      <c r="AF156" s="17" t="n">
        <f aca="false">IF(AND(E156&gt;0,COUNTIFS($R$5:R156,R156,$E$5:E156,"&gt;0")=1),1,0)</f>
        <v>1</v>
      </c>
      <c r="AG156" s="17" t="n">
        <f aca="false">IF(AND(E156&gt;0,COUNTIFS($R$5:R156,R156,$K$5:K156,K156,$E$5:E156,"&gt;0")=1),1,0)</f>
        <v>1</v>
      </c>
    </row>
    <row r="157" customFormat="false" ht="15" hidden="false" customHeight="false" outlineLevel="0" collapsed="false">
      <c r="A157" s="14" t="n">
        <v>5006411571</v>
      </c>
      <c r="B157" s="77" t="n">
        <v>46116.0800347222</v>
      </c>
      <c r="C157" s="77" t="n">
        <v>46116.0906712963</v>
      </c>
      <c r="D157" s="38" t="n">
        <v>0.255277777777778</v>
      </c>
      <c r="E157" s="38" t="n">
        <v>13.3721</v>
      </c>
      <c r="F157" s="38" t="n">
        <v>57.096</v>
      </c>
      <c r="G157" s="14" t="s">
        <v>68</v>
      </c>
      <c r="H157" s="78" t="b">
        <f aca="false">TRUE()</f>
        <v>1</v>
      </c>
      <c r="I157" s="78" t="b">
        <f aca="false">TRUE()</f>
        <v>1</v>
      </c>
      <c r="J157" s="55" t="n">
        <v>1</v>
      </c>
      <c r="K157" s="14" t="s">
        <v>229</v>
      </c>
      <c r="L157" s="14" t="s">
        <v>226</v>
      </c>
      <c r="M157" s="14" t="s">
        <v>227</v>
      </c>
      <c r="N157" s="14"/>
      <c r="O157" s="14" t="s">
        <v>228</v>
      </c>
      <c r="P157" s="42" t="n">
        <v>8.45</v>
      </c>
      <c r="Q157" s="42" t="n">
        <v>7.17</v>
      </c>
      <c r="R157" s="53" t="n">
        <f aca="false">INT(B157)</f>
        <v>46116</v>
      </c>
      <c r="S157" s="14" t="n">
        <f aca="false">IF(AND(I157=TRUE(),COUNTIFS($R$5:R157,R157,$I$5:I157,TRUE())=1),1,0)</f>
        <v>1</v>
      </c>
      <c r="T157" s="71" t="n">
        <v>0.5</v>
      </c>
      <c r="U157" s="42" t="n">
        <v>7.97</v>
      </c>
      <c r="V157" s="42" t="n">
        <v>6.68605</v>
      </c>
      <c r="W157" s="42" t="n">
        <f aca="false">SUM(Z157:AE157)</f>
        <v>1.28</v>
      </c>
      <c r="X157" s="14" t="s">
        <v>110</v>
      </c>
      <c r="Y157" s="53" t="n">
        <v>46111</v>
      </c>
      <c r="Z157" s="42" t="n">
        <v>0.48</v>
      </c>
      <c r="AA157" s="42" t="n">
        <v>0</v>
      </c>
      <c r="AB157" s="42" t="n">
        <v>0</v>
      </c>
      <c r="AC157" s="42" t="n">
        <v>0</v>
      </c>
      <c r="AD157" s="42" t="n">
        <v>0.8</v>
      </c>
      <c r="AE157" s="42" t="n">
        <v>0</v>
      </c>
      <c r="AF157" s="14" t="n">
        <f aca="false">IF(AND(E157&gt;0,COUNTIFS($R$5:R157,R157,$E$5:E157,"&gt;0")=1),1,0)</f>
        <v>1</v>
      </c>
      <c r="AG157" s="14" t="n">
        <f aca="false">IF(AND(E157&gt;0,COUNTIFS($R$5:R157,R157,$K$5:K157,K157,$E$5:E157,"&gt;0")=1),1,0)</f>
        <v>1</v>
      </c>
    </row>
    <row r="158" customFormat="false" ht="15" hidden="false" customHeight="false" outlineLevel="0" collapsed="false">
      <c r="A158" s="17" t="n">
        <v>5006660271</v>
      </c>
      <c r="B158" s="79" t="n">
        <v>46116.1478240741</v>
      </c>
      <c r="C158" s="79" t="n">
        <v>46116.1644444445</v>
      </c>
      <c r="D158" s="39" t="n">
        <v>0.398888888888889</v>
      </c>
      <c r="E158" s="39" t="n">
        <v>2.873975</v>
      </c>
      <c r="F158" s="39" t="n">
        <v>7.345</v>
      </c>
      <c r="G158" s="17" t="s">
        <v>68</v>
      </c>
      <c r="H158" s="80" t="b">
        <f aca="false">FALSE()</f>
        <v>0</v>
      </c>
      <c r="I158" s="80" t="b">
        <f aca="false">TRUE()</f>
        <v>1</v>
      </c>
      <c r="J158" s="81" t="n">
        <v>0</v>
      </c>
      <c r="K158" s="17" t="s">
        <v>225</v>
      </c>
      <c r="L158" s="17" t="s">
        <v>226</v>
      </c>
      <c r="M158" s="17" t="s">
        <v>305</v>
      </c>
      <c r="N158" s="17" t="s">
        <v>306</v>
      </c>
      <c r="O158" s="17" t="s">
        <v>307</v>
      </c>
      <c r="P158" s="44" t="n">
        <v>3.64</v>
      </c>
      <c r="Q158" s="44" t="n">
        <v>3.09</v>
      </c>
      <c r="R158" s="54" t="n">
        <f aca="false">INT(B158)</f>
        <v>46116</v>
      </c>
      <c r="S158" s="17" t="n">
        <f aca="false">IF(AND(I158=TRUE(),COUNTIFS($R$5:R158,R158,$I$5:I158,TRUE())=1),1,0)</f>
        <v>0</v>
      </c>
      <c r="T158" s="73" t="n">
        <v>0.5</v>
      </c>
      <c r="U158" s="44" t="n">
        <v>3.43</v>
      </c>
      <c r="V158" s="44" t="n">
        <v>1.4369875</v>
      </c>
      <c r="W158" s="44" t="n">
        <f aca="false">SUM(Z158:AE158)</f>
        <v>0.55</v>
      </c>
      <c r="X158" s="17" t="s">
        <v>110</v>
      </c>
      <c r="Y158" s="54" t="n">
        <v>46111</v>
      </c>
      <c r="Z158" s="44" t="n">
        <v>0.21</v>
      </c>
      <c r="AA158" s="44" t="n">
        <v>0</v>
      </c>
      <c r="AB158" s="44" t="n">
        <v>0</v>
      </c>
      <c r="AC158" s="44" t="n">
        <v>0</v>
      </c>
      <c r="AD158" s="44" t="n">
        <v>0.34</v>
      </c>
      <c r="AE158" s="44" t="n">
        <v>0</v>
      </c>
      <c r="AF158" s="17" t="n">
        <f aca="false">IF(AND(E158&gt;0,COUNTIFS($R$5:R158,R158,$E$5:E158,"&gt;0")=1),1,0)</f>
        <v>0</v>
      </c>
      <c r="AG158" s="17" t="n">
        <f aca="false">IF(AND(E158&gt;0,COUNTIFS($R$5:R158,R158,$K$5:K158,K158,$E$5:E158,"&gt;0")=1),1,0)</f>
        <v>1</v>
      </c>
    </row>
    <row r="159" customFormat="false" ht="15" hidden="false" customHeight="false" outlineLevel="0" collapsed="false">
      <c r="A159" s="14" t="n">
        <v>5007280631</v>
      </c>
      <c r="B159" s="77" t="n">
        <v>46116.5920601852</v>
      </c>
      <c r="C159" s="77" t="n">
        <v>46116.5934027778</v>
      </c>
      <c r="D159" s="38" t="n">
        <v>0.0322222222222222</v>
      </c>
      <c r="E159" s="38" t="n">
        <v>0</v>
      </c>
      <c r="F159" s="38" t="n">
        <v>0</v>
      </c>
      <c r="G159" s="14" t="s">
        <v>66</v>
      </c>
      <c r="H159" s="78" t="b">
        <f aca="false">FALSE()</f>
        <v>0</v>
      </c>
      <c r="I159" s="78" t="b">
        <f aca="false">FALSE()</f>
        <v>0</v>
      </c>
      <c r="J159" s="55"/>
      <c r="K159" s="14" t="s">
        <v>225</v>
      </c>
      <c r="L159" s="14" t="s">
        <v>226</v>
      </c>
      <c r="M159" s="14"/>
      <c r="N159" s="14"/>
      <c r="O159" s="14"/>
      <c r="P159" s="42"/>
      <c r="Q159" s="42"/>
      <c r="R159" s="53" t="n">
        <f aca="false">INT(B159)</f>
        <v>46116</v>
      </c>
      <c r="S159" s="14" t="n">
        <f aca="false">IF(AND(I159=TRUE(),COUNTIFS($R$5:R159,R159,$I$5:I159,TRUE())=1),1,0)</f>
        <v>0</v>
      </c>
      <c r="T159" s="71"/>
      <c r="U159" s="42"/>
      <c r="V159" s="42"/>
      <c r="W159" s="42" t="n">
        <f aca="false">SUM(Z159:AE159)</f>
        <v>0</v>
      </c>
      <c r="X159" s="14" t="s">
        <v>110</v>
      </c>
      <c r="Y159" s="53" t="n">
        <v>46111</v>
      </c>
      <c r="Z159" s="42"/>
      <c r="AA159" s="42"/>
      <c r="AB159" s="42"/>
      <c r="AC159" s="42"/>
      <c r="AD159" s="42"/>
      <c r="AE159" s="42"/>
      <c r="AF159" s="14" t="n">
        <f aca="false">IF(AND(E159&gt;0,COUNTIFS($R$5:R159,R159,$E$5:E159,"&gt;0")=1),1,0)</f>
        <v>0</v>
      </c>
      <c r="AG159" s="14" t="n">
        <f aca="false">IF(AND(E159&gt;0,COUNTIFS($R$5:R159,R159,$K$5:K159,K159,$E$5:E159,"&gt;0")=1),1,0)</f>
        <v>0</v>
      </c>
    </row>
    <row r="160" customFormat="false" ht="15" hidden="false" customHeight="false" outlineLevel="0" collapsed="false">
      <c r="A160" s="17" t="n">
        <v>5007282311</v>
      </c>
      <c r="B160" s="79" t="n">
        <v>46116.5939467593</v>
      </c>
      <c r="C160" s="79" t="n">
        <v>46116.6838078704</v>
      </c>
      <c r="D160" s="39" t="n">
        <v>2.15666666666667</v>
      </c>
      <c r="E160" s="39" t="n">
        <v>15.52428</v>
      </c>
      <c r="F160" s="39" t="n">
        <v>7.321</v>
      </c>
      <c r="G160" s="17" t="s">
        <v>66</v>
      </c>
      <c r="H160" s="80" t="b">
        <f aca="false">FALSE()</f>
        <v>0</v>
      </c>
      <c r="I160" s="80" t="b">
        <f aca="false">FALSE()</f>
        <v>0</v>
      </c>
      <c r="J160" s="81" t="n">
        <v>0</v>
      </c>
      <c r="K160" s="17" t="s">
        <v>225</v>
      </c>
      <c r="L160" s="17" t="s">
        <v>226</v>
      </c>
      <c r="M160" s="17" t="s">
        <v>305</v>
      </c>
      <c r="N160" s="17" t="s">
        <v>306</v>
      </c>
      <c r="O160" s="17" t="s">
        <v>307</v>
      </c>
      <c r="P160" s="44" t="n">
        <v>19.66</v>
      </c>
      <c r="Q160" s="44" t="n">
        <v>16.69</v>
      </c>
      <c r="R160" s="54" t="n">
        <f aca="false">INT(B160)</f>
        <v>46116</v>
      </c>
      <c r="S160" s="17" t="n">
        <f aca="false">IF(AND(I160=TRUE(),COUNTIFS($R$5:R160,R160,$I$5:I160,TRUE())=1),1,0)</f>
        <v>0</v>
      </c>
      <c r="T160" s="73" t="n">
        <v>0.5</v>
      </c>
      <c r="U160" s="44" t="n">
        <v>18.54</v>
      </c>
      <c r="V160" s="44" t="n">
        <v>7.76214</v>
      </c>
      <c r="W160" s="44" t="n">
        <f aca="false">SUM(Z160:AE160)</f>
        <v>2.97</v>
      </c>
      <c r="X160" s="17" t="s">
        <v>110</v>
      </c>
      <c r="Y160" s="54" t="n">
        <v>46111</v>
      </c>
      <c r="Z160" s="44" t="n">
        <v>1.12</v>
      </c>
      <c r="AA160" s="44" t="n">
        <v>0</v>
      </c>
      <c r="AB160" s="44" t="n">
        <v>0</v>
      </c>
      <c r="AC160" s="44" t="n">
        <v>0</v>
      </c>
      <c r="AD160" s="44" t="n">
        <v>1.85</v>
      </c>
      <c r="AE160" s="44" t="n">
        <v>0</v>
      </c>
      <c r="AF160" s="17" t="n">
        <f aca="false">IF(AND(E160&gt;0,COUNTIFS($R$5:R160,R160,$E$5:E160,"&gt;0")=1),1,0)</f>
        <v>0</v>
      </c>
      <c r="AG160" s="17" t="n">
        <f aca="false">IF(AND(E160&gt;0,COUNTIFS($R$5:R160,R160,$K$5:K160,K160,$E$5:E160,"&gt;0")=1),1,0)</f>
        <v>0</v>
      </c>
    </row>
    <row r="161" customFormat="false" ht="15" hidden="false" customHeight="false" outlineLevel="0" collapsed="false">
      <c r="A161" s="14" t="n">
        <v>5007294811</v>
      </c>
      <c r="B161" s="77" t="n">
        <v>46116.6</v>
      </c>
      <c r="C161" s="77" t="n">
        <v>46116.6341203704</v>
      </c>
      <c r="D161" s="38" t="n">
        <v>0.818888888888889</v>
      </c>
      <c r="E161" s="38" t="n">
        <v>39.7188</v>
      </c>
      <c r="F161" s="38" t="n">
        <v>56.627</v>
      </c>
      <c r="G161" s="14" t="s">
        <v>66</v>
      </c>
      <c r="H161" s="78" t="b">
        <f aca="false">TRUE()</f>
        <v>1</v>
      </c>
      <c r="I161" s="78" t="b">
        <f aca="false">FALSE()</f>
        <v>0</v>
      </c>
      <c r="J161" s="55" t="n">
        <v>1</v>
      </c>
      <c r="K161" s="14" t="s">
        <v>229</v>
      </c>
      <c r="L161" s="14" t="s">
        <v>226</v>
      </c>
      <c r="M161" s="14" t="s">
        <v>230</v>
      </c>
      <c r="N161" s="14"/>
      <c r="O161" s="14" t="s">
        <v>228</v>
      </c>
      <c r="P161" s="42" t="n">
        <v>25.39</v>
      </c>
      <c r="Q161" s="42" t="n">
        <v>21.56</v>
      </c>
      <c r="R161" s="53" t="n">
        <f aca="false">INT(B161)</f>
        <v>46116</v>
      </c>
      <c r="S161" s="14" t="n">
        <f aca="false">IF(AND(I161=TRUE(),COUNTIFS($R$5:R161,R161,$I$5:I161,TRUE())=1),1,0)</f>
        <v>0</v>
      </c>
      <c r="T161" s="71" t="n">
        <v>0.5</v>
      </c>
      <c r="U161" s="42" t="n">
        <v>23.95</v>
      </c>
      <c r="V161" s="42" t="n">
        <v>19.8594</v>
      </c>
      <c r="W161" s="42" t="n">
        <f aca="false">SUM(Z161:AE161)</f>
        <v>3.83</v>
      </c>
      <c r="X161" s="14" t="s">
        <v>110</v>
      </c>
      <c r="Y161" s="53" t="n">
        <v>46111</v>
      </c>
      <c r="Z161" s="42" t="n">
        <v>1.44</v>
      </c>
      <c r="AA161" s="42" t="n">
        <v>0</v>
      </c>
      <c r="AB161" s="42" t="n">
        <v>0</v>
      </c>
      <c r="AC161" s="42" t="n">
        <v>0</v>
      </c>
      <c r="AD161" s="42" t="n">
        <v>2.39</v>
      </c>
      <c r="AE161" s="42" t="n">
        <v>0</v>
      </c>
      <c r="AF161" s="14" t="n">
        <f aca="false">IF(AND(E161&gt;0,COUNTIFS($R$5:R161,R161,$E$5:E161,"&gt;0")=1),1,0)</f>
        <v>0</v>
      </c>
      <c r="AG161" s="14" t="n">
        <f aca="false">IF(AND(E161&gt;0,COUNTIFS($R$5:R161,R161,$K$5:K161,K161,$E$5:E161,"&gt;0")=1),1,0)</f>
        <v>0</v>
      </c>
    </row>
    <row r="162" customFormat="false" ht="15" hidden="false" customHeight="false" outlineLevel="0" collapsed="false">
      <c r="A162" s="17" t="n">
        <v>5009597461</v>
      </c>
      <c r="B162" s="79" t="n">
        <v>46117.5986921296</v>
      </c>
      <c r="C162" s="79" t="n">
        <v>46117.6291550926</v>
      </c>
      <c r="D162" s="39" t="n">
        <v>0.731111111111111</v>
      </c>
      <c r="E162" s="39" t="n">
        <v>41.103699</v>
      </c>
      <c r="F162" s="39" t="n">
        <v>60.293</v>
      </c>
      <c r="G162" s="17" t="s">
        <v>66</v>
      </c>
      <c r="H162" s="80" t="b">
        <f aca="false">TRUE()</f>
        <v>1</v>
      </c>
      <c r="I162" s="80" t="b">
        <f aca="false">FALSE()</f>
        <v>0</v>
      </c>
      <c r="J162" s="81" t="n">
        <v>1</v>
      </c>
      <c r="K162" s="17" t="s">
        <v>229</v>
      </c>
      <c r="L162" s="17" t="s">
        <v>226</v>
      </c>
      <c r="M162" s="17" t="s">
        <v>304</v>
      </c>
      <c r="N162" s="17"/>
      <c r="O162" s="17" t="s">
        <v>251</v>
      </c>
      <c r="P162" s="44" t="n">
        <v>25.66</v>
      </c>
      <c r="Q162" s="44" t="n">
        <v>21.79</v>
      </c>
      <c r="R162" s="54" t="n">
        <f aca="false">INT(B162)</f>
        <v>46117</v>
      </c>
      <c r="S162" s="17" t="n">
        <f aca="false">IF(AND(I162=TRUE(),COUNTIFS($R$5:R162,R162,$I$5:I162,TRUE())=1),1,0)</f>
        <v>0</v>
      </c>
      <c r="T162" s="73" t="n">
        <v>0.5</v>
      </c>
      <c r="U162" s="44" t="n">
        <v>24.21</v>
      </c>
      <c r="V162" s="44" t="n">
        <v>20.5518495</v>
      </c>
      <c r="W162" s="44" t="n">
        <f aca="false">SUM(Z162:AE162)</f>
        <v>3.87</v>
      </c>
      <c r="X162" s="17" t="s">
        <v>111</v>
      </c>
      <c r="Y162" s="54" t="n">
        <v>46111</v>
      </c>
      <c r="Z162" s="44" t="n">
        <v>1.45</v>
      </c>
      <c r="AA162" s="44" t="n">
        <v>0</v>
      </c>
      <c r="AB162" s="44" t="n">
        <v>0</v>
      </c>
      <c r="AC162" s="44" t="n">
        <v>0</v>
      </c>
      <c r="AD162" s="44" t="n">
        <v>2.42</v>
      </c>
      <c r="AE162" s="44" t="n">
        <v>0</v>
      </c>
      <c r="AF162" s="17" t="n">
        <f aca="false">IF(AND(E162&gt;0,COUNTIFS($R$5:R162,R162,$E$5:E162,"&gt;0")=1),1,0)</f>
        <v>1</v>
      </c>
      <c r="AG162" s="17" t="n">
        <f aca="false">IF(AND(E162&gt;0,COUNTIFS($R$5:R162,R162,$K$5:K162,K162,$E$5:E162,"&gt;0")=1),1,0)</f>
        <v>1</v>
      </c>
    </row>
    <row r="163" customFormat="false" ht="15" hidden="false" customHeight="false" outlineLevel="0" collapsed="false">
      <c r="A163" s="14" t="n">
        <v>5013948291</v>
      </c>
      <c r="B163" s="77" t="n">
        <v>46119.030775463</v>
      </c>
      <c r="C163" s="77" t="n">
        <v>46119.0560648148</v>
      </c>
      <c r="D163" s="38" t="n">
        <v>0.606944444444444</v>
      </c>
      <c r="E163" s="38" t="n">
        <v>36.236801</v>
      </c>
      <c r="F163" s="38" t="n">
        <v>62.465</v>
      </c>
      <c r="G163" s="14" t="s">
        <v>68</v>
      </c>
      <c r="H163" s="78" t="b">
        <f aca="false">TRUE()</f>
        <v>1</v>
      </c>
      <c r="I163" s="78" t="b">
        <f aca="false">TRUE()</f>
        <v>1</v>
      </c>
      <c r="J163" s="55" t="n">
        <v>0.977729494839761</v>
      </c>
      <c r="K163" s="14" t="s">
        <v>229</v>
      </c>
      <c r="L163" s="14" t="s">
        <v>226</v>
      </c>
      <c r="M163" s="14" t="s">
        <v>230</v>
      </c>
      <c r="N163" s="14"/>
      <c r="O163" s="14" t="s">
        <v>228</v>
      </c>
      <c r="P163" s="42" t="n">
        <v>22.42</v>
      </c>
      <c r="Q163" s="42" t="n">
        <v>19.04</v>
      </c>
      <c r="R163" s="53" t="n">
        <f aca="false">INT(B163)</f>
        <v>46119</v>
      </c>
      <c r="S163" s="14" t="n">
        <f aca="false">IF(AND(I163=TRUE(),COUNTIFS($R$5:R163,R163,$I$5:I163,TRUE())=1),1,0)</f>
        <v>1</v>
      </c>
      <c r="T163" s="71" t="n">
        <v>0.5</v>
      </c>
      <c r="U163" s="42" t="n">
        <v>21.15</v>
      </c>
      <c r="V163" s="42" t="n">
        <v>18.1184005</v>
      </c>
      <c r="W163" s="42" t="n">
        <f aca="false">SUM(Z163:AE163)</f>
        <v>3.38</v>
      </c>
      <c r="X163" s="14" t="s">
        <v>106</v>
      </c>
      <c r="Y163" s="53" t="n">
        <v>46118</v>
      </c>
      <c r="Z163" s="42" t="n">
        <v>1.27</v>
      </c>
      <c r="AA163" s="42" t="n">
        <v>0</v>
      </c>
      <c r="AB163" s="42" t="n">
        <v>0</v>
      </c>
      <c r="AC163" s="42" t="n">
        <v>0</v>
      </c>
      <c r="AD163" s="42" t="n">
        <v>2.11</v>
      </c>
      <c r="AE163" s="42" t="n">
        <v>0</v>
      </c>
      <c r="AF163" s="14" t="n">
        <f aca="false">IF(AND(E163&gt;0,COUNTIFS($R$5:R163,R163,$E$5:E163,"&gt;0")=1),1,0)</f>
        <v>1</v>
      </c>
      <c r="AG163" s="14" t="n">
        <f aca="false">IF(AND(E163&gt;0,COUNTIFS($R$5:R163,R163,$K$5:K163,K163,$E$5:E163,"&gt;0")=1),1,0)</f>
        <v>1</v>
      </c>
    </row>
    <row r="164" customFormat="false" ht="15" hidden="false" customHeight="false" outlineLevel="0" collapsed="false">
      <c r="A164" s="17" t="n">
        <v>5015391051</v>
      </c>
      <c r="B164" s="79" t="n">
        <v>46119.6189814815</v>
      </c>
      <c r="C164" s="79" t="n">
        <v>46119.6687615741</v>
      </c>
      <c r="D164" s="39" t="n">
        <v>1.19472222222222</v>
      </c>
      <c r="E164" s="39" t="n">
        <v>36.759499</v>
      </c>
      <c r="F164" s="39" t="n">
        <v>50.141</v>
      </c>
      <c r="G164" s="17" t="s">
        <v>66</v>
      </c>
      <c r="H164" s="80" t="b">
        <f aca="false">TRUE()</f>
        <v>1</v>
      </c>
      <c r="I164" s="80" t="b">
        <f aca="false">FALSE()</f>
        <v>0</v>
      </c>
      <c r="J164" s="81" t="n">
        <v>1</v>
      </c>
      <c r="K164" s="17" t="s">
        <v>229</v>
      </c>
      <c r="L164" s="17" t="s">
        <v>226</v>
      </c>
      <c r="M164" s="17" t="s">
        <v>308</v>
      </c>
      <c r="N164" s="17" t="s">
        <v>309</v>
      </c>
      <c r="O164" s="17" t="s">
        <v>310</v>
      </c>
      <c r="P164" s="44" t="n">
        <v>25.81</v>
      </c>
      <c r="Q164" s="44" t="n">
        <v>21.92</v>
      </c>
      <c r="R164" s="54" t="n">
        <f aca="false">INT(B164)</f>
        <v>46119</v>
      </c>
      <c r="S164" s="17" t="n">
        <f aca="false">IF(AND(I164=TRUE(),COUNTIFS($R$5:R164,R164,$I$5:I164,TRUE())=1),1,0)</f>
        <v>0</v>
      </c>
      <c r="T164" s="73" t="n">
        <v>0.5</v>
      </c>
      <c r="U164" s="44" t="n">
        <v>24.35</v>
      </c>
      <c r="V164" s="44" t="n">
        <v>18.3797495</v>
      </c>
      <c r="W164" s="44" t="n">
        <f aca="false">SUM(Z164:AE164)</f>
        <v>3.89</v>
      </c>
      <c r="X164" s="17" t="s">
        <v>106</v>
      </c>
      <c r="Y164" s="54" t="n">
        <v>46118</v>
      </c>
      <c r="Z164" s="44" t="n">
        <v>1.46</v>
      </c>
      <c r="AA164" s="44" t="n">
        <v>0</v>
      </c>
      <c r="AB164" s="44" t="n">
        <v>0</v>
      </c>
      <c r="AC164" s="44" t="n">
        <v>0</v>
      </c>
      <c r="AD164" s="44" t="n">
        <v>2.43</v>
      </c>
      <c r="AE164" s="44" t="n">
        <v>0</v>
      </c>
      <c r="AF164" s="17" t="n">
        <f aca="false">IF(AND(E164&gt;0,COUNTIFS($R$5:R164,R164,$E$5:E164,"&gt;0")=1),1,0)</f>
        <v>0</v>
      </c>
      <c r="AG164" s="17" t="n">
        <f aca="false">IF(AND(E164&gt;0,COUNTIFS($R$5:R164,R164,$K$5:K164,K164,$E$5:E164,"&gt;0")=1),1,0)</f>
        <v>0</v>
      </c>
    </row>
    <row r="165" customFormat="false" ht="15" hidden="false" customHeight="false" outlineLevel="0" collapsed="false">
      <c r="A165" s="14" t="n">
        <v>5016297551</v>
      </c>
      <c r="B165" s="77" t="n">
        <v>46119.821400463</v>
      </c>
      <c r="C165" s="77" t="n">
        <v>46119.8228240741</v>
      </c>
      <c r="D165" s="38" t="n">
        <v>0.0341666666666666</v>
      </c>
      <c r="E165" s="38" t="n">
        <v>0</v>
      </c>
      <c r="F165" s="38"/>
      <c r="G165" s="14" t="s">
        <v>67</v>
      </c>
      <c r="H165" s="78" t="b">
        <f aca="false">FALSE()</f>
        <v>0</v>
      </c>
      <c r="I165" s="78" t="b">
        <f aca="false">FALSE()</f>
        <v>0</v>
      </c>
      <c r="J165" s="55"/>
      <c r="K165" s="14" t="s">
        <v>229</v>
      </c>
      <c r="L165" s="14" t="s">
        <v>226</v>
      </c>
      <c r="M165" s="14"/>
      <c r="N165" s="14"/>
      <c r="O165" s="14"/>
      <c r="P165" s="42"/>
      <c r="Q165" s="42"/>
      <c r="R165" s="53" t="n">
        <f aca="false">INT(B165)</f>
        <v>46119</v>
      </c>
      <c r="S165" s="14" t="n">
        <f aca="false">IF(AND(I165=TRUE(),COUNTIFS($R$5:R165,R165,$I$5:I165,TRUE())=1),1,0)</f>
        <v>0</v>
      </c>
      <c r="T165" s="71"/>
      <c r="U165" s="42"/>
      <c r="V165" s="42"/>
      <c r="W165" s="42" t="n">
        <f aca="false">SUM(Z165:AE165)</f>
        <v>0</v>
      </c>
      <c r="X165" s="14" t="s">
        <v>106</v>
      </c>
      <c r="Y165" s="53" t="n">
        <v>46118</v>
      </c>
      <c r="Z165" s="42"/>
      <c r="AA165" s="42"/>
      <c r="AB165" s="42"/>
      <c r="AC165" s="42"/>
      <c r="AD165" s="42"/>
      <c r="AE165" s="42"/>
      <c r="AF165" s="14" t="n">
        <f aca="false">IF(AND(E165&gt;0,COUNTIFS($R$5:R165,R165,$E$5:E165,"&gt;0")=1),1,0)</f>
        <v>0</v>
      </c>
      <c r="AG165" s="14" t="n">
        <f aca="false">IF(AND(E165&gt;0,COUNTIFS($R$5:R165,R165,$K$5:K165,K165,$E$5:E165,"&gt;0")=1),1,0)</f>
        <v>0</v>
      </c>
    </row>
    <row r="166" customFormat="false" ht="15" hidden="false" customHeight="false" outlineLevel="0" collapsed="false">
      <c r="A166" s="17" t="n">
        <v>5016300511</v>
      </c>
      <c r="B166" s="79" t="n">
        <v>46119.8233449074</v>
      </c>
      <c r="C166" s="79" t="n">
        <v>46119.8374884259</v>
      </c>
      <c r="D166" s="39" t="n">
        <v>0.339444444444444</v>
      </c>
      <c r="E166" s="39" t="n">
        <v>14.9744</v>
      </c>
      <c r="F166" s="39" t="n">
        <v>47.431</v>
      </c>
      <c r="G166" s="17" t="s">
        <v>67</v>
      </c>
      <c r="H166" s="80" t="b">
        <f aca="false">TRUE()</f>
        <v>1</v>
      </c>
      <c r="I166" s="80" t="b">
        <f aca="false">FALSE()</f>
        <v>0</v>
      </c>
      <c r="J166" s="81" t="n">
        <v>1</v>
      </c>
      <c r="K166" s="17" t="s">
        <v>229</v>
      </c>
      <c r="L166" s="17" t="s">
        <v>226</v>
      </c>
      <c r="M166" s="17" t="s">
        <v>274</v>
      </c>
      <c r="N166" s="17"/>
      <c r="O166" s="17" t="s">
        <v>228</v>
      </c>
      <c r="P166" s="44" t="n">
        <v>9.74</v>
      </c>
      <c r="Q166" s="44" t="n">
        <v>8.27</v>
      </c>
      <c r="R166" s="54" t="n">
        <f aca="false">INT(B166)</f>
        <v>46119</v>
      </c>
      <c r="S166" s="17" t="n">
        <f aca="false">IF(AND(I166=TRUE(),COUNTIFS($R$5:R166,R166,$I$5:I166,TRUE())=1),1,0)</f>
        <v>0</v>
      </c>
      <c r="T166" s="73" t="n">
        <v>0.5</v>
      </c>
      <c r="U166" s="44" t="n">
        <v>9.19</v>
      </c>
      <c r="V166" s="44" t="n">
        <v>7.4872</v>
      </c>
      <c r="W166" s="44" t="n">
        <f aca="false">SUM(Z166:AE166)</f>
        <v>1.47</v>
      </c>
      <c r="X166" s="17" t="s">
        <v>106</v>
      </c>
      <c r="Y166" s="54" t="n">
        <v>46118</v>
      </c>
      <c r="Z166" s="44" t="n">
        <v>0.55</v>
      </c>
      <c r="AA166" s="44" t="n">
        <v>0</v>
      </c>
      <c r="AB166" s="44" t="n">
        <v>0</v>
      </c>
      <c r="AC166" s="44" t="n">
        <v>0</v>
      </c>
      <c r="AD166" s="44" t="n">
        <v>0.92</v>
      </c>
      <c r="AE166" s="44" t="n">
        <v>0</v>
      </c>
      <c r="AF166" s="17" t="n">
        <f aca="false">IF(AND(E166&gt;0,COUNTIFS($R$5:R166,R166,$E$5:E166,"&gt;0")=1),1,0)</f>
        <v>0</v>
      </c>
      <c r="AG166" s="17" t="n">
        <f aca="false">IF(AND(E166&gt;0,COUNTIFS($R$5:R166,R166,$K$5:K166,K166,$E$5:E166,"&gt;0")=1),1,0)</f>
        <v>0</v>
      </c>
    </row>
    <row r="167" customFormat="false" ht="15" hidden="false" customHeight="false" outlineLevel="0" collapsed="false">
      <c r="A167" s="14" t="n">
        <v>5018498521</v>
      </c>
      <c r="B167" s="77" t="n">
        <v>46120.558900463</v>
      </c>
      <c r="C167" s="77" t="n">
        <v>46120.5848611111</v>
      </c>
      <c r="D167" s="38" t="n">
        <v>0.623055555555556</v>
      </c>
      <c r="E167" s="38" t="n">
        <v>31.748699</v>
      </c>
      <c r="F167" s="38" t="n">
        <v>57.096</v>
      </c>
      <c r="G167" s="14" t="s">
        <v>66</v>
      </c>
      <c r="H167" s="78" t="b">
        <f aca="false">TRUE()</f>
        <v>1</v>
      </c>
      <c r="I167" s="78" t="b">
        <f aca="false">FALSE()</f>
        <v>0</v>
      </c>
      <c r="J167" s="55" t="n">
        <v>1</v>
      </c>
      <c r="K167" s="14" t="s">
        <v>229</v>
      </c>
      <c r="L167" s="14" t="s">
        <v>226</v>
      </c>
      <c r="M167" s="14" t="s">
        <v>230</v>
      </c>
      <c r="N167" s="14"/>
      <c r="O167" s="14" t="s">
        <v>228</v>
      </c>
      <c r="P167" s="42" t="n">
        <v>20.13</v>
      </c>
      <c r="Q167" s="42" t="n">
        <v>17.09</v>
      </c>
      <c r="R167" s="53" t="n">
        <f aca="false">INT(B167)</f>
        <v>46120</v>
      </c>
      <c r="S167" s="14" t="n">
        <f aca="false">IF(AND(I167=TRUE(),COUNTIFS($R$5:R167,R167,$I$5:I167,TRUE())=1),1,0)</f>
        <v>0</v>
      </c>
      <c r="T167" s="71" t="n">
        <v>0.5</v>
      </c>
      <c r="U167" s="42" t="n">
        <v>18.99</v>
      </c>
      <c r="V167" s="42" t="n">
        <v>15.8743495</v>
      </c>
      <c r="W167" s="42" t="n">
        <f aca="false">SUM(Z167:AE167)</f>
        <v>3.04</v>
      </c>
      <c r="X167" s="14" t="s">
        <v>107</v>
      </c>
      <c r="Y167" s="53" t="n">
        <v>46118</v>
      </c>
      <c r="Z167" s="42" t="n">
        <v>1.14</v>
      </c>
      <c r="AA167" s="42" t="n">
        <v>0</v>
      </c>
      <c r="AB167" s="42" t="n">
        <v>0</v>
      </c>
      <c r="AC167" s="42" t="n">
        <v>0</v>
      </c>
      <c r="AD167" s="42" t="n">
        <v>1.9</v>
      </c>
      <c r="AE167" s="42" t="n">
        <v>0</v>
      </c>
      <c r="AF167" s="14" t="n">
        <f aca="false">IF(AND(E167&gt;0,COUNTIFS($R$5:R167,R167,$E$5:E167,"&gt;0")=1),1,0)</f>
        <v>1</v>
      </c>
      <c r="AG167" s="14" t="n">
        <f aca="false">IF(AND(E167&gt;0,COUNTIFS($R$5:R167,R167,$K$5:K167,K167,$E$5:E167,"&gt;0")=1),1,0)</f>
        <v>1</v>
      </c>
    </row>
    <row r="168" customFormat="false" ht="15" hidden="false" customHeight="false" outlineLevel="0" collapsed="false">
      <c r="A168" s="17" t="n">
        <v>5020281831</v>
      </c>
      <c r="B168" s="79" t="n">
        <v>46120.9594097222</v>
      </c>
      <c r="C168" s="79" t="n">
        <v>46121.0105671296</v>
      </c>
      <c r="D168" s="39" t="n">
        <v>1.22777777777778</v>
      </c>
      <c r="E168" s="39" t="n">
        <v>65.881104</v>
      </c>
      <c r="F168" s="39" t="n">
        <v>62.456</v>
      </c>
      <c r="G168" s="17" t="s">
        <v>68</v>
      </c>
      <c r="H168" s="80" t="b">
        <f aca="false">TRUE()</f>
        <v>1</v>
      </c>
      <c r="I168" s="80" t="b">
        <f aca="false">TRUE()</f>
        <v>1</v>
      </c>
      <c r="J168" s="81" t="n">
        <v>1</v>
      </c>
      <c r="K168" s="17" t="s">
        <v>229</v>
      </c>
      <c r="L168" s="17" t="s">
        <v>226</v>
      </c>
      <c r="M168" s="17" t="s">
        <v>230</v>
      </c>
      <c r="N168" s="17"/>
      <c r="O168" s="17" t="s">
        <v>228</v>
      </c>
      <c r="P168" s="44" t="n">
        <v>41.43</v>
      </c>
      <c r="Q168" s="44" t="n">
        <v>35.17</v>
      </c>
      <c r="R168" s="54" t="n">
        <f aca="false">INT(B168)</f>
        <v>46120</v>
      </c>
      <c r="S168" s="17" t="n">
        <f aca="false">IF(AND(I168=TRUE(),COUNTIFS($R$5:R168,R168,$I$5:I168,TRUE())=1),1,0)</f>
        <v>1</v>
      </c>
      <c r="T168" s="73" t="n">
        <v>0.5</v>
      </c>
      <c r="U168" s="44" t="n">
        <v>39.08</v>
      </c>
      <c r="V168" s="44" t="n">
        <v>32.940552</v>
      </c>
      <c r="W168" s="44" t="n">
        <f aca="false">SUM(Z168:AE168)</f>
        <v>6.26</v>
      </c>
      <c r="X168" s="17" t="s">
        <v>107</v>
      </c>
      <c r="Y168" s="54" t="n">
        <v>46118</v>
      </c>
      <c r="Z168" s="44" t="n">
        <v>2.35</v>
      </c>
      <c r="AA168" s="44" t="n">
        <v>0</v>
      </c>
      <c r="AB168" s="44" t="n">
        <v>0</v>
      </c>
      <c r="AC168" s="44" t="n">
        <v>0</v>
      </c>
      <c r="AD168" s="44" t="n">
        <v>3.91</v>
      </c>
      <c r="AE168" s="44" t="n">
        <v>0</v>
      </c>
      <c r="AF168" s="17" t="n">
        <f aca="false">IF(AND(E168&gt;0,COUNTIFS($R$5:R168,R168,$E$5:E168,"&gt;0")=1),1,0)</f>
        <v>0</v>
      </c>
      <c r="AG168" s="17" t="n">
        <f aca="false">IF(AND(E168&gt;0,COUNTIFS($R$5:R168,R168,$K$5:K168,K168,$E$5:E168,"&gt;0")=1),1,0)</f>
        <v>0</v>
      </c>
    </row>
    <row r="169" customFormat="false" ht="15" hidden="false" customHeight="false" outlineLevel="0" collapsed="false">
      <c r="A169" s="14" t="n">
        <v>5025598461</v>
      </c>
      <c r="B169" s="77" t="n">
        <v>46122.6690277778</v>
      </c>
      <c r="C169" s="77" t="n">
        <v>46122.6962615741</v>
      </c>
      <c r="D169" s="38" t="n">
        <v>0.653611111111111</v>
      </c>
      <c r="E169" s="38" t="n">
        <v>31.3939</v>
      </c>
      <c r="F169" s="38" t="n">
        <v>49.755</v>
      </c>
      <c r="G169" s="14" t="s">
        <v>66</v>
      </c>
      <c r="H169" s="78" t="b">
        <f aca="false">TRUE()</f>
        <v>1</v>
      </c>
      <c r="I169" s="78" t="b">
        <f aca="false">FALSE()</f>
        <v>0</v>
      </c>
      <c r="J169" s="55" t="n">
        <v>1</v>
      </c>
      <c r="K169" s="14" t="s">
        <v>229</v>
      </c>
      <c r="L169" s="14" t="s">
        <v>226</v>
      </c>
      <c r="M169" s="14" t="s">
        <v>311</v>
      </c>
      <c r="N169" s="14" t="s">
        <v>312</v>
      </c>
      <c r="O169" s="14" t="s">
        <v>228</v>
      </c>
      <c r="P169" s="42" t="n">
        <v>20.11</v>
      </c>
      <c r="Q169" s="42" t="n">
        <v>17.07</v>
      </c>
      <c r="R169" s="53" t="n">
        <f aca="false">INT(B169)</f>
        <v>46122</v>
      </c>
      <c r="S169" s="14" t="n">
        <f aca="false">IF(AND(I169=TRUE(),COUNTIFS($R$5:R169,R169,$I$5:I169,TRUE())=1),1,0)</f>
        <v>0</v>
      </c>
      <c r="T169" s="71" t="n">
        <v>0.5</v>
      </c>
      <c r="U169" s="42" t="n">
        <v>18.97</v>
      </c>
      <c r="V169" s="42" t="n">
        <v>15.69695</v>
      </c>
      <c r="W169" s="42" t="n">
        <f aca="false">SUM(Z169:AE169)</f>
        <v>3.04</v>
      </c>
      <c r="X169" s="14" t="s">
        <v>109</v>
      </c>
      <c r="Y169" s="53" t="n">
        <v>46118</v>
      </c>
      <c r="Z169" s="42" t="n">
        <v>1.14</v>
      </c>
      <c r="AA169" s="42" t="n">
        <v>0</v>
      </c>
      <c r="AB169" s="42" t="n">
        <v>0</v>
      </c>
      <c r="AC169" s="42" t="n">
        <v>0</v>
      </c>
      <c r="AD169" s="42" t="n">
        <v>1.9</v>
      </c>
      <c r="AE169" s="42" t="n">
        <v>0</v>
      </c>
      <c r="AF169" s="14" t="n">
        <f aca="false">IF(AND(E169&gt;0,COUNTIFS($R$5:R169,R169,$E$5:E169,"&gt;0")=1),1,0)</f>
        <v>1</v>
      </c>
      <c r="AG169" s="14" t="n">
        <f aca="false">IF(AND(E169&gt;0,COUNTIFS($R$5:R169,R169,$K$5:K169,K169,$E$5:E169,"&gt;0")=1),1,0)</f>
        <v>1</v>
      </c>
    </row>
    <row r="170" customFormat="false" ht="15" hidden="false" customHeight="false" outlineLevel="0" collapsed="false">
      <c r="A170" s="17" t="n">
        <v>5025845291</v>
      </c>
      <c r="B170" s="79" t="n">
        <v>46122.7283217593</v>
      </c>
      <c r="C170" s="79" t="n">
        <v>46122.7306134259</v>
      </c>
      <c r="D170" s="39" t="n">
        <v>0.055</v>
      </c>
      <c r="E170" s="39" t="n">
        <v>2.6384</v>
      </c>
      <c r="F170" s="39" t="n">
        <v>58.967</v>
      </c>
      <c r="G170" s="17" t="s">
        <v>66</v>
      </c>
      <c r="H170" s="80" t="b">
        <f aca="false">TRUE()</f>
        <v>1</v>
      </c>
      <c r="I170" s="80" t="b">
        <f aca="false">FALSE()</f>
        <v>0</v>
      </c>
      <c r="J170" s="81" t="n">
        <v>1</v>
      </c>
      <c r="K170" s="17" t="s">
        <v>229</v>
      </c>
      <c r="L170" s="17" t="s">
        <v>226</v>
      </c>
      <c r="M170" s="17" t="s">
        <v>313</v>
      </c>
      <c r="N170" s="17" t="s">
        <v>314</v>
      </c>
      <c r="O170" s="17" t="s">
        <v>251</v>
      </c>
      <c r="P170" s="44" t="n">
        <v>1.7</v>
      </c>
      <c r="Q170" s="44" t="n">
        <v>1.44</v>
      </c>
      <c r="R170" s="54" t="n">
        <f aca="false">INT(B170)</f>
        <v>46122</v>
      </c>
      <c r="S170" s="17" t="n">
        <f aca="false">IF(AND(I170=TRUE(),COUNTIFS($R$5:R170,R170,$I$5:I170,TRUE())=1),1,0)</f>
        <v>0</v>
      </c>
      <c r="T170" s="73" t="n">
        <v>0.5</v>
      </c>
      <c r="U170" s="44" t="n">
        <v>1.6</v>
      </c>
      <c r="V170" s="44" t="n">
        <v>1.3192</v>
      </c>
      <c r="W170" s="44" t="n">
        <f aca="false">SUM(Z170:AE170)</f>
        <v>0.26</v>
      </c>
      <c r="X170" s="17" t="s">
        <v>109</v>
      </c>
      <c r="Y170" s="54" t="n">
        <v>46118</v>
      </c>
      <c r="Z170" s="44" t="n">
        <v>0.1</v>
      </c>
      <c r="AA170" s="44" t="n">
        <v>0</v>
      </c>
      <c r="AB170" s="44" t="n">
        <v>0</v>
      </c>
      <c r="AC170" s="44" t="n">
        <v>0</v>
      </c>
      <c r="AD170" s="44" t="n">
        <v>0.16</v>
      </c>
      <c r="AE170" s="44" t="n">
        <v>0</v>
      </c>
      <c r="AF170" s="17" t="n">
        <f aca="false">IF(AND(E170&gt;0,COUNTIFS($R$5:R170,R170,$E$5:E170,"&gt;0")=1),1,0)</f>
        <v>0</v>
      </c>
      <c r="AG170" s="17" t="n">
        <f aca="false">IF(AND(E170&gt;0,COUNTIFS($R$5:R170,R170,$K$5:K170,K170,$E$5:E170,"&gt;0")=1),1,0)</f>
        <v>0</v>
      </c>
    </row>
    <row r="171" customFormat="false" ht="15" hidden="false" customHeight="false" outlineLevel="0" collapsed="false">
      <c r="A171" s="14" t="n">
        <v>5025857211</v>
      </c>
      <c r="B171" s="77" t="n">
        <v>46122.7313541667</v>
      </c>
      <c r="C171" s="77" t="n">
        <v>46122.7891782407</v>
      </c>
      <c r="D171" s="38" t="n">
        <v>1.38777777777778</v>
      </c>
      <c r="E171" s="38" t="n">
        <v>64.622597</v>
      </c>
      <c r="F171" s="38" t="n">
        <v>62.472</v>
      </c>
      <c r="G171" s="14" t="s">
        <v>66</v>
      </c>
      <c r="H171" s="78" t="b">
        <f aca="false">TRUE()</f>
        <v>1</v>
      </c>
      <c r="I171" s="78" t="b">
        <f aca="false">FALSE()</f>
        <v>0</v>
      </c>
      <c r="J171" s="55" t="n">
        <v>1</v>
      </c>
      <c r="K171" s="14" t="s">
        <v>229</v>
      </c>
      <c r="L171" s="14" t="s">
        <v>226</v>
      </c>
      <c r="M171" s="14" t="s">
        <v>313</v>
      </c>
      <c r="N171" s="14" t="s">
        <v>314</v>
      </c>
      <c r="O171" s="14" t="s">
        <v>251</v>
      </c>
      <c r="P171" s="42" t="n">
        <v>41.61</v>
      </c>
      <c r="Q171" s="42" t="n">
        <v>35.33</v>
      </c>
      <c r="R171" s="53" t="n">
        <f aca="false">INT(B171)</f>
        <v>46122</v>
      </c>
      <c r="S171" s="14" t="n">
        <f aca="false">IF(AND(I171=TRUE(),COUNTIFS($R$5:R171,R171,$I$5:I171,TRUE())=1),1,0)</f>
        <v>0</v>
      </c>
      <c r="T171" s="71" t="n">
        <v>0.5</v>
      </c>
      <c r="U171" s="42" t="n">
        <v>39.25</v>
      </c>
      <c r="V171" s="42" t="n">
        <v>32.3112985</v>
      </c>
      <c r="W171" s="42" t="n">
        <f aca="false">SUM(Z171:AE171)</f>
        <v>6.28</v>
      </c>
      <c r="X171" s="14" t="s">
        <v>109</v>
      </c>
      <c r="Y171" s="53" t="n">
        <v>46118</v>
      </c>
      <c r="Z171" s="42" t="n">
        <v>2.36</v>
      </c>
      <c r="AA171" s="42" t="n">
        <v>0</v>
      </c>
      <c r="AB171" s="42" t="n">
        <v>0</v>
      </c>
      <c r="AC171" s="42" t="n">
        <v>0</v>
      </c>
      <c r="AD171" s="42" t="n">
        <v>3.92</v>
      </c>
      <c r="AE171" s="42" t="n">
        <v>0</v>
      </c>
      <c r="AF171" s="14" t="n">
        <f aca="false">IF(AND(E171&gt;0,COUNTIFS($R$5:R171,R171,$E$5:E171,"&gt;0")=1),1,0)</f>
        <v>0</v>
      </c>
      <c r="AG171" s="14" t="n">
        <f aca="false">IF(AND(E171&gt;0,COUNTIFS($R$5:R171,R171,$K$5:K171,K171,$E$5:E171,"&gt;0")=1),1,0)</f>
        <v>0</v>
      </c>
    </row>
    <row r="172" customFormat="false" ht="15" hidden="false" customHeight="false" outlineLevel="0" collapsed="false">
      <c r="A172" s="17" t="n">
        <v>5026498581</v>
      </c>
      <c r="B172" s="79" t="n">
        <v>46122.8886689815</v>
      </c>
      <c r="C172" s="79" t="n">
        <v>46122.9096527778</v>
      </c>
      <c r="D172" s="39" t="n">
        <v>0.503611111111111</v>
      </c>
      <c r="E172" s="39" t="n">
        <v>24.4993</v>
      </c>
      <c r="F172" s="39" t="n">
        <v>50.375</v>
      </c>
      <c r="G172" s="17" t="s">
        <v>67</v>
      </c>
      <c r="H172" s="80" t="b">
        <f aca="false">TRUE()</f>
        <v>1</v>
      </c>
      <c r="I172" s="80" t="b">
        <f aca="false">FALSE()</f>
        <v>0</v>
      </c>
      <c r="J172" s="81" t="n">
        <v>1</v>
      </c>
      <c r="K172" s="17" t="s">
        <v>229</v>
      </c>
      <c r="L172" s="17" t="s">
        <v>226</v>
      </c>
      <c r="M172" s="17" t="s">
        <v>311</v>
      </c>
      <c r="N172" s="17" t="s">
        <v>312</v>
      </c>
      <c r="O172" s="17" t="s">
        <v>228</v>
      </c>
      <c r="P172" s="44" t="n">
        <v>15.66</v>
      </c>
      <c r="Q172" s="44" t="n">
        <v>13.29</v>
      </c>
      <c r="R172" s="54" t="n">
        <f aca="false">INT(B172)</f>
        <v>46122</v>
      </c>
      <c r="S172" s="17" t="n">
        <f aca="false">IF(AND(I172=TRUE(),COUNTIFS($R$5:R172,R172,$I$5:I172,TRUE())=1),1,0)</f>
        <v>0</v>
      </c>
      <c r="T172" s="73" t="n">
        <v>0.5</v>
      </c>
      <c r="U172" s="44" t="n">
        <v>14.77</v>
      </c>
      <c r="V172" s="44" t="n">
        <v>12.24965</v>
      </c>
      <c r="W172" s="44" t="n">
        <f aca="false">SUM(Z172:AE172)</f>
        <v>2.37</v>
      </c>
      <c r="X172" s="17" t="s">
        <v>109</v>
      </c>
      <c r="Y172" s="54" t="n">
        <v>46118</v>
      </c>
      <c r="Z172" s="44" t="n">
        <v>0.89</v>
      </c>
      <c r="AA172" s="44" t="n">
        <v>0</v>
      </c>
      <c r="AB172" s="44" t="n">
        <v>0</v>
      </c>
      <c r="AC172" s="44" t="n">
        <v>0</v>
      </c>
      <c r="AD172" s="44" t="n">
        <v>1.48</v>
      </c>
      <c r="AE172" s="44" t="n">
        <v>0</v>
      </c>
      <c r="AF172" s="17" t="n">
        <f aca="false">IF(AND(E172&gt;0,COUNTIFS($R$5:R172,R172,$E$5:E172,"&gt;0")=1),1,0)</f>
        <v>0</v>
      </c>
      <c r="AG172" s="17" t="n">
        <f aca="false">IF(AND(E172&gt;0,COUNTIFS($R$5:R172,R172,$K$5:K172,K172,$E$5:E172,"&gt;0")=1),1,0)</f>
        <v>0</v>
      </c>
    </row>
    <row r="173" customFormat="false" ht="15" hidden="false" customHeight="false" outlineLevel="0" collapsed="false">
      <c r="A173" s="14" t="n">
        <v>5028024991</v>
      </c>
      <c r="B173" s="77" t="n">
        <v>46123.529537037</v>
      </c>
      <c r="C173" s="77" t="n">
        <v>46123.5476041667</v>
      </c>
      <c r="D173" s="38" t="n">
        <v>0.433611111111111</v>
      </c>
      <c r="E173" s="38" t="n">
        <v>19.6896</v>
      </c>
      <c r="F173" s="38" t="n">
        <v>50.456</v>
      </c>
      <c r="G173" s="14" t="s">
        <v>66</v>
      </c>
      <c r="H173" s="78" t="b">
        <f aca="false">TRUE()</f>
        <v>1</v>
      </c>
      <c r="I173" s="78" t="b">
        <f aca="false">FALSE()</f>
        <v>0</v>
      </c>
      <c r="J173" s="55" t="n">
        <v>1</v>
      </c>
      <c r="K173" s="14" t="s">
        <v>229</v>
      </c>
      <c r="L173" s="14" t="s">
        <v>226</v>
      </c>
      <c r="M173" s="14" t="s">
        <v>280</v>
      </c>
      <c r="N173" s="14"/>
      <c r="O173" s="14" t="s">
        <v>228</v>
      </c>
      <c r="P173" s="42" t="n">
        <v>12.73</v>
      </c>
      <c r="Q173" s="42" t="n">
        <v>10.81</v>
      </c>
      <c r="R173" s="53" t="n">
        <f aca="false">INT(B173)</f>
        <v>46123</v>
      </c>
      <c r="S173" s="14" t="n">
        <f aca="false">IF(AND(I173=TRUE(),COUNTIFS($R$5:R173,R173,$I$5:I173,TRUE())=1),1,0)</f>
        <v>0</v>
      </c>
      <c r="T173" s="71" t="n">
        <v>0.5</v>
      </c>
      <c r="U173" s="42" t="n">
        <v>12.01</v>
      </c>
      <c r="V173" s="42" t="n">
        <v>9.8448</v>
      </c>
      <c r="W173" s="42" t="n">
        <f aca="false">SUM(Z173:AE173)</f>
        <v>1.92</v>
      </c>
      <c r="X173" s="14" t="s">
        <v>110</v>
      </c>
      <c r="Y173" s="53" t="n">
        <v>46118</v>
      </c>
      <c r="Z173" s="42" t="n">
        <v>0.72</v>
      </c>
      <c r="AA173" s="42" t="n">
        <v>0</v>
      </c>
      <c r="AB173" s="42" t="n">
        <v>0</v>
      </c>
      <c r="AC173" s="42" t="n">
        <v>0</v>
      </c>
      <c r="AD173" s="42" t="n">
        <v>1.2</v>
      </c>
      <c r="AE173" s="42" t="n">
        <v>0</v>
      </c>
      <c r="AF173" s="14" t="n">
        <f aca="false">IF(AND(E173&gt;0,COUNTIFS($R$5:R173,R173,$E$5:E173,"&gt;0")=1),1,0)</f>
        <v>1</v>
      </c>
      <c r="AG173" s="14" t="n">
        <f aca="false">IF(AND(E173&gt;0,COUNTIFS($R$5:R173,R173,$K$5:K173,K173,$E$5:E173,"&gt;0")=1),1,0)</f>
        <v>1</v>
      </c>
    </row>
    <row r="174" customFormat="false" ht="15" hidden="false" customHeight="false" outlineLevel="0" collapsed="false">
      <c r="A174" s="17" t="n">
        <v>5028658161</v>
      </c>
      <c r="B174" s="79" t="n">
        <v>46123.7683564815</v>
      </c>
      <c r="C174" s="79" t="n">
        <v>46123.7981828704</v>
      </c>
      <c r="D174" s="39" t="n">
        <v>0.715833333333333</v>
      </c>
      <c r="E174" s="39" t="n">
        <v>29.5294</v>
      </c>
      <c r="F174" s="39" t="n">
        <v>52.919</v>
      </c>
      <c r="G174" s="17" t="s">
        <v>67</v>
      </c>
      <c r="H174" s="80" t="b">
        <f aca="false">TRUE()</f>
        <v>1</v>
      </c>
      <c r="I174" s="80" t="b">
        <f aca="false">FALSE()</f>
        <v>0</v>
      </c>
      <c r="J174" s="81" t="n">
        <v>1</v>
      </c>
      <c r="K174" s="17" t="s">
        <v>229</v>
      </c>
      <c r="L174" s="17" t="s">
        <v>226</v>
      </c>
      <c r="M174" s="17" t="s">
        <v>308</v>
      </c>
      <c r="N174" s="17" t="s">
        <v>309</v>
      </c>
      <c r="O174" s="17" t="s">
        <v>310</v>
      </c>
      <c r="P174" s="44" t="n">
        <v>19.44</v>
      </c>
      <c r="Q174" s="44" t="n">
        <v>16.51</v>
      </c>
      <c r="R174" s="54" t="n">
        <f aca="false">INT(B174)</f>
        <v>46123</v>
      </c>
      <c r="S174" s="17" t="n">
        <f aca="false">IF(AND(I174=TRUE(),COUNTIFS($R$5:R174,R174,$I$5:I174,TRUE())=1),1,0)</f>
        <v>0</v>
      </c>
      <c r="T174" s="73" t="n">
        <v>0.5</v>
      </c>
      <c r="U174" s="44" t="n">
        <v>18.34</v>
      </c>
      <c r="V174" s="44" t="n">
        <v>14.7647</v>
      </c>
      <c r="W174" s="44" t="n">
        <f aca="false">SUM(Z174:AE174)</f>
        <v>2.93</v>
      </c>
      <c r="X174" s="17" t="s">
        <v>110</v>
      </c>
      <c r="Y174" s="54" t="n">
        <v>46118</v>
      </c>
      <c r="Z174" s="44" t="n">
        <v>1.1</v>
      </c>
      <c r="AA174" s="44" t="n">
        <v>0</v>
      </c>
      <c r="AB174" s="44" t="n">
        <v>0</v>
      </c>
      <c r="AC174" s="44" t="n">
        <v>0</v>
      </c>
      <c r="AD174" s="44" t="n">
        <v>1.83</v>
      </c>
      <c r="AE174" s="44" t="n">
        <v>0</v>
      </c>
      <c r="AF174" s="17" t="n">
        <f aca="false">IF(AND(E174&gt;0,COUNTIFS($R$5:R174,R174,$E$5:E174,"&gt;0")=1),1,0)</f>
        <v>0</v>
      </c>
      <c r="AG174" s="17" t="n">
        <f aca="false">IF(AND(E174&gt;0,COUNTIFS($R$5:R174,R174,$K$5:K174,K174,$E$5:E174,"&gt;0")=1),1,0)</f>
        <v>0</v>
      </c>
    </row>
    <row r="175" customFormat="false" ht="15" hidden="false" customHeight="false" outlineLevel="0" collapsed="false">
      <c r="A175" s="14" t="n">
        <v>5029103421</v>
      </c>
      <c r="B175" s="77" t="n">
        <v>46123.8991666667</v>
      </c>
      <c r="C175" s="77" t="n">
        <v>46123.9055092593</v>
      </c>
      <c r="D175" s="38" t="n">
        <v>0.152222222222222</v>
      </c>
      <c r="E175" s="38" t="n">
        <v>7.4431</v>
      </c>
      <c r="F175" s="38" t="n">
        <v>0</v>
      </c>
      <c r="G175" s="14" t="s">
        <v>67</v>
      </c>
      <c r="H175" s="78" t="b">
        <f aca="false">FALSE()</f>
        <v>0</v>
      </c>
      <c r="I175" s="78" t="b">
        <f aca="false">FALSE()</f>
        <v>0</v>
      </c>
      <c r="J175" s="55"/>
      <c r="K175" s="14" t="s">
        <v>229</v>
      </c>
      <c r="L175" s="14" t="s">
        <v>226</v>
      </c>
      <c r="M175" s="14" t="s">
        <v>315</v>
      </c>
      <c r="N175" s="14"/>
      <c r="O175" s="14" t="s">
        <v>228</v>
      </c>
      <c r="P175" s="42" t="n">
        <v>4.75</v>
      </c>
      <c r="Q175" s="42" t="n">
        <v>4.03</v>
      </c>
      <c r="R175" s="53" t="n">
        <f aca="false">INT(B175)</f>
        <v>46123</v>
      </c>
      <c r="S175" s="14" t="n">
        <f aca="false">IF(AND(I175=TRUE(),COUNTIFS($R$5:R175,R175,$I$5:I175,TRUE())=1),1,0)</f>
        <v>0</v>
      </c>
      <c r="T175" s="71" t="n">
        <v>0.5</v>
      </c>
      <c r="U175" s="42" t="n">
        <v>4.48</v>
      </c>
      <c r="V175" s="42" t="n">
        <v>3.72155</v>
      </c>
      <c r="W175" s="42" t="n">
        <f aca="false">SUM(Z175:AE175)</f>
        <v>0.72</v>
      </c>
      <c r="X175" s="14" t="s">
        <v>110</v>
      </c>
      <c r="Y175" s="53" t="n">
        <v>46118</v>
      </c>
      <c r="Z175" s="42" t="n">
        <v>0.27</v>
      </c>
      <c r="AA175" s="42" t="n">
        <v>0</v>
      </c>
      <c r="AB175" s="42" t="n">
        <v>0</v>
      </c>
      <c r="AC175" s="42" t="n">
        <v>0</v>
      </c>
      <c r="AD175" s="42" t="n">
        <v>0.45</v>
      </c>
      <c r="AE175" s="42" t="n">
        <v>0</v>
      </c>
      <c r="AF175" s="14" t="n">
        <f aca="false">IF(AND(E175&gt;0,COUNTIFS($R$5:R175,R175,$E$5:E175,"&gt;0")=1),1,0)</f>
        <v>0</v>
      </c>
      <c r="AG175" s="14" t="n">
        <f aca="false">IF(AND(E175&gt;0,COUNTIFS($R$5:R175,R175,$K$5:K175,K175,$E$5:E175,"&gt;0")=1),1,0)</f>
        <v>0</v>
      </c>
    </row>
    <row r="176" customFormat="false" ht="15" hidden="false" customHeight="false" outlineLevel="0" collapsed="false">
      <c r="A176" s="17" t="n">
        <v>5030585331</v>
      </c>
      <c r="B176" s="79" t="n">
        <v>46124.6592361111</v>
      </c>
      <c r="C176" s="79" t="n">
        <v>46124.7063773148</v>
      </c>
      <c r="D176" s="39" t="n">
        <v>1.13138888888889</v>
      </c>
      <c r="E176" s="39" t="n">
        <v>45.835899</v>
      </c>
      <c r="F176" s="39" t="n">
        <v>54.75</v>
      </c>
      <c r="G176" s="17" t="s">
        <v>66</v>
      </c>
      <c r="H176" s="80" t="b">
        <f aca="false">TRUE()</f>
        <v>1</v>
      </c>
      <c r="I176" s="80" t="b">
        <f aca="false">FALSE()</f>
        <v>0</v>
      </c>
      <c r="J176" s="81" t="n">
        <v>1</v>
      </c>
      <c r="K176" s="17" t="s">
        <v>229</v>
      </c>
      <c r="L176" s="17" t="s">
        <v>226</v>
      </c>
      <c r="M176" s="17" t="s">
        <v>316</v>
      </c>
      <c r="N176" s="17"/>
      <c r="O176" s="17" t="s">
        <v>284</v>
      </c>
      <c r="P176" s="44" t="n">
        <v>30.3</v>
      </c>
      <c r="Q176" s="44" t="n">
        <v>25.72</v>
      </c>
      <c r="R176" s="54" t="n">
        <f aca="false">INT(B176)</f>
        <v>46124</v>
      </c>
      <c r="S176" s="17" t="n">
        <f aca="false">IF(AND(I176=TRUE(),COUNTIFS($R$5:R176,R176,$I$5:I176,TRUE())=1),1,0)</f>
        <v>0</v>
      </c>
      <c r="T176" s="73" t="n">
        <v>0.5</v>
      </c>
      <c r="U176" s="44" t="n">
        <v>28.58</v>
      </c>
      <c r="V176" s="44" t="n">
        <v>22.9179495</v>
      </c>
      <c r="W176" s="44" t="n">
        <f aca="false">SUM(Z176:AE176)</f>
        <v>4.58</v>
      </c>
      <c r="X176" s="17" t="s">
        <v>111</v>
      </c>
      <c r="Y176" s="54" t="n">
        <v>46118</v>
      </c>
      <c r="Z176" s="44" t="n">
        <v>1.72</v>
      </c>
      <c r="AA176" s="44" t="n">
        <v>0</v>
      </c>
      <c r="AB176" s="44" t="n">
        <v>0</v>
      </c>
      <c r="AC176" s="44" t="n">
        <v>0</v>
      </c>
      <c r="AD176" s="44" t="n">
        <v>2.86</v>
      </c>
      <c r="AE176" s="44" t="n">
        <v>0</v>
      </c>
      <c r="AF176" s="17" t="n">
        <f aca="false">IF(AND(E176&gt;0,COUNTIFS($R$5:R176,R176,$E$5:E176,"&gt;0")=1),1,0)</f>
        <v>1</v>
      </c>
      <c r="AG176" s="17" t="n">
        <f aca="false">IF(AND(E176&gt;0,COUNTIFS($R$5:R176,R176,$K$5:K176,K176,$E$5:E176,"&gt;0")=1),1,0)</f>
        <v>1</v>
      </c>
    </row>
    <row r="177" customFormat="false" ht="15" hidden="false" customHeight="false" outlineLevel="0" collapsed="false">
      <c r="A177" s="14" t="n">
        <v>5031194051</v>
      </c>
      <c r="B177" s="77" t="n">
        <v>46124.8596064815</v>
      </c>
      <c r="C177" s="77" t="n">
        <v>46124.8844212963</v>
      </c>
      <c r="D177" s="38" t="n">
        <v>0.595555555555556</v>
      </c>
      <c r="E177" s="38" t="n">
        <v>33.451698</v>
      </c>
      <c r="F177" s="38" t="n">
        <v>60.84</v>
      </c>
      <c r="G177" s="14" t="s">
        <v>67</v>
      </c>
      <c r="H177" s="78" t="b">
        <f aca="false">TRUE()</f>
        <v>1</v>
      </c>
      <c r="I177" s="78" t="b">
        <f aca="false">FALSE()</f>
        <v>0</v>
      </c>
      <c r="J177" s="55" t="n">
        <v>1</v>
      </c>
      <c r="K177" s="14" t="s">
        <v>229</v>
      </c>
      <c r="L177" s="14" t="s">
        <v>233</v>
      </c>
      <c r="M177" s="14"/>
      <c r="N177" s="14"/>
      <c r="O177" s="14"/>
      <c r="P177" s="42" t="n">
        <v>20.89</v>
      </c>
      <c r="Q177" s="42" t="n">
        <v>17.74</v>
      </c>
      <c r="R177" s="53" t="n">
        <f aca="false">INT(B177)</f>
        <v>46124</v>
      </c>
      <c r="S177" s="14" t="n">
        <f aca="false">IF(AND(I177=TRUE(),COUNTIFS($R$5:R177,R177,$I$5:I177,TRUE())=1),1,0)</f>
        <v>0</v>
      </c>
      <c r="T177" s="71" t="n">
        <v>0.5</v>
      </c>
      <c r="U177" s="42" t="n">
        <v>19.71</v>
      </c>
      <c r="V177" s="42" t="n">
        <v>16.725849</v>
      </c>
      <c r="W177" s="42" t="n">
        <f aca="false">SUM(Z177:AE177)</f>
        <v>3.15</v>
      </c>
      <c r="X177" s="14" t="s">
        <v>111</v>
      </c>
      <c r="Y177" s="53" t="n">
        <v>46118</v>
      </c>
      <c r="Z177" s="42" t="n">
        <v>1.18</v>
      </c>
      <c r="AA177" s="42" t="n">
        <v>0</v>
      </c>
      <c r="AB177" s="42" t="n">
        <v>0</v>
      </c>
      <c r="AC177" s="42" t="n">
        <v>0</v>
      </c>
      <c r="AD177" s="42" t="n">
        <v>1.97</v>
      </c>
      <c r="AE177" s="42" t="n">
        <v>0</v>
      </c>
      <c r="AF177" s="14" t="n">
        <f aca="false">IF(AND(E177&gt;0,COUNTIFS($R$5:R177,R177,$E$5:E177,"&gt;0")=1),1,0)</f>
        <v>0</v>
      </c>
      <c r="AG177" s="14" t="n">
        <f aca="false">IF(AND(E177&gt;0,COUNTIFS($R$5:R177,R177,$K$5:K177,K177,$E$5:E177,"&gt;0")=1),1,0)</f>
        <v>0</v>
      </c>
    </row>
    <row r="178" customFormat="false" ht="15" hidden="false" customHeight="false" outlineLevel="0" collapsed="false">
      <c r="A178" s="17" t="n">
        <v>5031508871</v>
      </c>
      <c r="B178" s="79" t="n">
        <v>46124.9525462963</v>
      </c>
      <c r="C178" s="79" t="n">
        <v>46124.9705208333</v>
      </c>
      <c r="D178" s="39" t="n">
        <v>0.431388888888889</v>
      </c>
      <c r="E178" s="39" t="n">
        <v>22.333099</v>
      </c>
      <c r="F178" s="39" t="n">
        <v>54.75</v>
      </c>
      <c r="G178" s="17" t="s">
        <v>68</v>
      </c>
      <c r="H178" s="80" t="b">
        <f aca="false">TRUE()</f>
        <v>1</v>
      </c>
      <c r="I178" s="80" t="b">
        <f aca="false">TRUE()</f>
        <v>1</v>
      </c>
      <c r="J178" s="81" t="n">
        <v>1</v>
      </c>
      <c r="K178" s="17" t="s">
        <v>229</v>
      </c>
      <c r="L178" s="17" t="s">
        <v>226</v>
      </c>
      <c r="M178" s="17" t="s">
        <v>317</v>
      </c>
      <c r="N178" s="17"/>
      <c r="O178" s="17" t="s">
        <v>228</v>
      </c>
      <c r="P178" s="44" t="n">
        <v>14.13</v>
      </c>
      <c r="Q178" s="44" t="n">
        <v>12</v>
      </c>
      <c r="R178" s="54" t="n">
        <f aca="false">INT(B178)</f>
        <v>46124</v>
      </c>
      <c r="S178" s="17" t="n">
        <f aca="false">IF(AND(I178=TRUE(),COUNTIFS($R$5:R178,R178,$I$5:I178,TRUE())=1),1,0)</f>
        <v>1</v>
      </c>
      <c r="T178" s="73" t="n">
        <v>0.5</v>
      </c>
      <c r="U178" s="44" t="n">
        <v>13.33</v>
      </c>
      <c r="V178" s="44" t="n">
        <v>11.1665495</v>
      </c>
      <c r="W178" s="44" t="n">
        <f aca="false">SUM(Z178:AE178)</f>
        <v>2.13</v>
      </c>
      <c r="X178" s="17" t="s">
        <v>111</v>
      </c>
      <c r="Y178" s="54" t="n">
        <v>46118</v>
      </c>
      <c r="Z178" s="44" t="n">
        <v>0.8</v>
      </c>
      <c r="AA178" s="44" t="n">
        <v>0</v>
      </c>
      <c r="AB178" s="44" t="n">
        <v>0</v>
      </c>
      <c r="AC178" s="44" t="n">
        <v>0</v>
      </c>
      <c r="AD178" s="44" t="n">
        <v>1.33</v>
      </c>
      <c r="AE178" s="44" t="n">
        <v>0</v>
      </c>
      <c r="AF178" s="17" t="n">
        <f aca="false">IF(AND(E178&gt;0,COUNTIFS($R$5:R178,R178,$E$5:E178,"&gt;0")=1),1,0)</f>
        <v>0</v>
      </c>
      <c r="AG178" s="17" t="n">
        <f aca="false">IF(AND(E178&gt;0,COUNTIFS($R$5:R178,R178,$K$5:K178,K178,$E$5:E178,"&gt;0")=1),1,0)</f>
        <v>0</v>
      </c>
    </row>
    <row r="179" customFormat="false" ht="15" hidden="false" customHeight="false" outlineLevel="0" collapsed="false">
      <c r="A179" s="14" t="n">
        <v>5033803371</v>
      </c>
      <c r="B179" s="77" t="n">
        <v>46125.7790740741</v>
      </c>
      <c r="C179" s="77" t="n">
        <v>46125.8474189815</v>
      </c>
      <c r="D179" s="38" t="n">
        <v>1.64027777777778</v>
      </c>
      <c r="E179" s="38" t="n">
        <v>79.641098</v>
      </c>
      <c r="F179" s="38" t="n">
        <v>62.472</v>
      </c>
      <c r="G179" s="14" t="s">
        <v>67</v>
      </c>
      <c r="H179" s="78" t="b">
        <f aca="false">TRUE()</f>
        <v>1</v>
      </c>
      <c r="I179" s="78" t="b">
        <f aca="false">FALSE()</f>
        <v>0</v>
      </c>
      <c r="J179" s="55" t="n">
        <v>1</v>
      </c>
      <c r="K179" s="14" t="s">
        <v>229</v>
      </c>
      <c r="L179" s="14" t="s">
        <v>226</v>
      </c>
      <c r="M179" s="14" t="s">
        <v>230</v>
      </c>
      <c r="N179" s="14"/>
      <c r="O179" s="14" t="s">
        <v>228</v>
      </c>
      <c r="P179" s="42" t="n">
        <v>50.9</v>
      </c>
      <c r="Q179" s="42" t="n">
        <v>43.22</v>
      </c>
      <c r="R179" s="53" t="n">
        <f aca="false">INT(B179)</f>
        <v>46125</v>
      </c>
      <c r="S179" s="14" t="n">
        <f aca="false">IF(AND(I179=TRUE(),COUNTIFS($R$5:R179,R179,$I$5:I179,TRUE())=1),1,0)</f>
        <v>0</v>
      </c>
      <c r="T179" s="71" t="n">
        <v>0.5</v>
      </c>
      <c r="U179" s="42" t="n">
        <v>48.02</v>
      </c>
      <c r="V179" s="42" t="n">
        <v>39.820549</v>
      </c>
      <c r="W179" s="42" t="n">
        <f aca="false">SUM(Z179:AE179)</f>
        <v>7.68</v>
      </c>
      <c r="X179" s="14" t="s">
        <v>105</v>
      </c>
      <c r="Y179" s="53" t="n">
        <v>46125</v>
      </c>
      <c r="Z179" s="42" t="n">
        <v>2.88</v>
      </c>
      <c r="AA179" s="42" t="n">
        <v>0</v>
      </c>
      <c r="AB179" s="42" t="n">
        <v>0</v>
      </c>
      <c r="AC179" s="42" t="n">
        <v>0</v>
      </c>
      <c r="AD179" s="42" t="n">
        <v>4.8</v>
      </c>
      <c r="AE179" s="42" t="n">
        <v>0</v>
      </c>
      <c r="AF179" s="14" t="n">
        <f aca="false">IF(AND(E179&gt;0,COUNTIFS($R$5:R179,R179,$E$5:E179,"&gt;0")=1),1,0)</f>
        <v>1</v>
      </c>
      <c r="AG179" s="14" t="n">
        <f aca="false">IF(AND(E179&gt;0,COUNTIFS($R$5:R179,R179,$K$5:K179,K179,$E$5:E179,"&gt;0")=1),1,0)</f>
        <v>1</v>
      </c>
    </row>
    <row r="180" customFormat="false" ht="15" hidden="false" customHeight="false" outlineLevel="0" collapsed="false">
      <c r="A180" s="17" t="n">
        <v>5041429431</v>
      </c>
      <c r="B180" s="79" t="n">
        <v>46127.9873263889</v>
      </c>
      <c r="C180" s="79" t="n">
        <v>46128.005474537</v>
      </c>
      <c r="D180" s="39" t="n">
        <v>0.435555555555556</v>
      </c>
      <c r="E180" s="39" t="n">
        <v>25.6824</v>
      </c>
      <c r="F180" s="39" t="n">
        <v>62.243</v>
      </c>
      <c r="G180" s="17" t="s">
        <v>68</v>
      </c>
      <c r="H180" s="80" t="b">
        <f aca="false">TRUE()</f>
        <v>1</v>
      </c>
      <c r="I180" s="80" t="b">
        <f aca="false">TRUE()</f>
        <v>1</v>
      </c>
      <c r="J180" s="81" t="n">
        <v>1</v>
      </c>
      <c r="K180" s="17" t="s">
        <v>229</v>
      </c>
      <c r="L180" s="17" t="s">
        <v>226</v>
      </c>
      <c r="M180" s="17" t="s">
        <v>230</v>
      </c>
      <c r="N180" s="17"/>
      <c r="O180" s="17" t="s">
        <v>228</v>
      </c>
      <c r="P180" s="44" t="n">
        <v>15.92</v>
      </c>
      <c r="Q180" s="44" t="n">
        <v>13.52</v>
      </c>
      <c r="R180" s="54" t="n">
        <f aca="false">INT(B180)</f>
        <v>46127</v>
      </c>
      <c r="S180" s="17" t="n">
        <f aca="false">IF(AND(I180=TRUE(),COUNTIFS($R$5:R180,R180,$I$5:I180,TRUE())=1),1,0)</f>
        <v>1</v>
      </c>
      <c r="T180" s="73" t="n">
        <v>0.5</v>
      </c>
      <c r="U180" s="44" t="n">
        <v>15.02</v>
      </c>
      <c r="V180" s="44" t="n">
        <v>12.8412</v>
      </c>
      <c r="W180" s="44" t="n">
        <f aca="false">SUM(Z180:AE180)</f>
        <v>2.4</v>
      </c>
      <c r="X180" s="17" t="s">
        <v>107</v>
      </c>
      <c r="Y180" s="54" t="n">
        <v>46125</v>
      </c>
      <c r="Z180" s="44" t="n">
        <v>0.9</v>
      </c>
      <c r="AA180" s="44" t="n">
        <v>0</v>
      </c>
      <c r="AB180" s="44" t="n">
        <v>0</v>
      </c>
      <c r="AC180" s="44" t="n">
        <v>0</v>
      </c>
      <c r="AD180" s="44" t="n">
        <v>1.5</v>
      </c>
      <c r="AE180" s="44" t="n">
        <v>0</v>
      </c>
      <c r="AF180" s="17" t="n">
        <f aca="false">IF(AND(E180&gt;0,COUNTIFS($R$5:R180,R180,$E$5:E180,"&gt;0")=1),1,0)</f>
        <v>1</v>
      </c>
      <c r="AG180" s="17" t="n">
        <f aca="false">IF(AND(E180&gt;0,COUNTIFS($R$5:R180,R180,$K$5:K180,K180,$E$5:E180,"&gt;0")=1),1,0)</f>
        <v>1</v>
      </c>
    </row>
    <row r="181" customFormat="false" ht="15" hidden="false" customHeight="false" outlineLevel="0" collapsed="false">
      <c r="A181" s="14" t="n">
        <v>5048198951</v>
      </c>
      <c r="B181" s="77" t="n">
        <v>46129.9179976852</v>
      </c>
      <c r="C181" s="77" t="n">
        <v>46129.9312384259</v>
      </c>
      <c r="D181" s="38" t="n">
        <v>0.317777777777778</v>
      </c>
      <c r="E181" s="38" t="n">
        <v>14.6061</v>
      </c>
      <c r="F181" s="38" t="n">
        <v>49.134</v>
      </c>
      <c r="G181" s="14" t="s">
        <v>68</v>
      </c>
      <c r="H181" s="78" t="b">
        <f aca="false">TRUE()</f>
        <v>1</v>
      </c>
      <c r="I181" s="78" t="b">
        <f aca="false">TRUE()</f>
        <v>1</v>
      </c>
      <c r="J181" s="55" t="n">
        <v>1</v>
      </c>
      <c r="K181" s="14" t="s">
        <v>229</v>
      </c>
      <c r="L181" s="14" t="s">
        <v>226</v>
      </c>
      <c r="M181" s="14" t="s">
        <v>318</v>
      </c>
      <c r="N181" s="14" t="s">
        <v>237</v>
      </c>
      <c r="O181" s="14" t="s">
        <v>228</v>
      </c>
      <c r="P181" s="42" t="n">
        <v>9.43</v>
      </c>
      <c r="Q181" s="42" t="n">
        <v>8</v>
      </c>
      <c r="R181" s="53" t="n">
        <f aca="false">INT(B181)</f>
        <v>46129</v>
      </c>
      <c r="S181" s="14" t="n">
        <f aca="false">IF(AND(I181=TRUE(),COUNTIFS($R$5:R181,R181,$I$5:I181,TRUE())=1),1,0)</f>
        <v>1</v>
      </c>
      <c r="T181" s="71" t="n">
        <v>0.5</v>
      </c>
      <c r="U181" s="42" t="n">
        <v>8.89</v>
      </c>
      <c r="V181" s="42" t="n">
        <v>7.30305</v>
      </c>
      <c r="W181" s="42" t="n">
        <f aca="false">SUM(Z181:AE181)</f>
        <v>1.43</v>
      </c>
      <c r="X181" s="14" t="s">
        <v>109</v>
      </c>
      <c r="Y181" s="53" t="n">
        <v>46125</v>
      </c>
      <c r="Z181" s="42" t="n">
        <v>0.54</v>
      </c>
      <c r="AA181" s="42" t="n">
        <v>0</v>
      </c>
      <c r="AB181" s="42" t="n">
        <v>0</v>
      </c>
      <c r="AC181" s="42" t="n">
        <v>0</v>
      </c>
      <c r="AD181" s="42" t="n">
        <v>0.89</v>
      </c>
      <c r="AE181" s="42" t="n">
        <v>0</v>
      </c>
      <c r="AF181" s="14" t="n">
        <f aca="false">IF(AND(E181&gt;0,COUNTIFS($R$5:R181,R181,$E$5:E181,"&gt;0")=1),1,0)</f>
        <v>1</v>
      </c>
      <c r="AG181" s="14" t="n">
        <f aca="false">IF(AND(E181&gt;0,COUNTIFS($R$5:R181,R181,$K$5:K181,K181,$E$5:E181,"&gt;0")=1),1,0)</f>
        <v>1</v>
      </c>
    </row>
    <row r="182" customFormat="false" ht="15" hidden="false" customHeight="false" outlineLevel="0" collapsed="false">
      <c r="A182" s="17" t="n">
        <v>5049917011</v>
      </c>
      <c r="B182" s="79" t="n">
        <v>46130.6173611111</v>
      </c>
      <c r="C182" s="79" t="n">
        <v>46130.6689236111</v>
      </c>
      <c r="D182" s="39" t="n">
        <v>1.2375</v>
      </c>
      <c r="E182" s="39" t="n">
        <v>53.255798</v>
      </c>
      <c r="F182" s="39" t="n">
        <v>62.513</v>
      </c>
      <c r="G182" s="17" t="s">
        <v>66</v>
      </c>
      <c r="H182" s="80" t="b">
        <f aca="false">TRUE()</f>
        <v>1</v>
      </c>
      <c r="I182" s="80" t="b">
        <f aca="false">FALSE()</f>
        <v>0</v>
      </c>
      <c r="J182" s="81" t="n">
        <v>1</v>
      </c>
      <c r="K182" s="17" t="s">
        <v>229</v>
      </c>
      <c r="L182" s="17" t="s">
        <v>226</v>
      </c>
      <c r="M182" s="17" t="s">
        <v>293</v>
      </c>
      <c r="N182" s="17" t="s">
        <v>294</v>
      </c>
      <c r="O182" s="17" t="s">
        <v>228</v>
      </c>
      <c r="P182" s="44" t="n">
        <v>34.79</v>
      </c>
      <c r="Q182" s="44" t="n">
        <v>29.54</v>
      </c>
      <c r="R182" s="54" t="n">
        <f aca="false">INT(B182)</f>
        <v>46130</v>
      </c>
      <c r="S182" s="17" t="n">
        <f aca="false">IF(AND(I182=TRUE(),COUNTIFS($R$5:R182,R182,$I$5:I182,TRUE())=1),1,0)</f>
        <v>0</v>
      </c>
      <c r="T182" s="73" t="n">
        <v>0.5</v>
      </c>
      <c r="U182" s="44" t="n">
        <v>32.82</v>
      </c>
      <c r="V182" s="44" t="n">
        <v>26.627899</v>
      </c>
      <c r="W182" s="44" t="n">
        <f aca="false">SUM(Z182:AE182)</f>
        <v>5.25</v>
      </c>
      <c r="X182" s="17" t="s">
        <v>110</v>
      </c>
      <c r="Y182" s="54" t="n">
        <v>46125</v>
      </c>
      <c r="Z182" s="44" t="n">
        <v>1.97</v>
      </c>
      <c r="AA182" s="44" t="n">
        <v>0</v>
      </c>
      <c r="AB182" s="44" t="n">
        <v>0</v>
      </c>
      <c r="AC182" s="44" t="n">
        <v>0</v>
      </c>
      <c r="AD182" s="44" t="n">
        <v>3.28</v>
      </c>
      <c r="AE182" s="44" t="n">
        <v>0</v>
      </c>
      <c r="AF182" s="17" t="n">
        <f aca="false">IF(AND(E182&gt;0,COUNTIFS($R$5:R182,R182,$E$5:E182,"&gt;0")=1),1,0)</f>
        <v>1</v>
      </c>
      <c r="AG182" s="17" t="n">
        <f aca="false">IF(AND(E182&gt;0,COUNTIFS($R$5:R182,R182,$K$5:K182,K182,$E$5:E182,"&gt;0")=1),1,0)</f>
        <v>1</v>
      </c>
    </row>
    <row r="183" customFormat="false" ht="15" hidden="false" customHeight="false" outlineLevel="0" collapsed="false">
      <c r="A183" s="14" t="n">
        <v>5050854891</v>
      </c>
      <c r="B183" s="77" t="n">
        <v>46130.8823611111</v>
      </c>
      <c r="C183" s="77" t="n">
        <v>46130.903912037</v>
      </c>
      <c r="D183" s="38" t="n">
        <v>0.517222222222222</v>
      </c>
      <c r="E183" s="38" t="n">
        <v>26.8976</v>
      </c>
      <c r="F183" s="38" t="n">
        <v>62.472</v>
      </c>
      <c r="G183" s="14" t="s">
        <v>67</v>
      </c>
      <c r="H183" s="78" t="b">
        <f aca="false">TRUE()</f>
        <v>1</v>
      </c>
      <c r="I183" s="78" t="b">
        <f aca="false">FALSE()</f>
        <v>0</v>
      </c>
      <c r="J183" s="55" t="n">
        <v>1</v>
      </c>
      <c r="K183" s="14" t="s">
        <v>229</v>
      </c>
      <c r="L183" s="14" t="s">
        <v>226</v>
      </c>
      <c r="M183" s="14" t="s">
        <v>293</v>
      </c>
      <c r="N183" s="14" t="s">
        <v>294</v>
      </c>
      <c r="O183" s="14" t="s">
        <v>228</v>
      </c>
      <c r="P183" s="42" t="n">
        <v>17.01</v>
      </c>
      <c r="Q183" s="42" t="n">
        <v>14.44</v>
      </c>
      <c r="R183" s="53" t="n">
        <f aca="false">INT(B183)</f>
        <v>46130</v>
      </c>
      <c r="S183" s="14" t="n">
        <f aca="false">IF(AND(I183=TRUE(),COUNTIFS($R$5:R183,R183,$I$5:I183,TRUE())=1),1,0)</f>
        <v>0</v>
      </c>
      <c r="T183" s="71" t="n">
        <v>0.5</v>
      </c>
      <c r="U183" s="42" t="n">
        <v>16.04</v>
      </c>
      <c r="V183" s="42" t="n">
        <v>13.4488</v>
      </c>
      <c r="W183" s="42" t="n">
        <f aca="false">SUM(Z183:AE183)</f>
        <v>2.57</v>
      </c>
      <c r="X183" s="14" t="s">
        <v>110</v>
      </c>
      <c r="Y183" s="53" t="n">
        <v>46125</v>
      </c>
      <c r="Z183" s="42" t="n">
        <v>0.97</v>
      </c>
      <c r="AA183" s="42" t="n">
        <v>0</v>
      </c>
      <c r="AB183" s="42" t="n">
        <v>0</v>
      </c>
      <c r="AC183" s="42" t="n">
        <v>0</v>
      </c>
      <c r="AD183" s="42" t="n">
        <v>1.6</v>
      </c>
      <c r="AE183" s="42" t="n">
        <v>0</v>
      </c>
      <c r="AF183" s="14" t="n">
        <f aca="false">IF(AND(E183&gt;0,COUNTIFS($R$5:R183,R183,$E$5:E183,"&gt;0")=1),1,0)</f>
        <v>0</v>
      </c>
      <c r="AG183" s="14" t="n">
        <f aca="false">IF(AND(E183&gt;0,COUNTIFS($R$5:R183,R183,$K$5:K183,K183,$E$5:E183,"&gt;0")=1),1,0)</f>
        <v>0</v>
      </c>
    </row>
    <row r="184" customFormat="false" ht="15" hidden="false" customHeight="false" outlineLevel="0" collapsed="false">
      <c r="A184" s="17" t="n">
        <v>5052659961</v>
      </c>
      <c r="B184" s="79" t="n">
        <v>46131.6969907407</v>
      </c>
      <c r="C184" s="79" t="n">
        <v>46131.7130092593</v>
      </c>
      <c r="D184" s="39" t="n">
        <v>0.384444444444444</v>
      </c>
      <c r="E184" s="39" t="n">
        <v>15.6444</v>
      </c>
      <c r="F184" s="39" t="n">
        <v>52.895</v>
      </c>
      <c r="G184" s="17" t="s">
        <v>66</v>
      </c>
      <c r="H184" s="80" t="b">
        <f aca="false">TRUE()</f>
        <v>1</v>
      </c>
      <c r="I184" s="80" t="b">
        <f aca="false">FALSE()</f>
        <v>0</v>
      </c>
      <c r="J184" s="81" t="n">
        <v>0.918367346938776</v>
      </c>
      <c r="K184" s="17" t="s">
        <v>229</v>
      </c>
      <c r="L184" s="17" t="s">
        <v>226</v>
      </c>
      <c r="M184" s="17" t="s">
        <v>298</v>
      </c>
      <c r="N184" s="17" t="s">
        <v>299</v>
      </c>
      <c r="O184" s="17" t="s">
        <v>232</v>
      </c>
      <c r="P184" s="44" t="n">
        <v>10.33</v>
      </c>
      <c r="Q184" s="44" t="n">
        <v>8.77</v>
      </c>
      <c r="R184" s="54" t="n">
        <f aca="false">INT(B184)</f>
        <v>46131</v>
      </c>
      <c r="S184" s="17" t="n">
        <f aca="false">IF(AND(I184=TRUE(),COUNTIFS($R$5:R184,R184,$I$5:I184,TRUE())=1),1,0)</f>
        <v>0</v>
      </c>
      <c r="T184" s="73" t="n">
        <v>0.5</v>
      </c>
      <c r="U184" s="44" t="n">
        <v>9.74</v>
      </c>
      <c r="V184" s="44" t="n">
        <v>7.8222</v>
      </c>
      <c r="W184" s="44" t="n">
        <f aca="false">SUM(Z184:AE184)</f>
        <v>1.56</v>
      </c>
      <c r="X184" s="17" t="s">
        <v>111</v>
      </c>
      <c r="Y184" s="54" t="n">
        <v>46125</v>
      </c>
      <c r="Z184" s="44" t="n">
        <v>0.59</v>
      </c>
      <c r="AA184" s="44" t="n">
        <v>0</v>
      </c>
      <c r="AB184" s="44" t="n">
        <v>0</v>
      </c>
      <c r="AC184" s="44" t="n">
        <v>0</v>
      </c>
      <c r="AD184" s="44" t="n">
        <v>0.97</v>
      </c>
      <c r="AE184" s="44" t="n">
        <v>0</v>
      </c>
      <c r="AF184" s="17" t="n">
        <f aca="false">IF(AND(E184&gt;0,COUNTIFS($R$5:R184,R184,$E$5:E184,"&gt;0")=1),1,0)</f>
        <v>1</v>
      </c>
      <c r="AG184" s="17" t="n">
        <f aca="false">IF(AND(E184&gt;0,COUNTIFS($R$5:R184,R184,$K$5:K184,K184,$E$5:E184,"&gt;0")=1),1,0)</f>
        <v>1</v>
      </c>
    </row>
    <row r="185" customFormat="false" ht="15" hidden="false" customHeight="false" outlineLevel="0" collapsed="false">
      <c r="A185" s="14" t="n">
        <v>5060229571</v>
      </c>
      <c r="B185" s="77" t="n">
        <v>46133.9175694444</v>
      </c>
      <c r="C185" s="77" t="n">
        <v>46133.9178703704</v>
      </c>
      <c r="D185" s="38" t="n">
        <v>0.0072222222222222</v>
      </c>
      <c r="E185" s="38" t="n">
        <v>0</v>
      </c>
      <c r="F185" s="38"/>
      <c r="G185" s="14" t="s">
        <v>68</v>
      </c>
      <c r="H185" s="78" t="b">
        <f aca="false">FALSE()</f>
        <v>0</v>
      </c>
      <c r="I185" s="78" t="b">
        <f aca="false">TRUE()</f>
        <v>1</v>
      </c>
      <c r="J185" s="55"/>
      <c r="K185" s="14" t="s">
        <v>229</v>
      </c>
      <c r="L185" s="14" t="s">
        <v>226</v>
      </c>
      <c r="M185" s="14"/>
      <c r="N185" s="14"/>
      <c r="O185" s="14"/>
      <c r="P185" s="42"/>
      <c r="Q185" s="42"/>
      <c r="R185" s="53" t="n">
        <f aca="false">INT(B185)</f>
        <v>46133</v>
      </c>
      <c r="S185" s="14" t="n">
        <f aca="false">IF(AND(I185=TRUE(),COUNTIFS($R$5:R185,R185,$I$5:I185,TRUE())=1),1,0)</f>
        <v>1</v>
      </c>
      <c r="T185" s="71"/>
      <c r="U185" s="42"/>
      <c r="V185" s="42"/>
      <c r="W185" s="42" t="n">
        <f aca="false">SUM(Z185:AE185)</f>
        <v>0</v>
      </c>
      <c r="X185" s="14" t="s">
        <v>106</v>
      </c>
      <c r="Y185" s="53" t="n">
        <v>46132</v>
      </c>
      <c r="Z185" s="42"/>
      <c r="AA185" s="42"/>
      <c r="AB185" s="42"/>
      <c r="AC185" s="42"/>
      <c r="AD185" s="42"/>
      <c r="AE185" s="42"/>
      <c r="AF185" s="14" t="n">
        <f aca="false">IF(AND(E185&gt;0,COUNTIFS($R$5:R185,R185,$E$5:E185,"&gt;0")=1),1,0)</f>
        <v>0</v>
      </c>
      <c r="AG185" s="14" t="n">
        <f aca="false">IF(AND(E185&gt;0,COUNTIFS($R$5:R185,R185,$K$5:K185,K185,$E$5:E185,"&gt;0")=1),1,0)</f>
        <v>0</v>
      </c>
    </row>
    <row r="186" customFormat="false" ht="15" hidden="false" customHeight="false" outlineLevel="0" collapsed="false">
      <c r="A186" s="17" t="n">
        <v>5060245441</v>
      </c>
      <c r="B186" s="79" t="n">
        <v>46133.9211921296</v>
      </c>
      <c r="C186" s="79" t="n">
        <v>46133.9213425926</v>
      </c>
      <c r="D186" s="39" t="n">
        <v>0.0036111111111111</v>
      </c>
      <c r="E186" s="39" t="n">
        <v>0</v>
      </c>
      <c r="F186" s="39"/>
      <c r="G186" s="17" t="s">
        <v>68</v>
      </c>
      <c r="H186" s="80" t="b">
        <f aca="false">FALSE()</f>
        <v>0</v>
      </c>
      <c r="I186" s="80" t="b">
        <f aca="false">TRUE()</f>
        <v>1</v>
      </c>
      <c r="J186" s="81"/>
      <c r="K186" s="17" t="s">
        <v>225</v>
      </c>
      <c r="L186" s="17" t="s">
        <v>226</v>
      </c>
      <c r="M186" s="17"/>
      <c r="N186" s="17"/>
      <c r="O186" s="17"/>
      <c r="P186" s="44"/>
      <c r="Q186" s="44"/>
      <c r="R186" s="54" t="n">
        <f aca="false">INT(B186)</f>
        <v>46133</v>
      </c>
      <c r="S186" s="17" t="n">
        <f aca="false">IF(AND(I186=TRUE(),COUNTIFS($R$5:R186,R186,$I$5:I186,TRUE())=1),1,0)</f>
        <v>0</v>
      </c>
      <c r="T186" s="73"/>
      <c r="U186" s="44"/>
      <c r="V186" s="44"/>
      <c r="W186" s="44" t="n">
        <f aca="false">SUM(Z186:AE186)</f>
        <v>0</v>
      </c>
      <c r="X186" s="17" t="s">
        <v>106</v>
      </c>
      <c r="Y186" s="54" t="n">
        <v>46132</v>
      </c>
      <c r="Z186" s="44"/>
      <c r="AA186" s="44"/>
      <c r="AB186" s="44"/>
      <c r="AC186" s="44"/>
      <c r="AD186" s="44"/>
      <c r="AE186" s="44"/>
      <c r="AF186" s="17" t="n">
        <f aca="false">IF(AND(E186&gt;0,COUNTIFS($R$5:R186,R186,$E$5:E186,"&gt;0")=1),1,0)</f>
        <v>0</v>
      </c>
      <c r="AG186" s="17" t="n">
        <f aca="false">IF(AND(E186&gt;0,COUNTIFS($R$5:R186,R186,$K$5:K186,K186,$E$5:E186,"&gt;0")=1),1,0)</f>
        <v>0</v>
      </c>
    </row>
    <row r="187" customFormat="false" ht="15" hidden="false" customHeight="false" outlineLevel="0" collapsed="false">
      <c r="A187" s="14" t="n">
        <v>5061959491</v>
      </c>
      <c r="B187" s="77" t="n">
        <v>46134.5503703704</v>
      </c>
      <c r="C187" s="77" t="n">
        <v>46134.5517592593</v>
      </c>
      <c r="D187" s="38" t="n">
        <v>0.0333333333333333</v>
      </c>
      <c r="E187" s="38" t="n">
        <v>0</v>
      </c>
      <c r="F187" s="38" t="n">
        <v>0</v>
      </c>
      <c r="G187" s="14" t="s">
        <v>66</v>
      </c>
      <c r="H187" s="78" t="b">
        <f aca="false">FALSE()</f>
        <v>0</v>
      </c>
      <c r="I187" s="78" t="b">
        <f aca="false">FALSE()</f>
        <v>0</v>
      </c>
      <c r="J187" s="55"/>
      <c r="K187" s="14" t="s">
        <v>229</v>
      </c>
      <c r="L187" s="14" t="s">
        <v>226</v>
      </c>
      <c r="M187" s="14"/>
      <c r="N187" s="14"/>
      <c r="O187" s="14"/>
      <c r="P187" s="42"/>
      <c r="Q187" s="42"/>
      <c r="R187" s="53" t="n">
        <f aca="false">INT(B187)</f>
        <v>46134</v>
      </c>
      <c r="S187" s="14" t="n">
        <f aca="false">IF(AND(I187=TRUE(),COUNTIFS($R$5:R187,R187,$I$5:I187,TRUE())=1),1,0)</f>
        <v>0</v>
      </c>
      <c r="T187" s="71"/>
      <c r="U187" s="42"/>
      <c r="V187" s="42"/>
      <c r="W187" s="42" t="n">
        <f aca="false">SUM(Z187:AE187)</f>
        <v>0</v>
      </c>
      <c r="X187" s="14" t="s">
        <v>107</v>
      </c>
      <c r="Y187" s="53" t="n">
        <v>46132</v>
      </c>
      <c r="Z187" s="42"/>
      <c r="AA187" s="42"/>
      <c r="AB187" s="42"/>
      <c r="AC187" s="42"/>
      <c r="AD187" s="42"/>
      <c r="AE187" s="42"/>
      <c r="AF187" s="14" t="n">
        <f aca="false">IF(AND(E187&gt;0,COUNTIFS($R$5:R187,R187,$E$5:E187,"&gt;0")=1),1,0)</f>
        <v>0</v>
      </c>
      <c r="AG187" s="14" t="n">
        <f aca="false">IF(AND(E187&gt;0,COUNTIFS($R$5:R187,R187,$K$5:K187,K187,$E$5:E187,"&gt;0")=1),1,0)</f>
        <v>0</v>
      </c>
    </row>
    <row r="188" customFormat="false" ht="15" hidden="false" customHeight="false" outlineLevel="0" collapsed="false">
      <c r="A188" s="17" t="n">
        <v>5061988191</v>
      </c>
      <c r="B188" s="79" t="n">
        <v>46134.557962963</v>
      </c>
      <c r="C188" s="79" t="n">
        <v>46134.5602546296</v>
      </c>
      <c r="D188" s="39" t="n">
        <v>0.055</v>
      </c>
      <c r="E188" s="39" t="n">
        <v>0.336346</v>
      </c>
      <c r="F188" s="39" t="n">
        <v>7.2545</v>
      </c>
      <c r="G188" s="17" t="s">
        <v>66</v>
      </c>
      <c r="H188" s="80" t="b">
        <f aca="false">FALSE()</f>
        <v>0</v>
      </c>
      <c r="I188" s="80" t="b">
        <f aca="false">FALSE()</f>
        <v>0</v>
      </c>
      <c r="J188" s="81"/>
      <c r="K188" s="17" t="s">
        <v>225</v>
      </c>
      <c r="L188" s="17" t="s">
        <v>226</v>
      </c>
      <c r="M188" s="17" t="s">
        <v>319</v>
      </c>
      <c r="N188" s="17" t="s">
        <v>320</v>
      </c>
      <c r="O188" s="17" t="s">
        <v>269</v>
      </c>
      <c r="P188" s="44" t="n">
        <v>0.48</v>
      </c>
      <c r="Q188" s="44" t="n">
        <v>0.41</v>
      </c>
      <c r="R188" s="54" t="n">
        <f aca="false">INT(B188)</f>
        <v>46134</v>
      </c>
      <c r="S188" s="17" t="n">
        <f aca="false">IF(AND(I188=TRUE(),COUNTIFS($R$5:R188,R188,$I$5:I188,TRUE())=1),1,0)</f>
        <v>0</v>
      </c>
      <c r="T188" s="73" t="n">
        <v>0.5</v>
      </c>
      <c r="U188" s="44" t="n">
        <v>0.45</v>
      </c>
      <c r="V188" s="44" t="n">
        <v>0.168173</v>
      </c>
      <c r="W188" s="44" t="n">
        <f aca="false">SUM(Z188:AE188)</f>
        <v>0.07</v>
      </c>
      <c r="X188" s="17" t="s">
        <v>107</v>
      </c>
      <c r="Y188" s="54" t="n">
        <v>46132</v>
      </c>
      <c r="Z188" s="44" t="n">
        <v>0.03</v>
      </c>
      <c r="AA188" s="44" t="n">
        <v>0</v>
      </c>
      <c r="AB188" s="44" t="n">
        <v>0</v>
      </c>
      <c r="AC188" s="44" t="n">
        <v>0</v>
      </c>
      <c r="AD188" s="44" t="n">
        <v>0.04</v>
      </c>
      <c r="AE188" s="44" t="n">
        <v>0</v>
      </c>
      <c r="AF188" s="17" t="n">
        <f aca="false">IF(AND(E188&gt;0,COUNTIFS($R$5:R188,R188,$E$5:E188,"&gt;0")=1),1,0)</f>
        <v>1</v>
      </c>
      <c r="AG188" s="17" t="n">
        <f aca="false">IF(AND(E188&gt;0,COUNTIFS($R$5:R188,R188,$K$5:K188,K188,$E$5:E188,"&gt;0")=1),1,0)</f>
        <v>1</v>
      </c>
    </row>
    <row r="189" customFormat="false" ht="15" hidden="false" customHeight="false" outlineLevel="0" collapsed="false">
      <c r="A189" s="14" t="n">
        <v>5062680061</v>
      </c>
      <c r="B189" s="77" t="n">
        <v>46134.7019560185</v>
      </c>
      <c r="C189" s="77" t="n">
        <v>46134.7140625</v>
      </c>
      <c r="D189" s="38" t="n">
        <v>0.290555555555556</v>
      </c>
      <c r="E189" s="38" t="n">
        <v>2.029098</v>
      </c>
      <c r="F189" s="38" t="n">
        <v>7.25</v>
      </c>
      <c r="G189" s="14" t="s">
        <v>66</v>
      </c>
      <c r="H189" s="78" t="b">
        <f aca="false">FALSE()</f>
        <v>0</v>
      </c>
      <c r="I189" s="78" t="b">
        <f aca="false">FALSE()</f>
        <v>0</v>
      </c>
      <c r="J189" s="55" t="n">
        <v>0</v>
      </c>
      <c r="K189" s="14" t="s">
        <v>225</v>
      </c>
      <c r="L189" s="14" t="s">
        <v>226</v>
      </c>
      <c r="M189" s="14" t="s">
        <v>319</v>
      </c>
      <c r="N189" s="14" t="s">
        <v>320</v>
      </c>
      <c r="O189" s="14" t="s">
        <v>269</v>
      </c>
      <c r="P189" s="42" t="n">
        <v>2.61</v>
      </c>
      <c r="Q189" s="42" t="n">
        <v>2.21</v>
      </c>
      <c r="R189" s="53" t="n">
        <f aca="false">INT(B189)</f>
        <v>46134</v>
      </c>
      <c r="S189" s="14" t="n">
        <f aca="false">IF(AND(I189=TRUE(),COUNTIFS($R$5:R189,R189,$I$5:I189,TRUE())=1),1,0)</f>
        <v>0</v>
      </c>
      <c r="T189" s="71" t="n">
        <v>0.5</v>
      </c>
      <c r="U189" s="42" t="n">
        <v>2.46</v>
      </c>
      <c r="V189" s="42" t="n">
        <v>1.014549</v>
      </c>
      <c r="W189" s="42" t="n">
        <f aca="false">SUM(Z189:AE189)</f>
        <v>0.4</v>
      </c>
      <c r="X189" s="14" t="s">
        <v>107</v>
      </c>
      <c r="Y189" s="53" t="n">
        <v>46132</v>
      </c>
      <c r="Z189" s="42" t="n">
        <v>0.15</v>
      </c>
      <c r="AA189" s="42" t="n">
        <v>0</v>
      </c>
      <c r="AB189" s="42" t="n">
        <v>0</v>
      </c>
      <c r="AC189" s="42" t="n">
        <v>0</v>
      </c>
      <c r="AD189" s="42" t="n">
        <v>0.25</v>
      </c>
      <c r="AE189" s="42" t="n">
        <v>0</v>
      </c>
      <c r="AF189" s="14" t="n">
        <f aca="false">IF(AND(E189&gt;0,COUNTIFS($R$5:R189,R189,$E$5:E189,"&gt;0")=1),1,0)</f>
        <v>0</v>
      </c>
      <c r="AG189" s="14" t="n">
        <f aca="false">IF(AND(E189&gt;0,COUNTIFS($R$5:R189,R189,$K$5:K189,K189,$E$5:E189,"&gt;0")=1),1,0)</f>
        <v>0</v>
      </c>
    </row>
    <row r="190" customFormat="false" ht="15" hidden="false" customHeight="false" outlineLevel="0" collapsed="false">
      <c r="A190" s="17" t="n">
        <v>5063306431</v>
      </c>
      <c r="B190" s="79" t="n">
        <v>46134.8539930556</v>
      </c>
      <c r="C190" s="79" t="n">
        <v>46134.8662615741</v>
      </c>
      <c r="D190" s="39" t="n">
        <v>0.294444444444444</v>
      </c>
      <c r="E190" s="39" t="n">
        <v>14.9672</v>
      </c>
      <c r="F190" s="39" t="n">
        <v>56.299</v>
      </c>
      <c r="G190" s="17" t="s">
        <v>67</v>
      </c>
      <c r="H190" s="80" t="b">
        <f aca="false">TRUE()</f>
        <v>1</v>
      </c>
      <c r="I190" s="80" t="b">
        <f aca="false">FALSE()</f>
        <v>0</v>
      </c>
      <c r="J190" s="81" t="n">
        <v>1</v>
      </c>
      <c r="K190" s="17" t="s">
        <v>229</v>
      </c>
      <c r="L190" s="17" t="s">
        <v>233</v>
      </c>
      <c r="M190" s="17"/>
      <c r="N190" s="17"/>
      <c r="O190" s="17"/>
      <c r="P190" s="44" t="n">
        <v>9.44</v>
      </c>
      <c r="Q190" s="44" t="n">
        <v>8.01</v>
      </c>
      <c r="R190" s="54" t="n">
        <f aca="false">INT(B190)</f>
        <v>46134</v>
      </c>
      <c r="S190" s="17" t="n">
        <f aca="false">IF(AND(I190=TRUE(),COUNTIFS($R$5:R190,R190,$I$5:I190,TRUE())=1),1,0)</f>
        <v>0</v>
      </c>
      <c r="T190" s="73" t="n">
        <v>0.5</v>
      </c>
      <c r="U190" s="44" t="n">
        <v>8.9</v>
      </c>
      <c r="V190" s="44" t="n">
        <v>7.4836</v>
      </c>
      <c r="W190" s="44" t="n">
        <f aca="false">SUM(Z190:AE190)</f>
        <v>1.43</v>
      </c>
      <c r="X190" s="17" t="s">
        <v>107</v>
      </c>
      <c r="Y190" s="54" t="n">
        <v>46132</v>
      </c>
      <c r="Z190" s="44" t="n">
        <v>0.54</v>
      </c>
      <c r="AA190" s="44" t="n">
        <v>0</v>
      </c>
      <c r="AB190" s="44" t="n">
        <v>0</v>
      </c>
      <c r="AC190" s="44" t="n">
        <v>0</v>
      </c>
      <c r="AD190" s="44" t="n">
        <v>0.89</v>
      </c>
      <c r="AE190" s="44" t="n">
        <v>0</v>
      </c>
      <c r="AF190" s="17" t="n">
        <f aca="false">IF(AND(E190&gt;0,COUNTIFS($R$5:R190,R190,$E$5:E190,"&gt;0")=1),1,0)</f>
        <v>0</v>
      </c>
      <c r="AG190" s="17" t="n">
        <f aca="false">IF(AND(E190&gt;0,COUNTIFS($R$5:R190,R190,$K$5:K190,K190,$E$5:E190,"&gt;0")=1),1,0)</f>
        <v>1</v>
      </c>
    </row>
    <row r="191" customFormat="false" ht="15" hidden="false" customHeight="false" outlineLevel="0" collapsed="false">
      <c r="A191" s="14" t="n">
        <v>5064310421</v>
      </c>
      <c r="B191" s="77" t="n">
        <v>46135.0737962963</v>
      </c>
      <c r="C191" s="77" t="n">
        <v>46135.1223958333</v>
      </c>
      <c r="D191" s="38" t="n">
        <v>1.16638888888889</v>
      </c>
      <c r="E191" s="38" t="n">
        <v>8.386854</v>
      </c>
      <c r="F191" s="38" t="n">
        <v>7.3187</v>
      </c>
      <c r="G191" s="14" t="s">
        <v>68</v>
      </c>
      <c r="H191" s="78" t="b">
        <f aca="false">FALSE()</f>
        <v>0</v>
      </c>
      <c r="I191" s="78" t="b">
        <f aca="false">TRUE()</f>
        <v>1</v>
      </c>
      <c r="J191" s="55" t="n">
        <v>0</v>
      </c>
      <c r="K191" s="14" t="s">
        <v>225</v>
      </c>
      <c r="L191" s="14" t="s">
        <v>226</v>
      </c>
      <c r="M191" s="14" t="s">
        <v>319</v>
      </c>
      <c r="N191" s="14" t="s">
        <v>320</v>
      </c>
      <c r="O191" s="14" t="s">
        <v>269</v>
      </c>
      <c r="P191" s="42" t="n">
        <v>10.62</v>
      </c>
      <c r="Q191" s="42" t="n">
        <v>9.02</v>
      </c>
      <c r="R191" s="53" t="n">
        <f aca="false">INT(B191)</f>
        <v>46135</v>
      </c>
      <c r="S191" s="14" t="n">
        <f aca="false">IF(AND(I191=TRUE(),COUNTIFS($R$5:R191,R191,$I$5:I191,TRUE())=1),1,0)</f>
        <v>1</v>
      </c>
      <c r="T191" s="71" t="n">
        <v>0.5</v>
      </c>
      <c r="U191" s="42" t="n">
        <v>10.02</v>
      </c>
      <c r="V191" s="42" t="n">
        <v>4.193427</v>
      </c>
      <c r="W191" s="42" t="n">
        <f aca="false">SUM(Z191:AE191)</f>
        <v>1.6</v>
      </c>
      <c r="X191" s="14" t="s">
        <v>108</v>
      </c>
      <c r="Y191" s="53" t="n">
        <v>46132</v>
      </c>
      <c r="Z191" s="42" t="n">
        <v>0.6</v>
      </c>
      <c r="AA191" s="42" t="n">
        <v>0</v>
      </c>
      <c r="AB191" s="42" t="n">
        <v>0</v>
      </c>
      <c r="AC191" s="42" t="n">
        <v>0</v>
      </c>
      <c r="AD191" s="42" t="n">
        <v>1</v>
      </c>
      <c r="AE191" s="42" t="n">
        <v>0</v>
      </c>
      <c r="AF191" s="14" t="n">
        <f aca="false">IF(AND(E191&gt;0,COUNTIFS($R$5:R191,R191,$E$5:E191,"&gt;0")=1),1,0)</f>
        <v>1</v>
      </c>
      <c r="AG191" s="14" t="n">
        <f aca="false">IF(AND(E191&gt;0,COUNTIFS($R$5:R191,R191,$K$5:K191,K191,$E$5:E191,"&gt;0")=1),1,0)</f>
        <v>1</v>
      </c>
    </row>
    <row r="192" customFormat="false" ht="15" hidden="false" customHeight="false" outlineLevel="0" collapsed="false">
      <c r="A192" s="17" t="n">
        <v>5065498161</v>
      </c>
      <c r="B192" s="79" t="n">
        <v>46135.584849537</v>
      </c>
      <c r="C192" s="79" t="n">
        <v>46135.6255092593</v>
      </c>
      <c r="D192" s="39" t="n">
        <v>0.975833333333333</v>
      </c>
      <c r="E192" s="39" t="n">
        <v>47.786</v>
      </c>
      <c r="F192" s="39" t="n">
        <v>56.732</v>
      </c>
      <c r="G192" s="17" t="s">
        <v>66</v>
      </c>
      <c r="H192" s="80" t="b">
        <f aca="false">TRUE()</f>
        <v>1</v>
      </c>
      <c r="I192" s="80" t="b">
        <f aca="false">FALSE()</f>
        <v>0</v>
      </c>
      <c r="J192" s="81" t="n">
        <v>1</v>
      </c>
      <c r="K192" s="17" t="s">
        <v>229</v>
      </c>
      <c r="L192" s="17" t="s">
        <v>226</v>
      </c>
      <c r="M192" s="17" t="s">
        <v>230</v>
      </c>
      <c r="N192" s="17"/>
      <c r="O192" s="17" t="s">
        <v>228</v>
      </c>
      <c r="P192" s="44" t="n">
        <v>30.49</v>
      </c>
      <c r="Q192" s="44" t="n">
        <v>25.89</v>
      </c>
      <c r="R192" s="54" t="n">
        <f aca="false">INT(B192)</f>
        <v>46135</v>
      </c>
      <c r="S192" s="17" t="n">
        <f aca="false">IF(AND(I192=TRUE(),COUNTIFS($R$5:R192,R192,$I$5:I192,TRUE())=1),1,0)</f>
        <v>0</v>
      </c>
      <c r="T192" s="73" t="n">
        <v>0.5</v>
      </c>
      <c r="U192" s="44" t="n">
        <v>28.77</v>
      </c>
      <c r="V192" s="44" t="n">
        <v>23.893</v>
      </c>
      <c r="W192" s="44" t="n">
        <f aca="false">SUM(Z192:AE192)</f>
        <v>4.6</v>
      </c>
      <c r="X192" s="17" t="s">
        <v>108</v>
      </c>
      <c r="Y192" s="54" t="n">
        <v>46132</v>
      </c>
      <c r="Z192" s="44" t="n">
        <v>1.72</v>
      </c>
      <c r="AA192" s="44" t="n">
        <v>0</v>
      </c>
      <c r="AB192" s="44" t="n">
        <v>0</v>
      </c>
      <c r="AC192" s="44" t="n">
        <v>0</v>
      </c>
      <c r="AD192" s="44" t="n">
        <v>2.88</v>
      </c>
      <c r="AE192" s="44" t="n">
        <v>0</v>
      </c>
      <c r="AF192" s="17" t="n">
        <f aca="false">IF(AND(E192&gt;0,COUNTIFS($R$5:R192,R192,$E$5:E192,"&gt;0")=1),1,0)</f>
        <v>0</v>
      </c>
      <c r="AG192" s="17" t="n">
        <f aca="false">IF(AND(E192&gt;0,COUNTIFS($R$5:R192,R192,$K$5:K192,K192,$E$5:E192,"&gt;0")=1),1,0)</f>
        <v>1</v>
      </c>
    </row>
    <row r="193" customFormat="false" ht="15" hidden="false" customHeight="false" outlineLevel="0" collapsed="false">
      <c r="A193" s="14" t="n">
        <v>5066116501</v>
      </c>
      <c r="B193" s="77" t="n">
        <v>46135.704537037</v>
      </c>
      <c r="C193" s="77" t="n">
        <v>46135.7600694444</v>
      </c>
      <c r="D193" s="38" t="n">
        <v>1.33277777777778</v>
      </c>
      <c r="E193" s="38" t="n">
        <v>9.556702</v>
      </c>
      <c r="F193" s="38" t="n">
        <v>7.2713</v>
      </c>
      <c r="G193" s="14" t="s">
        <v>66</v>
      </c>
      <c r="H193" s="78" t="b">
        <f aca="false">FALSE()</f>
        <v>0</v>
      </c>
      <c r="I193" s="78" t="b">
        <f aca="false">FALSE()</f>
        <v>0</v>
      </c>
      <c r="J193" s="55" t="n">
        <v>0</v>
      </c>
      <c r="K193" s="14" t="s">
        <v>225</v>
      </c>
      <c r="L193" s="14" t="s">
        <v>226</v>
      </c>
      <c r="M193" s="14" t="s">
        <v>319</v>
      </c>
      <c r="N193" s="14" t="s">
        <v>320</v>
      </c>
      <c r="O193" s="14" t="s">
        <v>269</v>
      </c>
      <c r="P193" s="42" t="n">
        <v>12.13</v>
      </c>
      <c r="Q193" s="42" t="n">
        <v>10.3</v>
      </c>
      <c r="R193" s="53" t="n">
        <f aca="false">INT(B193)</f>
        <v>46135</v>
      </c>
      <c r="S193" s="14" t="n">
        <f aca="false">IF(AND(I193=TRUE(),COUNTIFS($R$5:R193,R193,$I$5:I193,TRUE())=1),1,0)</f>
        <v>0</v>
      </c>
      <c r="T193" s="71" t="n">
        <v>0.5</v>
      </c>
      <c r="U193" s="42" t="n">
        <v>11.44</v>
      </c>
      <c r="V193" s="42" t="n">
        <v>4.778351</v>
      </c>
      <c r="W193" s="42" t="n">
        <f aca="false">SUM(Z193:AE193)</f>
        <v>1.83</v>
      </c>
      <c r="X193" s="14" t="s">
        <v>108</v>
      </c>
      <c r="Y193" s="53" t="n">
        <v>46132</v>
      </c>
      <c r="Z193" s="42" t="n">
        <v>0.69</v>
      </c>
      <c r="AA193" s="42" t="n">
        <v>0</v>
      </c>
      <c r="AB193" s="42" t="n">
        <v>0</v>
      </c>
      <c r="AC193" s="42" t="n">
        <v>0</v>
      </c>
      <c r="AD193" s="42" t="n">
        <v>1.14</v>
      </c>
      <c r="AE193" s="42" t="n">
        <v>0</v>
      </c>
      <c r="AF193" s="14" t="n">
        <f aca="false">IF(AND(E193&gt;0,COUNTIFS($R$5:R193,R193,$E$5:E193,"&gt;0")=1),1,0)</f>
        <v>0</v>
      </c>
      <c r="AG193" s="14" t="n">
        <f aca="false">IF(AND(E193&gt;0,COUNTIFS($R$5:R193,R193,$K$5:K193,K193,$E$5:E193,"&gt;0")=1),1,0)</f>
        <v>0</v>
      </c>
    </row>
    <row r="194" customFormat="false" ht="15" hidden="false" customHeight="false" outlineLevel="0" collapsed="false">
      <c r="A194" s="17" t="n">
        <v>5070019271</v>
      </c>
      <c r="B194" s="79" t="n">
        <v>46136.8286805556</v>
      </c>
      <c r="C194" s="79" t="n">
        <v>46136.8684490741</v>
      </c>
      <c r="D194" s="39" t="n">
        <v>0.954444444444444</v>
      </c>
      <c r="E194" s="39" t="n">
        <v>34.3673</v>
      </c>
      <c r="F194" s="39" t="n">
        <v>54.561</v>
      </c>
      <c r="G194" s="17" t="s">
        <v>67</v>
      </c>
      <c r="H194" s="80" t="b">
        <f aca="false">TRUE()</f>
        <v>1</v>
      </c>
      <c r="I194" s="80" t="b">
        <f aca="false">FALSE()</f>
        <v>0</v>
      </c>
      <c r="J194" s="81" t="n">
        <v>1</v>
      </c>
      <c r="K194" s="17" t="s">
        <v>229</v>
      </c>
      <c r="L194" s="17" t="s">
        <v>233</v>
      </c>
      <c r="M194" s="17"/>
      <c r="N194" s="17"/>
      <c r="O194" s="17"/>
      <c r="P194" s="44" t="n">
        <v>23.27</v>
      </c>
      <c r="Q194" s="44" t="n">
        <v>19.76</v>
      </c>
      <c r="R194" s="54" t="n">
        <f aca="false">INT(B194)</f>
        <v>46136</v>
      </c>
      <c r="S194" s="17" t="n">
        <f aca="false">IF(AND(I194=TRUE(),COUNTIFS($R$5:R194,R194,$I$5:I194,TRUE())=1),1,0)</f>
        <v>0</v>
      </c>
      <c r="T194" s="73" t="n">
        <v>0.5</v>
      </c>
      <c r="U194" s="44" t="n">
        <v>21.95</v>
      </c>
      <c r="V194" s="44" t="n">
        <v>17.18365</v>
      </c>
      <c r="W194" s="44" t="n">
        <f aca="false">SUM(Z194:AE194)</f>
        <v>3.51</v>
      </c>
      <c r="X194" s="17" t="s">
        <v>109</v>
      </c>
      <c r="Y194" s="54" t="n">
        <v>46132</v>
      </c>
      <c r="Z194" s="44" t="n">
        <v>1.32</v>
      </c>
      <c r="AA194" s="44" t="n">
        <v>0</v>
      </c>
      <c r="AB194" s="44" t="n">
        <v>0</v>
      </c>
      <c r="AC194" s="44" t="n">
        <v>0</v>
      </c>
      <c r="AD194" s="44" t="n">
        <v>2.19</v>
      </c>
      <c r="AE194" s="44" t="n">
        <v>0</v>
      </c>
      <c r="AF194" s="17" t="n">
        <f aca="false">IF(AND(E194&gt;0,COUNTIFS($R$5:R194,R194,$E$5:E194,"&gt;0")=1),1,0)</f>
        <v>1</v>
      </c>
      <c r="AG194" s="17" t="n">
        <f aca="false">IF(AND(E194&gt;0,COUNTIFS($R$5:R194,R194,$K$5:K194,K194,$E$5:E194,"&gt;0")=1),1,0)</f>
        <v>1</v>
      </c>
    </row>
    <row r="195" customFormat="false" ht="15" hidden="false" customHeight="false" outlineLevel="0" collapsed="false">
      <c r="A195" s="14" t="n">
        <v>5072058841</v>
      </c>
      <c r="B195" s="77" t="n">
        <v>46137.6145138889</v>
      </c>
      <c r="C195" s="77" t="n">
        <v>46137.7287037037</v>
      </c>
      <c r="D195" s="38" t="n">
        <v>2.74055555555556</v>
      </c>
      <c r="E195" s="38" t="n">
        <v>69.3154</v>
      </c>
      <c r="F195" s="38" t="n">
        <v>52.106</v>
      </c>
      <c r="G195" s="14" t="s">
        <v>66</v>
      </c>
      <c r="H195" s="78" t="b">
        <f aca="false">TRUE()</f>
        <v>1</v>
      </c>
      <c r="I195" s="78" t="b">
        <f aca="false">FALSE()</f>
        <v>0</v>
      </c>
      <c r="J195" s="55" t="n">
        <v>0.599600266489007</v>
      </c>
      <c r="K195" s="14" t="s">
        <v>229</v>
      </c>
      <c r="L195" s="14" t="s">
        <v>233</v>
      </c>
      <c r="M195" s="14"/>
      <c r="N195" s="14"/>
      <c r="O195" s="14"/>
      <c r="P195" s="42" t="n">
        <v>51.26</v>
      </c>
      <c r="Q195" s="42" t="n">
        <v>43.52</v>
      </c>
      <c r="R195" s="53" t="n">
        <f aca="false">INT(B195)</f>
        <v>46137</v>
      </c>
      <c r="S195" s="14" t="n">
        <f aca="false">IF(AND(I195=TRUE(),COUNTIFS($R$5:R195,R195,$I$5:I195,TRUE())=1),1,0)</f>
        <v>0</v>
      </c>
      <c r="T195" s="71" t="n">
        <v>0.5</v>
      </c>
      <c r="U195" s="42" t="n">
        <v>48.36</v>
      </c>
      <c r="V195" s="42" t="n">
        <v>34.6577</v>
      </c>
      <c r="W195" s="42" t="n">
        <f aca="false">SUM(Z195:AE195)</f>
        <v>7.74</v>
      </c>
      <c r="X195" s="14" t="s">
        <v>110</v>
      </c>
      <c r="Y195" s="53" t="n">
        <v>46132</v>
      </c>
      <c r="Z195" s="42" t="n">
        <v>2.9</v>
      </c>
      <c r="AA195" s="42" t="n">
        <v>0</v>
      </c>
      <c r="AB195" s="42" t="n">
        <v>0</v>
      </c>
      <c r="AC195" s="42" t="n">
        <v>0</v>
      </c>
      <c r="AD195" s="42" t="n">
        <v>4.84</v>
      </c>
      <c r="AE195" s="42" t="n">
        <v>0</v>
      </c>
      <c r="AF195" s="14" t="n">
        <f aca="false">IF(AND(E195&gt;0,COUNTIFS($R$5:R195,R195,$E$5:E195,"&gt;0")=1),1,0)</f>
        <v>1</v>
      </c>
      <c r="AG195" s="14" t="n">
        <f aca="false">IF(AND(E195&gt;0,COUNTIFS($R$5:R195,R195,$K$5:K195,K195,$E$5:E195,"&gt;0")=1),1,0)</f>
        <v>1</v>
      </c>
    </row>
    <row r="196" customFormat="false" ht="15" hidden="false" customHeight="false" outlineLevel="0" collapsed="false">
      <c r="A196" s="17" t="n">
        <v>5075505841</v>
      </c>
      <c r="B196" s="79" t="n">
        <v>46138.9584027778</v>
      </c>
      <c r="C196" s="79" t="n">
        <v>46139.0219675926</v>
      </c>
      <c r="D196" s="39" t="n">
        <v>1.52555555555556</v>
      </c>
      <c r="E196" s="39" t="n">
        <v>10.965973</v>
      </c>
      <c r="F196" s="39" t="n">
        <v>7.3608</v>
      </c>
      <c r="G196" s="17" t="s">
        <v>68</v>
      </c>
      <c r="H196" s="80" t="b">
        <f aca="false">FALSE()</f>
        <v>0</v>
      </c>
      <c r="I196" s="80" t="b">
        <f aca="false">TRUE()</f>
        <v>1</v>
      </c>
      <c r="J196" s="81" t="n">
        <v>0</v>
      </c>
      <c r="K196" s="17" t="s">
        <v>225</v>
      </c>
      <c r="L196" s="17" t="s">
        <v>233</v>
      </c>
      <c r="M196" s="17"/>
      <c r="N196" s="17"/>
      <c r="O196" s="17"/>
      <c r="P196" s="44" t="n">
        <v>13.9</v>
      </c>
      <c r="Q196" s="44" t="n">
        <v>11.8</v>
      </c>
      <c r="R196" s="54" t="n">
        <f aca="false">INT(B196)</f>
        <v>46138</v>
      </c>
      <c r="S196" s="17" t="n">
        <f aca="false">IF(AND(I196=TRUE(),COUNTIFS($R$5:R196,R196,$I$5:I196,TRUE())=1),1,0)</f>
        <v>1</v>
      </c>
      <c r="T196" s="73" t="n">
        <v>0.5</v>
      </c>
      <c r="U196" s="44" t="n">
        <v>13.11</v>
      </c>
      <c r="V196" s="44" t="n">
        <v>5.4829865</v>
      </c>
      <c r="W196" s="44" t="n">
        <f aca="false">SUM(Z196:AE196)</f>
        <v>2.1</v>
      </c>
      <c r="X196" s="17" t="s">
        <v>111</v>
      </c>
      <c r="Y196" s="54" t="n">
        <v>46132</v>
      </c>
      <c r="Z196" s="44" t="n">
        <v>0.79</v>
      </c>
      <c r="AA196" s="44" t="n">
        <v>0</v>
      </c>
      <c r="AB196" s="44" t="n">
        <v>0</v>
      </c>
      <c r="AC196" s="44" t="n">
        <v>0</v>
      </c>
      <c r="AD196" s="44" t="n">
        <v>1.31</v>
      </c>
      <c r="AE196" s="44" t="n">
        <v>0</v>
      </c>
      <c r="AF196" s="17" t="n">
        <f aca="false">IF(AND(E196&gt;0,COUNTIFS($R$5:R196,R196,$E$5:E196,"&gt;0")=1),1,0)</f>
        <v>1</v>
      </c>
      <c r="AG196" s="17" t="n">
        <f aca="false">IF(AND(E196&gt;0,COUNTIFS($R$5:R196,R196,$K$5:K196,K196,$E$5:E196,"&gt;0")=1),1,0)</f>
        <v>1</v>
      </c>
    </row>
    <row r="197" customFormat="false" ht="15" hidden="false" customHeight="false" outlineLevel="0" collapsed="false">
      <c r="A197" s="14" t="n">
        <v>5080439231</v>
      </c>
      <c r="B197" s="77" t="n">
        <v>46140.6113888889</v>
      </c>
      <c r="C197" s="77" t="n">
        <v>46140.6380787037</v>
      </c>
      <c r="D197" s="38" t="n">
        <v>0.640555555555556</v>
      </c>
      <c r="E197" s="38" t="n">
        <v>34.6041</v>
      </c>
      <c r="F197" s="38" t="n">
        <v>61.338</v>
      </c>
      <c r="G197" s="14" t="s">
        <v>66</v>
      </c>
      <c r="H197" s="78" t="b">
        <f aca="false">TRUE()</f>
        <v>1</v>
      </c>
      <c r="I197" s="78" t="b">
        <f aca="false">FALSE()</f>
        <v>0</v>
      </c>
      <c r="J197" s="55" t="n">
        <v>1</v>
      </c>
      <c r="K197" s="14" t="s">
        <v>229</v>
      </c>
      <c r="L197" s="14" t="s">
        <v>233</v>
      </c>
      <c r="M197" s="14"/>
      <c r="N197" s="14"/>
      <c r="O197" s="14"/>
      <c r="P197" s="42" t="n">
        <v>21.7</v>
      </c>
      <c r="Q197" s="42" t="n">
        <v>18.42</v>
      </c>
      <c r="R197" s="53" t="n">
        <f aca="false">INT(B197)</f>
        <v>46140</v>
      </c>
      <c r="S197" s="14" t="n">
        <f aca="false">IF(AND(I197=TRUE(),COUNTIFS($R$5:R197,R197,$I$5:I197,TRUE())=1),1,0)</f>
        <v>0</v>
      </c>
      <c r="T197" s="71" t="n">
        <v>0.5</v>
      </c>
      <c r="U197" s="42" t="n">
        <v>20.47</v>
      </c>
      <c r="V197" s="42" t="n">
        <v>17.30205</v>
      </c>
      <c r="W197" s="42" t="n">
        <f aca="false">SUM(Z197:AE197)</f>
        <v>3.28</v>
      </c>
      <c r="X197" s="14" t="s">
        <v>106</v>
      </c>
      <c r="Y197" s="53" t="n">
        <v>46139</v>
      </c>
      <c r="Z197" s="42" t="n">
        <v>1.23</v>
      </c>
      <c r="AA197" s="42" t="n">
        <v>0</v>
      </c>
      <c r="AB197" s="42" t="n">
        <v>0</v>
      </c>
      <c r="AC197" s="42" t="n">
        <v>0</v>
      </c>
      <c r="AD197" s="42" t="n">
        <v>2.05</v>
      </c>
      <c r="AE197" s="42" t="n">
        <v>0</v>
      </c>
      <c r="AF197" s="14" t="n">
        <f aca="false">IF(AND(E197&gt;0,COUNTIFS($R$5:R197,R197,$E$5:E197,"&gt;0")=1),1,0)</f>
        <v>1</v>
      </c>
      <c r="AG197" s="14" t="n">
        <f aca="false">IF(AND(E197&gt;0,COUNTIFS($R$5:R197,R197,$K$5:K197,K197,$E$5:E197,"&gt;0")=1),1,0)</f>
        <v>1</v>
      </c>
    </row>
    <row r="198" customFormat="false" ht="15" hidden="false" customHeight="false" outlineLevel="0" collapsed="false">
      <c r="A198" s="17" t="n">
        <v>5084440871</v>
      </c>
      <c r="B198" s="79" t="n">
        <v>46141.7268981482</v>
      </c>
      <c r="C198" s="79" t="n">
        <v>46141.7361458333</v>
      </c>
      <c r="D198" s="39" t="n">
        <v>0.221944444444444</v>
      </c>
      <c r="E198" s="39" t="n">
        <v>13.3417</v>
      </c>
      <c r="F198" s="39" t="n">
        <v>62.63</v>
      </c>
      <c r="G198" s="17" t="s">
        <v>66</v>
      </c>
      <c r="H198" s="80" t="b">
        <f aca="false">TRUE()</f>
        <v>1</v>
      </c>
      <c r="I198" s="80" t="b">
        <f aca="false">FALSE()</f>
        <v>0</v>
      </c>
      <c r="J198" s="81" t="n">
        <v>1</v>
      </c>
      <c r="K198" s="17" t="s">
        <v>229</v>
      </c>
      <c r="L198" s="17" t="s">
        <v>233</v>
      </c>
      <c r="M198" s="17"/>
      <c r="N198" s="17"/>
      <c r="O198" s="17"/>
      <c r="P198" s="44" t="n">
        <v>8.25</v>
      </c>
      <c r="Q198" s="44" t="n">
        <v>7</v>
      </c>
      <c r="R198" s="54" t="n">
        <f aca="false">INT(B198)</f>
        <v>46141</v>
      </c>
      <c r="S198" s="17" t="n">
        <f aca="false">IF(AND(I198=TRUE(),COUNTIFS($R$5:R198,R198,$I$5:I198,TRUE())=1),1,0)</f>
        <v>0</v>
      </c>
      <c r="T198" s="73" t="n">
        <v>0.5</v>
      </c>
      <c r="U198" s="44" t="n">
        <v>7.78</v>
      </c>
      <c r="V198" s="44" t="n">
        <v>6.67085</v>
      </c>
      <c r="W198" s="44" t="n">
        <f aca="false">SUM(Z198:AE198)</f>
        <v>1.25</v>
      </c>
      <c r="X198" s="17" t="s">
        <v>107</v>
      </c>
      <c r="Y198" s="54" t="n">
        <v>46139</v>
      </c>
      <c r="Z198" s="44" t="n">
        <v>0.47</v>
      </c>
      <c r="AA198" s="44" t="n">
        <v>0</v>
      </c>
      <c r="AB198" s="44" t="n">
        <v>0</v>
      </c>
      <c r="AC198" s="44" t="n">
        <v>0</v>
      </c>
      <c r="AD198" s="44" t="n">
        <v>0.78</v>
      </c>
      <c r="AE198" s="44" t="n">
        <v>0</v>
      </c>
      <c r="AF198" s="17" t="n">
        <f aca="false">IF(AND(E198&gt;0,COUNTIFS($R$5:R198,R198,$E$5:E198,"&gt;0")=1),1,0)</f>
        <v>1</v>
      </c>
      <c r="AG198" s="17" t="n">
        <f aca="false">IF(AND(E198&gt;0,COUNTIFS($R$5:R198,R198,$K$5:K198,K198,$E$5:E198,"&gt;0")=1),1,0)</f>
        <v>1</v>
      </c>
    </row>
    <row r="199" customFormat="false" ht="15" hidden="false" customHeight="false" outlineLevel="0" collapsed="false">
      <c r="A199" s="14" t="n">
        <v>5085521961</v>
      </c>
      <c r="B199" s="77" t="n">
        <v>46141.9713078704</v>
      </c>
      <c r="C199" s="77" t="n">
        <v>46141.9939467593</v>
      </c>
      <c r="D199" s="38" t="n">
        <v>0.543333333333333</v>
      </c>
      <c r="E199" s="38" t="n">
        <v>26.5085</v>
      </c>
      <c r="F199" s="38" t="n">
        <v>59.333</v>
      </c>
      <c r="G199" s="14" t="s">
        <v>68</v>
      </c>
      <c r="H199" s="78" t="b">
        <f aca="false">TRUE()</f>
        <v>1</v>
      </c>
      <c r="I199" s="78" t="b">
        <f aca="false">TRUE()</f>
        <v>1</v>
      </c>
      <c r="J199" s="55" t="n">
        <v>1</v>
      </c>
      <c r="K199" s="14" t="s">
        <v>229</v>
      </c>
      <c r="L199" s="14" t="s">
        <v>226</v>
      </c>
      <c r="M199" s="14" t="s">
        <v>321</v>
      </c>
      <c r="N199" s="14" t="s">
        <v>240</v>
      </c>
      <c r="O199" s="14" t="s">
        <v>228</v>
      </c>
      <c r="P199" s="42" t="n">
        <v>16.92</v>
      </c>
      <c r="Q199" s="42" t="n">
        <v>14.36</v>
      </c>
      <c r="R199" s="53" t="n">
        <f aca="false">INT(B199)</f>
        <v>46141</v>
      </c>
      <c r="S199" s="14" t="n">
        <f aca="false">IF(AND(I199=TRUE(),COUNTIFS($R$5:R199,R199,$I$5:I199,TRUE())=1),1,0)</f>
        <v>1</v>
      </c>
      <c r="T199" s="71" t="n">
        <v>0.5</v>
      </c>
      <c r="U199" s="42" t="n">
        <v>15.96</v>
      </c>
      <c r="V199" s="42" t="n">
        <v>13.25425</v>
      </c>
      <c r="W199" s="42" t="n">
        <f aca="false">SUM(Z199:AE199)</f>
        <v>2.56</v>
      </c>
      <c r="X199" s="14" t="s">
        <v>107</v>
      </c>
      <c r="Y199" s="53" t="n">
        <v>46139</v>
      </c>
      <c r="Z199" s="42" t="n">
        <v>0.96</v>
      </c>
      <c r="AA199" s="42" t="n">
        <v>0</v>
      </c>
      <c r="AB199" s="42" t="n">
        <v>0</v>
      </c>
      <c r="AC199" s="42" t="n">
        <v>0</v>
      </c>
      <c r="AD199" s="42" t="n">
        <v>1.6</v>
      </c>
      <c r="AE199" s="42" t="n">
        <v>0</v>
      </c>
      <c r="AF199" s="14" t="n">
        <f aca="false">IF(AND(E199&gt;0,COUNTIFS($R$5:R199,R199,$E$5:E199,"&gt;0")=1),1,0)</f>
        <v>0</v>
      </c>
      <c r="AG199" s="14" t="n">
        <f aca="false">IF(AND(E199&gt;0,COUNTIFS($R$5:R199,R199,$K$5:K199,K199,$E$5:E199,"&gt;0")=1),1,0)</f>
        <v>0</v>
      </c>
    </row>
    <row r="200" customFormat="false" ht="15" hidden="false" customHeight="false" outlineLevel="0" collapsed="false">
      <c r="A200" s="17" t="n">
        <v>5090967681</v>
      </c>
      <c r="B200" s="79" t="n">
        <v>46143.6443171296</v>
      </c>
      <c r="C200" s="79" t="n">
        <v>46143.6663194444</v>
      </c>
      <c r="D200" s="39" t="n">
        <v>0.528055555555556</v>
      </c>
      <c r="E200" s="39" t="n">
        <v>24.7771</v>
      </c>
      <c r="F200" s="39" t="n">
        <v>49.945</v>
      </c>
      <c r="G200" s="17" t="s">
        <v>66</v>
      </c>
      <c r="H200" s="80" t="b">
        <f aca="false">TRUE()</f>
        <v>1</v>
      </c>
      <c r="I200" s="80" t="b">
        <f aca="false">FALSE()</f>
        <v>0</v>
      </c>
      <c r="J200" s="81" t="n">
        <v>1</v>
      </c>
      <c r="K200" s="17" t="s">
        <v>229</v>
      </c>
      <c r="L200" s="17" t="s">
        <v>226</v>
      </c>
      <c r="M200" s="17" t="s">
        <v>322</v>
      </c>
      <c r="N200" s="17" t="s">
        <v>323</v>
      </c>
      <c r="O200" s="17" t="s">
        <v>259</v>
      </c>
      <c r="P200" s="44" t="n">
        <v>15.89</v>
      </c>
      <c r="Q200" s="44" t="n">
        <v>13.49</v>
      </c>
      <c r="R200" s="54" t="n">
        <f aca="false">INT(B200)</f>
        <v>46143</v>
      </c>
      <c r="S200" s="17" t="n">
        <f aca="false">IF(AND(I200=TRUE(),COUNTIFS($R$5:R200,R200,$I$5:I200,TRUE())=1),1,0)</f>
        <v>0</v>
      </c>
      <c r="T200" s="73" t="n">
        <v>0.5</v>
      </c>
      <c r="U200" s="44" t="n">
        <v>14.99</v>
      </c>
      <c r="V200" s="44" t="n">
        <v>12.38855</v>
      </c>
      <c r="W200" s="44" t="n">
        <f aca="false">SUM(Z200:AE200)</f>
        <v>2.4</v>
      </c>
      <c r="X200" s="17" t="s">
        <v>109</v>
      </c>
      <c r="Y200" s="54" t="n">
        <v>46139</v>
      </c>
      <c r="Z200" s="44" t="n">
        <v>0.9</v>
      </c>
      <c r="AA200" s="44" t="n">
        <v>0</v>
      </c>
      <c r="AB200" s="44" t="n">
        <v>0</v>
      </c>
      <c r="AC200" s="44" t="n">
        <v>0</v>
      </c>
      <c r="AD200" s="44" t="n">
        <v>1.5</v>
      </c>
      <c r="AE200" s="44" t="n">
        <v>0</v>
      </c>
      <c r="AF200" s="17" t="n">
        <f aca="false">IF(AND(E200&gt;0,COUNTIFS($R$5:R200,R200,$E$5:E200,"&gt;0")=1),1,0)</f>
        <v>1</v>
      </c>
      <c r="AG200" s="17" t="n">
        <f aca="false">IF(AND(E200&gt;0,COUNTIFS($R$5:R200,R200,$K$5:K200,K200,$E$5:E200,"&gt;0")=1),1,0)</f>
        <v>1</v>
      </c>
    </row>
    <row r="201" customFormat="false" ht="15" hidden="false" customHeight="false" outlineLevel="0" collapsed="false">
      <c r="A201" s="14" t="n">
        <v>5091525811</v>
      </c>
      <c r="B201" s="77" t="n">
        <v>46143.7691319444</v>
      </c>
      <c r="C201" s="77" t="n">
        <v>46143.7842708333</v>
      </c>
      <c r="D201" s="38" t="n">
        <v>0.363333333333333</v>
      </c>
      <c r="E201" s="38" t="n">
        <v>19.8486</v>
      </c>
      <c r="F201" s="38" t="n">
        <v>56.824</v>
      </c>
      <c r="G201" s="14" t="s">
        <v>67</v>
      </c>
      <c r="H201" s="78" t="b">
        <f aca="false">TRUE()</f>
        <v>1</v>
      </c>
      <c r="I201" s="78" t="b">
        <f aca="false">FALSE()</f>
        <v>0</v>
      </c>
      <c r="J201" s="55" t="n">
        <v>1</v>
      </c>
      <c r="K201" s="14" t="s">
        <v>229</v>
      </c>
      <c r="L201" s="14" t="s">
        <v>233</v>
      </c>
      <c r="M201" s="14"/>
      <c r="N201" s="14"/>
      <c r="O201" s="14"/>
      <c r="P201" s="42" t="n">
        <v>12.45</v>
      </c>
      <c r="Q201" s="42" t="n">
        <v>10.57</v>
      </c>
      <c r="R201" s="53" t="n">
        <f aca="false">INT(B201)</f>
        <v>46143</v>
      </c>
      <c r="S201" s="14" t="n">
        <f aca="false">IF(AND(I201=TRUE(),COUNTIFS($R$5:R201,R201,$I$5:I201,TRUE())=1),1,0)</f>
        <v>0</v>
      </c>
      <c r="T201" s="71" t="n">
        <v>0.5</v>
      </c>
      <c r="U201" s="42" t="n">
        <v>11.74</v>
      </c>
      <c r="V201" s="42" t="n">
        <v>9.9243</v>
      </c>
      <c r="W201" s="42" t="n">
        <f aca="false">SUM(Z201:AE201)</f>
        <v>1.88</v>
      </c>
      <c r="X201" s="14" t="s">
        <v>109</v>
      </c>
      <c r="Y201" s="53" t="n">
        <v>46139</v>
      </c>
      <c r="Z201" s="42" t="n">
        <v>0.71</v>
      </c>
      <c r="AA201" s="42" t="n">
        <v>0</v>
      </c>
      <c r="AB201" s="42" t="n">
        <v>0</v>
      </c>
      <c r="AC201" s="42" t="n">
        <v>0</v>
      </c>
      <c r="AD201" s="42" t="n">
        <v>1.17</v>
      </c>
      <c r="AE201" s="42" t="n">
        <v>0</v>
      </c>
      <c r="AF201" s="14" t="n">
        <f aca="false">IF(AND(E201&gt;0,COUNTIFS($R$5:R201,R201,$E$5:E201,"&gt;0")=1),1,0)</f>
        <v>0</v>
      </c>
      <c r="AG201" s="14" t="n">
        <f aca="false">IF(AND(E201&gt;0,COUNTIFS($R$5:R201,R201,$K$5:K201,K201,$E$5:E201,"&gt;0")=1),1,0)</f>
        <v>0</v>
      </c>
    </row>
    <row r="202" customFormat="false" ht="15" hidden="false" customHeight="false" outlineLevel="0" collapsed="false">
      <c r="A202" s="17" t="n">
        <v>5091829711</v>
      </c>
      <c r="B202" s="79" t="n">
        <v>46143.8384490741</v>
      </c>
      <c r="C202" s="79" t="n">
        <v>46143.881712963</v>
      </c>
      <c r="D202" s="39" t="n">
        <v>1.03833333333333</v>
      </c>
      <c r="E202" s="39" t="n">
        <v>33.5751</v>
      </c>
      <c r="F202" s="39" t="n">
        <v>54.279</v>
      </c>
      <c r="G202" s="17" t="s">
        <v>67</v>
      </c>
      <c r="H202" s="80" t="b">
        <f aca="false">TRUE()</f>
        <v>1</v>
      </c>
      <c r="I202" s="80" t="b">
        <f aca="false">FALSE()</f>
        <v>0</v>
      </c>
      <c r="J202" s="81" t="n">
        <v>1</v>
      </c>
      <c r="K202" s="17" t="s">
        <v>229</v>
      </c>
      <c r="L202" s="17" t="s">
        <v>226</v>
      </c>
      <c r="M202" s="17" t="s">
        <v>303</v>
      </c>
      <c r="N202" s="17"/>
      <c r="O202" s="17" t="s">
        <v>228</v>
      </c>
      <c r="P202" s="44" t="n">
        <v>23.28</v>
      </c>
      <c r="Q202" s="44" t="n">
        <v>19.76</v>
      </c>
      <c r="R202" s="54" t="n">
        <f aca="false">INT(B202)</f>
        <v>46143</v>
      </c>
      <c r="S202" s="17" t="n">
        <f aca="false">IF(AND(I202=TRUE(),COUNTIFS($R$5:R202,R202,$I$5:I202,TRUE())=1),1,0)</f>
        <v>0</v>
      </c>
      <c r="T202" s="73" t="n">
        <v>0.5</v>
      </c>
      <c r="U202" s="44" t="n">
        <v>21.96</v>
      </c>
      <c r="V202" s="44" t="n">
        <v>16.78755</v>
      </c>
      <c r="W202" s="44" t="n">
        <f aca="false">SUM(Z202:AE202)</f>
        <v>3.52</v>
      </c>
      <c r="X202" s="17" t="s">
        <v>109</v>
      </c>
      <c r="Y202" s="54" t="n">
        <v>46139</v>
      </c>
      <c r="Z202" s="44" t="n">
        <v>1.32</v>
      </c>
      <c r="AA202" s="44" t="n">
        <v>0</v>
      </c>
      <c r="AB202" s="44" t="n">
        <v>0</v>
      </c>
      <c r="AC202" s="44" t="n">
        <v>0</v>
      </c>
      <c r="AD202" s="44" t="n">
        <v>2.2</v>
      </c>
      <c r="AE202" s="44" t="n">
        <v>0</v>
      </c>
      <c r="AF202" s="17" t="n">
        <f aca="false">IF(AND(E202&gt;0,COUNTIFS($R$5:R202,R202,$E$5:E202,"&gt;0")=1),1,0)</f>
        <v>0</v>
      </c>
      <c r="AG202" s="17" t="n">
        <f aca="false">IF(AND(E202&gt;0,COUNTIFS($R$5:R202,R202,$K$5:K202,K202,$E$5:E202,"&gt;0")=1),1,0)</f>
        <v>0</v>
      </c>
    </row>
    <row r="203" customFormat="false" ht="15" hidden="false" customHeight="false" outlineLevel="0" collapsed="false">
      <c r="A203" s="14" t="n">
        <v>5095371501</v>
      </c>
      <c r="B203" s="77" t="n">
        <v>46145.0719328704</v>
      </c>
      <c r="C203" s="77" t="n">
        <v>46145.1027314815</v>
      </c>
      <c r="D203" s="38" t="n">
        <v>0.739166666666667</v>
      </c>
      <c r="E203" s="38" t="n">
        <v>5.016269</v>
      </c>
      <c r="F203" s="38" t="n">
        <v>6.8802</v>
      </c>
      <c r="G203" s="14" t="s">
        <v>68</v>
      </c>
      <c r="H203" s="78" t="b">
        <f aca="false">FALSE()</f>
        <v>0</v>
      </c>
      <c r="I203" s="78" t="b">
        <f aca="false">TRUE()</f>
        <v>1</v>
      </c>
      <c r="J203" s="55" t="n">
        <v>0</v>
      </c>
      <c r="K203" s="14" t="s">
        <v>225</v>
      </c>
      <c r="L203" s="14" t="s">
        <v>226</v>
      </c>
      <c r="M203" s="14" t="s">
        <v>230</v>
      </c>
      <c r="N203" s="14"/>
      <c r="O203" s="14" t="s">
        <v>228</v>
      </c>
      <c r="P203" s="42" t="n">
        <v>6.58</v>
      </c>
      <c r="Q203" s="42" t="n">
        <v>5.59</v>
      </c>
      <c r="R203" s="53" t="n">
        <f aca="false">INT(B203)</f>
        <v>46145</v>
      </c>
      <c r="S203" s="14" t="n">
        <f aca="false">IF(AND(I203=TRUE(),COUNTIFS($R$5:R203,R203,$I$5:I203,TRUE())=1),1,0)</f>
        <v>1</v>
      </c>
      <c r="T203" s="71" t="n">
        <v>0.5</v>
      </c>
      <c r="U203" s="42" t="n">
        <v>6.21</v>
      </c>
      <c r="V203" s="42" t="n">
        <v>2.5081345</v>
      </c>
      <c r="W203" s="42" t="n">
        <f aca="false">SUM(Z203:AE203)</f>
        <v>0.99</v>
      </c>
      <c r="X203" s="14" t="s">
        <v>111</v>
      </c>
      <c r="Y203" s="53" t="n">
        <v>46139</v>
      </c>
      <c r="Z203" s="42" t="n">
        <v>0.37</v>
      </c>
      <c r="AA203" s="42" t="n">
        <v>0</v>
      </c>
      <c r="AB203" s="42" t="n">
        <v>0</v>
      </c>
      <c r="AC203" s="42" t="n">
        <v>0</v>
      </c>
      <c r="AD203" s="42" t="n">
        <v>0.62</v>
      </c>
      <c r="AE203" s="42" t="n">
        <v>0</v>
      </c>
      <c r="AF203" s="14" t="n">
        <f aca="false">IF(AND(E203&gt;0,COUNTIFS($R$5:R203,R203,$E$5:E203,"&gt;0")=1),1,0)</f>
        <v>1</v>
      </c>
      <c r="AG203" s="14" t="n">
        <f aca="false">IF(AND(E203&gt;0,COUNTIFS($R$5:R203,R203,$K$5:K203,K203,$E$5:E203,"&gt;0")=1),1,0)</f>
        <v>1</v>
      </c>
    </row>
    <row r="204" customFormat="false" ht="15" hidden="false" customHeight="false" outlineLevel="0" collapsed="false">
      <c r="A204" s="17" t="n">
        <v>5101195401</v>
      </c>
      <c r="B204" s="79" t="n">
        <v>46147.0974074074</v>
      </c>
      <c r="C204" s="79" t="n">
        <v>46147.1842939815</v>
      </c>
      <c r="D204" s="39" t="n">
        <v>2.08527777777778</v>
      </c>
      <c r="E204" s="39" t="n">
        <v>38.9751</v>
      </c>
      <c r="F204" s="39" t="n">
        <v>50.575</v>
      </c>
      <c r="G204" s="17" t="s">
        <v>68</v>
      </c>
      <c r="H204" s="80" t="b">
        <f aca="false">TRUE()</f>
        <v>1</v>
      </c>
      <c r="I204" s="80" t="b">
        <f aca="false">TRUE()</f>
        <v>1</v>
      </c>
      <c r="J204" s="81" t="n">
        <v>0.738524113887275</v>
      </c>
      <c r="K204" s="17" t="s">
        <v>229</v>
      </c>
      <c r="L204" s="17" t="s">
        <v>226</v>
      </c>
      <c r="M204" s="17" t="s">
        <v>303</v>
      </c>
      <c r="N204" s="17"/>
      <c r="O204" s="17" t="s">
        <v>228</v>
      </c>
      <c r="P204" s="44" t="n">
        <v>31.66</v>
      </c>
      <c r="Q204" s="44" t="n">
        <v>26.88</v>
      </c>
      <c r="R204" s="54" t="n">
        <f aca="false">INT(B204)</f>
        <v>46147</v>
      </c>
      <c r="S204" s="17" t="n">
        <f aca="false">IF(AND(I204=TRUE(),COUNTIFS($R$5:R204,R204,$I$5:I204,TRUE())=1),1,0)</f>
        <v>1</v>
      </c>
      <c r="T204" s="73" t="n">
        <v>0.5</v>
      </c>
      <c r="U204" s="44" t="n">
        <v>29.87</v>
      </c>
      <c r="V204" s="44" t="n">
        <v>19.48755</v>
      </c>
      <c r="W204" s="44" t="n">
        <f aca="false">SUM(Z204:AE204)</f>
        <v>4.78</v>
      </c>
      <c r="X204" s="17" t="s">
        <v>106</v>
      </c>
      <c r="Y204" s="54" t="n">
        <v>46146</v>
      </c>
      <c r="Z204" s="44" t="n">
        <v>1.79</v>
      </c>
      <c r="AA204" s="44" t="n">
        <v>0</v>
      </c>
      <c r="AB204" s="44" t="n">
        <v>0</v>
      </c>
      <c r="AC204" s="44" t="n">
        <v>0</v>
      </c>
      <c r="AD204" s="44" t="n">
        <v>2.99</v>
      </c>
      <c r="AE204" s="44" t="n">
        <v>0</v>
      </c>
      <c r="AF204" s="17" t="n">
        <f aca="false">IF(AND(E204&gt;0,COUNTIFS($R$5:R204,R204,$E$5:E204,"&gt;0")=1),1,0)</f>
        <v>1</v>
      </c>
      <c r="AG204" s="17" t="n">
        <f aca="false">IF(AND(E204&gt;0,COUNTIFS($R$5:R204,R204,$K$5:K204,K204,$E$5:E204,"&gt;0")=1),1,0)</f>
        <v>1</v>
      </c>
    </row>
    <row r="205" customFormat="false" ht="15" hidden="false" customHeight="false" outlineLevel="0" collapsed="false">
      <c r="A205" s="14" t="n">
        <v>5102285491</v>
      </c>
      <c r="B205" s="77" t="n">
        <v>46147.5947106482</v>
      </c>
      <c r="C205" s="77" t="n">
        <v>46147.5960416667</v>
      </c>
      <c r="D205" s="38" t="n">
        <v>0.0319444444444444</v>
      </c>
      <c r="E205" s="38" t="n">
        <v>0</v>
      </c>
      <c r="F205" s="38" t="n">
        <v>0</v>
      </c>
      <c r="G205" s="14" t="s">
        <v>66</v>
      </c>
      <c r="H205" s="78" t="b">
        <f aca="false">FALSE()</f>
        <v>0</v>
      </c>
      <c r="I205" s="78" t="b">
        <f aca="false">FALSE()</f>
        <v>0</v>
      </c>
      <c r="J205" s="55"/>
      <c r="K205" s="14" t="s">
        <v>225</v>
      </c>
      <c r="L205" s="14" t="s">
        <v>226</v>
      </c>
      <c r="M205" s="14"/>
      <c r="N205" s="14"/>
      <c r="O205" s="14"/>
      <c r="P205" s="42"/>
      <c r="Q205" s="42"/>
      <c r="R205" s="53" t="n">
        <f aca="false">INT(B205)</f>
        <v>46147</v>
      </c>
      <c r="S205" s="14" t="n">
        <f aca="false">IF(AND(I205=TRUE(),COUNTIFS($R$5:R205,R205,$I$5:I205,TRUE())=1),1,0)</f>
        <v>0</v>
      </c>
      <c r="T205" s="71"/>
      <c r="U205" s="42"/>
      <c r="V205" s="42"/>
      <c r="W205" s="42" t="n">
        <f aca="false">SUM(Z205:AE205)</f>
        <v>0</v>
      </c>
      <c r="X205" s="14" t="s">
        <v>106</v>
      </c>
      <c r="Y205" s="53" t="n">
        <v>46146</v>
      </c>
      <c r="Z205" s="42"/>
      <c r="AA205" s="42"/>
      <c r="AB205" s="42"/>
      <c r="AC205" s="42"/>
      <c r="AD205" s="42"/>
      <c r="AE205" s="42"/>
      <c r="AF205" s="14" t="n">
        <f aca="false">IF(AND(E205&gt;0,COUNTIFS($R$5:R205,R205,$E$5:E205,"&gt;0")=1),1,0)</f>
        <v>0</v>
      </c>
      <c r="AG205" s="14" t="n">
        <f aca="false">IF(AND(E205&gt;0,COUNTIFS($R$5:R205,R205,$K$5:K205,K205,$E$5:E205,"&gt;0")=1),1,0)</f>
        <v>0</v>
      </c>
    </row>
    <row r="206" customFormat="false" ht="15" hidden="false" customHeight="false" outlineLevel="0" collapsed="false">
      <c r="A206" s="17" t="n">
        <v>5106765831</v>
      </c>
      <c r="B206" s="79" t="n">
        <v>46148.8328935185</v>
      </c>
      <c r="C206" s="79" t="n">
        <v>46148.8657407407</v>
      </c>
      <c r="D206" s="39" t="n">
        <v>0.788333333333333</v>
      </c>
      <c r="E206" s="39" t="n">
        <v>47.9561</v>
      </c>
      <c r="F206" s="39" t="n">
        <v>62.793</v>
      </c>
      <c r="G206" s="17" t="s">
        <v>67</v>
      </c>
      <c r="H206" s="80" t="b">
        <f aca="false">TRUE()</f>
        <v>1</v>
      </c>
      <c r="I206" s="80" t="b">
        <f aca="false">FALSE()</f>
        <v>0</v>
      </c>
      <c r="J206" s="81" t="n">
        <v>1</v>
      </c>
      <c r="K206" s="17" t="s">
        <v>229</v>
      </c>
      <c r="L206" s="17" t="s">
        <v>233</v>
      </c>
      <c r="M206" s="17"/>
      <c r="N206" s="17"/>
      <c r="O206" s="17"/>
      <c r="P206" s="44" t="n">
        <v>29.6</v>
      </c>
      <c r="Q206" s="44" t="n">
        <v>25.13</v>
      </c>
      <c r="R206" s="54" t="n">
        <f aca="false">INT(B206)</f>
        <v>46148</v>
      </c>
      <c r="S206" s="17" t="n">
        <f aca="false">IF(AND(I206=TRUE(),COUNTIFS($R$5:R206,R206,$I$5:I206,TRUE())=1),1,0)</f>
        <v>0</v>
      </c>
      <c r="T206" s="73" t="n">
        <v>0.5</v>
      </c>
      <c r="U206" s="44" t="n">
        <v>27.92</v>
      </c>
      <c r="V206" s="44" t="n">
        <v>23.97805</v>
      </c>
      <c r="W206" s="44" t="n">
        <f aca="false">SUM(Z206:AE206)</f>
        <v>4.47</v>
      </c>
      <c r="X206" s="17" t="s">
        <v>107</v>
      </c>
      <c r="Y206" s="54" t="n">
        <v>46146</v>
      </c>
      <c r="Z206" s="44" t="n">
        <v>1.68</v>
      </c>
      <c r="AA206" s="44" t="n">
        <v>0</v>
      </c>
      <c r="AB206" s="44" t="n">
        <v>0</v>
      </c>
      <c r="AC206" s="44" t="n">
        <v>0</v>
      </c>
      <c r="AD206" s="44" t="n">
        <v>2.79</v>
      </c>
      <c r="AE206" s="44" t="n">
        <v>0</v>
      </c>
      <c r="AF206" s="17" t="n">
        <f aca="false">IF(AND(E206&gt;0,COUNTIFS($R$5:R206,R206,$E$5:E206,"&gt;0")=1),1,0)</f>
        <v>1</v>
      </c>
      <c r="AG206" s="17" t="n">
        <f aca="false">IF(AND(E206&gt;0,COUNTIFS($R$5:R206,R206,$K$5:K206,K206,$E$5:E206,"&gt;0")=1),1,0)</f>
        <v>1</v>
      </c>
    </row>
    <row r="207" customFormat="false" ht="15" hidden="false" customHeight="false" outlineLevel="0" collapsed="false">
      <c r="A207" s="14" t="n">
        <v>5109277721</v>
      </c>
      <c r="B207" s="77" t="n">
        <v>46149.6231134259</v>
      </c>
      <c r="C207" s="77" t="n">
        <v>46149.6397916667</v>
      </c>
      <c r="D207" s="38" t="n">
        <v>0.400277777777778</v>
      </c>
      <c r="E207" s="38" t="n">
        <v>18.939</v>
      </c>
      <c r="F207" s="38" t="n">
        <v>49.715</v>
      </c>
      <c r="G207" s="14" t="s">
        <v>66</v>
      </c>
      <c r="H207" s="78" t="b">
        <f aca="false">TRUE()</f>
        <v>1</v>
      </c>
      <c r="I207" s="78" t="b">
        <f aca="false">FALSE()</f>
        <v>0</v>
      </c>
      <c r="J207" s="55" t="n">
        <v>1</v>
      </c>
      <c r="K207" s="14" t="s">
        <v>229</v>
      </c>
      <c r="L207" s="14" t="s">
        <v>233</v>
      </c>
      <c r="M207" s="14"/>
      <c r="N207" s="14"/>
      <c r="O207" s="14"/>
      <c r="P207" s="42" t="n">
        <v>12.16</v>
      </c>
      <c r="Q207" s="42" t="n">
        <v>10.32</v>
      </c>
      <c r="R207" s="53" t="n">
        <f aca="false">INT(B207)</f>
        <v>46149</v>
      </c>
      <c r="S207" s="14" t="n">
        <f aca="false">IF(AND(I207=TRUE(),COUNTIFS($R$5:R207,R207,$I$5:I207,TRUE())=1),1,0)</f>
        <v>0</v>
      </c>
      <c r="T207" s="71" t="n">
        <v>0.5</v>
      </c>
      <c r="U207" s="42" t="n">
        <v>11.47</v>
      </c>
      <c r="V207" s="42" t="n">
        <v>9.4695</v>
      </c>
      <c r="W207" s="42" t="n">
        <f aca="false">SUM(Z207:AE207)</f>
        <v>1.84</v>
      </c>
      <c r="X207" s="14" t="s">
        <v>108</v>
      </c>
      <c r="Y207" s="53" t="n">
        <v>46146</v>
      </c>
      <c r="Z207" s="42" t="n">
        <v>0.69</v>
      </c>
      <c r="AA207" s="42" t="n">
        <v>0</v>
      </c>
      <c r="AB207" s="42" t="n">
        <v>0</v>
      </c>
      <c r="AC207" s="42" t="n">
        <v>0</v>
      </c>
      <c r="AD207" s="42" t="n">
        <v>1.15</v>
      </c>
      <c r="AE207" s="42" t="n">
        <v>0</v>
      </c>
      <c r="AF207" s="14" t="n">
        <f aca="false">IF(AND(E207&gt;0,COUNTIFS($R$5:R207,R207,$E$5:E207,"&gt;0")=1),1,0)</f>
        <v>1</v>
      </c>
      <c r="AG207" s="14" t="n">
        <f aca="false">IF(AND(E207&gt;0,COUNTIFS($R$5:R207,R207,$K$5:K207,K207,$E$5:E207,"&gt;0")=1),1,0)</f>
        <v>1</v>
      </c>
    </row>
    <row r="208" customFormat="false" ht="15" hidden="false" customHeight="false" outlineLevel="0" collapsed="false">
      <c r="A208" s="17" t="n">
        <v>5110850871</v>
      </c>
      <c r="B208" s="79" t="n">
        <v>46149.9622222222</v>
      </c>
      <c r="C208" s="79" t="n">
        <v>46149.9953009259</v>
      </c>
      <c r="D208" s="39" t="n">
        <v>0.793888888888889</v>
      </c>
      <c r="E208" s="39" t="n">
        <v>20.2164</v>
      </c>
      <c r="F208" s="39" t="n">
        <v>48.07</v>
      </c>
      <c r="G208" s="17" t="s">
        <v>68</v>
      </c>
      <c r="H208" s="80" t="b">
        <f aca="false">TRUE()</f>
        <v>1</v>
      </c>
      <c r="I208" s="80" t="b">
        <f aca="false">TRUE()</f>
        <v>1</v>
      </c>
      <c r="J208" s="81" t="n">
        <v>1</v>
      </c>
      <c r="K208" s="17" t="s">
        <v>229</v>
      </c>
      <c r="L208" s="17" t="s">
        <v>226</v>
      </c>
      <c r="M208" s="17" t="s">
        <v>324</v>
      </c>
      <c r="N208" s="17" t="s">
        <v>287</v>
      </c>
      <c r="O208" s="17" t="s">
        <v>228</v>
      </c>
      <c r="P208" s="44" t="n">
        <v>14.92</v>
      </c>
      <c r="Q208" s="44" t="n">
        <v>12.66</v>
      </c>
      <c r="R208" s="54" t="n">
        <f aca="false">INT(B208)</f>
        <v>46149</v>
      </c>
      <c r="S208" s="17" t="n">
        <f aca="false">IF(AND(I208=TRUE(),COUNTIFS($R$5:R208,R208,$I$5:I208,TRUE())=1),1,0)</f>
        <v>1</v>
      </c>
      <c r="T208" s="73" t="n">
        <v>0.5</v>
      </c>
      <c r="U208" s="44" t="n">
        <v>14.07</v>
      </c>
      <c r="V208" s="44" t="n">
        <v>10.1082</v>
      </c>
      <c r="W208" s="44" t="n">
        <f aca="false">SUM(Z208:AE208)</f>
        <v>2.26</v>
      </c>
      <c r="X208" s="17" t="s">
        <v>108</v>
      </c>
      <c r="Y208" s="54" t="n">
        <v>46146</v>
      </c>
      <c r="Z208" s="44" t="n">
        <v>0.85</v>
      </c>
      <c r="AA208" s="44" t="n">
        <v>0</v>
      </c>
      <c r="AB208" s="44" t="n">
        <v>0</v>
      </c>
      <c r="AC208" s="44" t="n">
        <v>0</v>
      </c>
      <c r="AD208" s="44" t="n">
        <v>1.41</v>
      </c>
      <c r="AE208" s="44" t="n">
        <v>0</v>
      </c>
      <c r="AF208" s="17" t="n">
        <f aca="false">IF(AND(E208&gt;0,COUNTIFS($R$5:R208,R208,$E$5:E208,"&gt;0")=1),1,0)</f>
        <v>0</v>
      </c>
      <c r="AG208" s="17" t="n">
        <f aca="false">IF(AND(E208&gt;0,COUNTIFS($R$5:R208,R208,$K$5:K208,K208,$E$5:E208,"&gt;0")=1),1,0)</f>
        <v>0</v>
      </c>
    </row>
    <row r="209" customFormat="false" ht="15" hidden="false" customHeight="false" outlineLevel="0" collapsed="false">
      <c r="A209" s="14" t="n">
        <v>5112863521</v>
      </c>
      <c r="B209" s="77" t="n">
        <v>46150.6430092593</v>
      </c>
      <c r="C209" s="77" t="n">
        <v>46150.6783680556</v>
      </c>
      <c r="D209" s="38" t="n">
        <v>0.848611111111111</v>
      </c>
      <c r="E209" s="38" t="n">
        <v>45.5586</v>
      </c>
      <c r="F209" s="38" t="n">
        <v>60.883</v>
      </c>
      <c r="G209" s="14" t="s">
        <v>66</v>
      </c>
      <c r="H209" s="78" t="b">
        <f aca="false">TRUE()</f>
        <v>1</v>
      </c>
      <c r="I209" s="78" t="b">
        <f aca="false">FALSE()</f>
        <v>0</v>
      </c>
      <c r="J209" s="55" t="n">
        <v>1</v>
      </c>
      <c r="K209" s="14" t="s">
        <v>229</v>
      </c>
      <c r="L209" s="14" t="s">
        <v>226</v>
      </c>
      <c r="M209" s="14" t="s">
        <v>325</v>
      </c>
      <c r="N209" s="14" t="s">
        <v>326</v>
      </c>
      <c r="O209" s="14" t="s">
        <v>243</v>
      </c>
      <c r="P209" s="42" t="n">
        <v>28.49</v>
      </c>
      <c r="Q209" s="42" t="n">
        <v>24.18</v>
      </c>
      <c r="R209" s="53" t="n">
        <f aca="false">INT(B209)</f>
        <v>46150</v>
      </c>
      <c r="S209" s="14" t="n">
        <f aca="false">IF(AND(I209=TRUE(),COUNTIFS($R$5:R209,R209,$I$5:I209,TRUE())=1),1,0)</f>
        <v>0</v>
      </c>
      <c r="T209" s="71" t="n">
        <v>0.5</v>
      </c>
      <c r="U209" s="42" t="n">
        <v>26.87</v>
      </c>
      <c r="V209" s="42" t="n">
        <v>22.7793</v>
      </c>
      <c r="W209" s="42" t="n">
        <f aca="false">SUM(Z209:AE209)</f>
        <v>4.31</v>
      </c>
      <c r="X209" s="14" t="s">
        <v>109</v>
      </c>
      <c r="Y209" s="53" t="n">
        <v>46146</v>
      </c>
      <c r="Z209" s="42" t="n">
        <v>1.62</v>
      </c>
      <c r="AA209" s="42" t="n">
        <v>0</v>
      </c>
      <c r="AB209" s="42" t="n">
        <v>0</v>
      </c>
      <c r="AC209" s="42" t="n">
        <v>0</v>
      </c>
      <c r="AD209" s="42" t="n">
        <v>2.69</v>
      </c>
      <c r="AE209" s="42" t="n">
        <v>0</v>
      </c>
      <c r="AF209" s="14" t="n">
        <f aca="false">IF(AND(E209&gt;0,COUNTIFS($R$5:R209,R209,$E$5:E209,"&gt;0")=1),1,0)</f>
        <v>1</v>
      </c>
      <c r="AG209" s="14" t="n">
        <f aca="false">IF(AND(E209&gt;0,COUNTIFS($R$5:R209,R209,$K$5:K209,K209,$E$5:E209,"&gt;0")=1),1,0)</f>
        <v>1</v>
      </c>
    </row>
    <row r="210" customFormat="false" ht="15" hidden="false" customHeight="false" outlineLevel="0" collapsed="false">
      <c r="A210" s="17" t="n">
        <v>5113490811</v>
      </c>
      <c r="B210" s="79" t="n">
        <v>46150.7842013889</v>
      </c>
      <c r="C210" s="79" t="n">
        <v>46150.8209606482</v>
      </c>
      <c r="D210" s="39" t="n">
        <v>0.882222222222222</v>
      </c>
      <c r="E210" s="39" t="n">
        <v>48.9457</v>
      </c>
      <c r="F210" s="39" t="n">
        <v>62.798</v>
      </c>
      <c r="G210" s="17" t="s">
        <v>67</v>
      </c>
      <c r="H210" s="80" t="b">
        <f aca="false">TRUE()</f>
        <v>1</v>
      </c>
      <c r="I210" s="80" t="b">
        <f aca="false">FALSE()</f>
        <v>0</v>
      </c>
      <c r="J210" s="81" t="n">
        <v>1</v>
      </c>
      <c r="K210" s="17" t="s">
        <v>229</v>
      </c>
      <c r="L210" s="17" t="s">
        <v>233</v>
      </c>
      <c r="M210" s="17"/>
      <c r="N210" s="17"/>
      <c r="O210" s="17"/>
      <c r="P210" s="44" t="n">
        <v>30.59</v>
      </c>
      <c r="Q210" s="44" t="n">
        <v>25.97</v>
      </c>
      <c r="R210" s="54" t="n">
        <f aca="false">INT(B210)</f>
        <v>46150</v>
      </c>
      <c r="S210" s="17" t="n">
        <f aca="false">IF(AND(I210=TRUE(),COUNTIFS($R$5:R210,R210,$I$5:I210,TRUE())=1),1,0)</f>
        <v>0</v>
      </c>
      <c r="T210" s="73" t="n">
        <v>0.5</v>
      </c>
      <c r="U210" s="44" t="n">
        <v>28.86</v>
      </c>
      <c r="V210" s="44" t="n">
        <v>24.47285</v>
      </c>
      <c r="W210" s="44" t="n">
        <f aca="false">SUM(Z210:AE210)</f>
        <v>4.62</v>
      </c>
      <c r="X210" s="17" t="s">
        <v>109</v>
      </c>
      <c r="Y210" s="54" t="n">
        <v>46146</v>
      </c>
      <c r="Z210" s="44" t="n">
        <v>1.73</v>
      </c>
      <c r="AA210" s="44" t="n">
        <v>0</v>
      </c>
      <c r="AB210" s="44" t="n">
        <v>0</v>
      </c>
      <c r="AC210" s="44" t="n">
        <v>0</v>
      </c>
      <c r="AD210" s="44" t="n">
        <v>2.89</v>
      </c>
      <c r="AE210" s="44" t="n">
        <v>0</v>
      </c>
      <c r="AF210" s="17" t="n">
        <f aca="false">IF(AND(E210&gt;0,COUNTIFS($R$5:R210,R210,$E$5:E210,"&gt;0")=1),1,0)</f>
        <v>0</v>
      </c>
      <c r="AG210" s="17" t="n">
        <f aca="false">IF(AND(E210&gt;0,COUNTIFS($R$5:R210,R210,$K$5:K210,K210,$E$5:E210,"&gt;0")=1),1,0)</f>
        <v>0</v>
      </c>
    </row>
    <row r="211" customFormat="false" ht="15" hidden="false" customHeight="false" outlineLevel="0" collapsed="false">
      <c r="A211" s="14" t="n">
        <v>5113904771</v>
      </c>
      <c r="B211" s="77" t="n">
        <v>46150.8750578704</v>
      </c>
      <c r="C211" s="77" t="n">
        <v>46150.9094675926</v>
      </c>
      <c r="D211" s="38" t="n">
        <v>0.825833333333333</v>
      </c>
      <c r="E211" s="38" t="n">
        <v>28.1255</v>
      </c>
      <c r="F211" s="38" t="n">
        <v>37.649</v>
      </c>
      <c r="G211" s="14" t="s">
        <v>67</v>
      </c>
      <c r="H211" s="78" t="b">
        <f aca="false">TRUE()</f>
        <v>1</v>
      </c>
      <c r="I211" s="78" t="b">
        <f aca="false">FALSE()</f>
        <v>0</v>
      </c>
      <c r="J211" s="55" t="n">
        <v>1</v>
      </c>
      <c r="K211" s="14" t="s">
        <v>229</v>
      </c>
      <c r="L211" s="14" t="s">
        <v>226</v>
      </c>
      <c r="M211" s="14" t="s">
        <v>303</v>
      </c>
      <c r="N211" s="14"/>
      <c r="O211" s="14" t="s">
        <v>228</v>
      </c>
      <c r="P211" s="42" t="n">
        <v>19.24</v>
      </c>
      <c r="Q211" s="42" t="n">
        <v>16.34</v>
      </c>
      <c r="R211" s="53" t="n">
        <f aca="false">INT(B211)</f>
        <v>46150</v>
      </c>
      <c r="S211" s="14" t="n">
        <f aca="false">IF(AND(I211=TRUE(),COUNTIFS($R$5:R211,R211,$I$5:I211,TRUE())=1),1,0)</f>
        <v>0</v>
      </c>
      <c r="T211" s="71" t="n">
        <v>0.5</v>
      </c>
      <c r="U211" s="42" t="n">
        <v>18.15</v>
      </c>
      <c r="V211" s="42" t="n">
        <v>14.06275</v>
      </c>
      <c r="W211" s="42" t="n">
        <f aca="false">SUM(Z211:AE211)</f>
        <v>2.9</v>
      </c>
      <c r="X211" s="14" t="s">
        <v>109</v>
      </c>
      <c r="Y211" s="53" t="n">
        <v>46146</v>
      </c>
      <c r="Z211" s="42" t="n">
        <v>1.09</v>
      </c>
      <c r="AA211" s="42" t="n">
        <v>0</v>
      </c>
      <c r="AB211" s="42" t="n">
        <v>0</v>
      </c>
      <c r="AC211" s="42" t="n">
        <v>0</v>
      </c>
      <c r="AD211" s="42" t="n">
        <v>1.81</v>
      </c>
      <c r="AE211" s="42" t="n">
        <v>0</v>
      </c>
      <c r="AF211" s="14" t="n">
        <f aca="false">IF(AND(E211&gt;0,COUNTIFS($R$5:R211,R211,$E$5:E211,"&gt;0")=1),1,0)</f>
        <v>0</v>
      </c>
      <c r="AG211" s="14" t="n">
        <f aca="false">IF(AND(E211&gt;0,COUNTIFS($R$5:R211,R211,$K$5:K211,K211,$E$5:E211,"&gt;0")=1),1,0)</f>
        <v>0</v>
      </c>
    </row>
    <row r="212" customFormat="false" ht="15" hidden="false" customHeight="false" outlineLevel="0" collapsed="false">
      <c r="A212" s="17" t="n">
        <v>5114187961</v>
      </c>
      <c r="B212" s="79" t="n">
        <v>46150.9387962963</v>
      </c>
      <c r="C212" s="79" t="n">
        <v>46150.9970601852</v>
      </c>
      <c r="D212" s="39" t="n">
        <v>1.39833333333333</v>
      </c>
      <c r="E212" s="39" t="n">
        <v>26.4852</v>
      </c>
      <c r="F212" s="39" t="n">
        <v>33.432</v>
      </c>
      <c r="G212" s="17" t="s">
        <v>68</v>
      </c>
      <c r="H212" s="80" t="b">
        <f aca="false">TRUE()</f>
        <v>1</v>
      </c>
      <c r="I212" s="80" t="b">
        <f aca="false">TRUE()</f>
        <v>1</v>
      </c>
      <c r="J212" s="81" t="n">
        <v>0.79489516864175</v>
      </c>
      <c r="K212" s="17" t="s">
        <v>229</v>
      </c>
      <c r="L212" s="17" t="s">
        <v>226</v>
      </c>
      <c r="M212" s="17" t="s">
        <v>318</v>
      </c>
      <c r="N212" s="17" t="s">
        <v>237</v>
      </c>
      <c r="O212" s="17" t="s">
        <v>228</v>
      </c>
      <c r="P212" s="44" t="n">
        <v>21.37</v>
      </c>
      <c r="Q212" s="44" t="n">
        <v>18.14</v>
      </c>
      <c r="R212" s="54" t="n">
        <f aca="false">INT(B212)</f>
        <v>46150</v>
      </c>
      <c r="S212" s="17" t="n">
        <f aca="false">IF(AND(I212=TRUE(),COUNTIFS($R$5:R212,R212,$I$5:I212,TRUE())=1),1,0)</f>
        <v>1</v>
      </c>
      <c r="T212" s="73" t="n">
        <v>0.5</v>
      </c>
      <c r="U212" s="44" t="n">
        <v>20.16</v>
      </c>
      <c r="V212" s="44" t="n">
        <v>13.2426</v>
      </c>
      <c r="W212" s="44" t="n">
        <f aca="false">SUM(Z212:AE212)</f>
        <v>3.23</v>
      </c>
      <c r="X212" s="17" t="s">
        <v>109</v>
      </c>
      <c r="Y212" s="54" t="n">
        <v>46146</v>
      </c>
      <c r="Z212" s="44" t="n">
        <v>1.21</v>
      </c>
      <c r="AA212" s="44" t="n">
        <v>0</v>
      </c>
      <c r="AB212" s="44" t="n">
        <v>0</v>
      </c>
      <c r="AC212" s="44" t="n">
        <v>0</v>
      </c>
      <c r="AD212" s="44" t="n">
        <v>2.02</v>
      </c>
      <c r="AE212" s="44" t="n">
        <v>0</v>
      </c>
      <c r="AF212" s="17" t="n">
        <f aca="false">IF(AND(E212&gt;0,COUNTIFS($R$5:R212,R212,$E$5:E212,"&gt;0")=1),1,0)</f>
        <v>0</v>
      </c>
      <c r="AG212" s="17" t="n">
        <f aca="false">IF(AND(E212&gt;0,COUNTIFS($R$5:R212,R212,$K$5:K212,K212,$E$5:E212,"&gt;0")=1),1,0)</f>
        <v>0</v>
      </c>
    </row>
    <row r="213" customFormat="false" ht="15" hidden="false" customHeight="false" outlineLevel="0" collapsed="false">
      <c r="A213" s="14" t="n">
        <v>5116073421</v>
      </c>
      <c r="B213" s="77" t="n">
        <v>46151.7027083333</v>
      </c>
      <c r="C213" s="77" t="n">
        <v>46151.7465509259</v>
      </c>
      <c r="D213" s="38" t="n">
        <v>1.05222222222222</v>
      </c>
      <c r="E213" s="38" t="n">
        <v>7.369006</v>
      </c>
      <c r="F213" s="38" t="n">
        <v>7.3098</v>
      </c>
      <c r="G213" s="14" t="s">
        <v>66</v>
      </c>
      <c r="H213" s="78" t="b">
        <f aca="false">FALSE()</f>
        <v>0</v>
      </c>
      <c r="I213" s="78" t="b">
        <f aca="false">FALSE()</f>
        <v>0</v>
      </c>
      <c r="J213" s="55" t="n">
        <v>0</v>
      </c>
      <c r="K213" s="14" t="s">
        <v>225</v>
      </c>
      <c r="L213" s="14" t="s">
        <v>233</v>
      </c>
      <c r="M213" s="14"/>
      <c r="N213" s="14"/>
      <c r="O213" s="14"/>
      <c r="P213" s="42" t="n">
        <v>9.48</v>
      </c>
      <c r="Q213" s="42" t="n">
        <v>8.05</v>
      </c>
      <c r="R213" s="53" t="n">
        <f aca="false">INT(B213)</f>
        <v>46151</v>
      </c>
      <c r="S213" s="14" t="n">
        <f aca="false">IF(AND(I213=TRUE(),COUNTIFS($R$5:R213,R213,$I$5:I213,TRUE())=1),1,0)</f>
        <v>0</v>
      </c>
      <c r="T213" s="71" t="n">
        <v>0.5</v>
      </c>
      <c r="U213" s="42" t="n">
        <v>8.94</v>
      </c>
      <c r="V213" s="42" t="n">
        <v>3.684503</v>
      </c>
      <c r="W213" s="42" t="n">
        <f aca="false">SUM(Z213:AE213)</f>
        <v>1.43</v>
      </c>
      <c r="X213" s="14" t="s">
        <v>110</v>
      </c>
      <c r="Y213" s="53" t="n">
        <v>46146</v>
      </c>
      <c r="Z213" s="42" t="n">
        <v>0.54</v>
      </c>
      <c r="AA213" s="42" t="n">
        <v>0</v>
      </c>
      <c r="AB213" s="42" t="n">
        <v>0</v>
      </c>
      <c r="AC213" s="42" t="n">
        <v>0</v>
      </c>
      <c r="AD213" s="42" t="n">
        <v>0.89</v>
      </c>
      <c r="AE213" s="42" t="n">
        <v>0</v>
      </c>
      <c r="AF213" s="14" t="n">
        <f aca="false">IF(AND(E213&gt;0,COUNTIFS($R$5:R213,R213,$E$5:E213,"&gt;0")=1),1,0)</f>
        <v>1</v>
      </c>
      <c r="AG213" s="14" t="n">
        <f aca="false">IF(AND(E213&gt;0,COUNTIFS($R$5:R213,R213,$K$5:K213,K213,$E$5:E213,"&gt;0")=1),1,0)</f>
        <v>1</v>
      </c>
    </row>
    <row r="214" customFormat="false" ht="15" hidden="false" customHeight="false" outlineLevel="0" collapsed="false">
      <c r="A214" s="17" t="n">
        <v>5119467321</v>
      </c>
      <c r="B214" s="79" t="n">
        <v>46152.9800231482</v>
      </c>
      <c r="C214" s="79" t="n">
        <v>46152.9975115741</v>
      </c>
      <c r="D214" s="39" t="n">
        <v>0.419722222222222</v>
      </c>
      <c r="E214" s="39" t="n">
        <v>2.856592</v>
      </c>
      <c r="F214" s="39" t="n">
        <v>7.1596</v>
      </c>
      <c r="G214" s="17" t="s">
        <v>68</v>
      </c>
      <c r="H214" s="80" t="b">
        <f aca="false">FALSE()</f>
        <v>0</v>
      </c>
      <c r="I214" s="80" t="b">
        <f aca="false">TRUE()</f>
        <v>1</v>
      </c>
      <c r="J214" s="81" t="n">
        <v>0</v>
      </c>
      <c r="K214" s="17" t="s">
        <v>225</v>
      </c>
      <c r="L214" s="17" t="s">
        <v>226</v>
      </c>
      <c r="M214" s="17" t="s">
        <v>327</v>
      </c>
      <c r="N214" s="17" t="s">
        <v>328</v>
      </c>
      <c r="O214" s="17" t="s">
        <v>251</v>
      </c>
      <c r="P214" s="44" t="n">
        <v>3.75</v>
      </c>
      <c r="Q214" s="44" t="n">
        <v>3.18</v>
      </c>
      <c r="R214" s="54" t="n">
        <f aca="false">INT(B214)</f>
        <v>46152</v>
      </c>
      <c r="S214" s="17" t="n">
        <f aca="false">IF(AND(I214=TRUE(),COUNTIFS($R$5:R214,R214,$I$5:I214,TRUE())=1),1,0)</f>
        <v>1</v>
      </c>
      <c r="T214" s="73" t="n">
        <v>0.5</v>
      </c>
      <c r="U214" s="44" t="n">
        <v>3.53</v>
      </c>
      <c r="V214" s="44" t="n">
        <v>1.428296</v>
      </c>
      <c r="W214" s="44" t="n">
        <f aca="false">SUM(Z214:AE214)</f>
        <v>0.57</v>
      </c>
      <c r="X214" s="17" t="s">
        <v>111</v>
      </c>
      <c r="Y214" s="54" t="n">
        <v>46146</v>
      </c>
      <c r="Z214" s="44" t="n">
        <v>0.22</v>
      </c>
      <c r="AA214" s="44" t="n">
        <v>0</v>
      </c>
      <c r="AB214" s="44" t="n">
        <v>0</v>
      </c>
      <c r="AC214" s="44" t="n">
        <v>0</v>
      </c>
      <c r="AD214" s="44" t="n">
        <v>0.35</v>
      </c>
      <c r="AE214" s="44" t="n">
        <v>0</v>
      </c>
      <c r="AF214" s="17" t="n">
        <f aca="false">IF(AND(E214&gt;0,COUNTIFS($R$5:R214,R214,$E$5:E214,"&gt;0")=1),1,0)</f>
        <v>1</v>
      </c>
      <c r="AG214" s="17" t="n">
        <f aca="false">IF(AND(E214&gt;0,COUNTIFS($R$5:R214,R214,$K$5:K214,K214,$E$5:E214,"&gt;0")=1),1,0)</f>
        <v>1</v>
      </c>
    </row>
    <row r="215" customFormat="false" ht="15" hidden="false" customHeight="false" outlineLevel="0" collapsed="false">
      <c r="A215" s="14" t="n">
        <v>5119565261</v>
      </c>
      <c r="B215" s="77" t="n">
        <v>46153.005162037</v>
      </c>
      <c r="C215" s="77" t="n">
        <v>46153.0305208333</v>
      </c>
      <c r="D215" s="38" t="n">
        <v>0.608611111111111</v>
      </c>
      <c r="E215" s="38" t="n">
        <v>11.0811</v>
      </c>
      <c r="F215" s="38" t="n">
        <v>30.325</v>
      </c>
      <c r="G215" s="14" t="s">
        <v>68</v>
      </c>
      <c r="H215" s="78" t="b">
        <f aca="false">TRUE()</f>
        <v>1</v>
      </c>
      <c r="I215" s="78" t="b">
        <f aca="false">TRUE()</f>
        <v>1</v>
      </c>
      <c r="J215" s="55" t="n">
        <v>1</v>
      </c>
      <c r="K215" s="14" t="s">
        <v>229</v>
      </c>
      <c r="L215" s="14" t="s">
        <v>226</v>
      </c>
      <c r="M215" s="14" t="s">
        <v>327</v>
      </c>
      <c r="N215" s="14" t="s">
        <v>328</v>
      </c>
      <c r="O215" s="14" t="s">
        <v>251</v>
      </c>
      <c r="P215" s="42" t="n">
        <v>9.08</v>
      </c>
      <c r="Q215" s="42" t="n">
        <v>7.71</v>
      </c>
      <c r="R215" s="53" t="n">
        <f aca="false">INT(B215)</f>
        <v>46153</v>
      </c>
      <c r="S215" s="14" t="n">
        <f aca="false">IF(AND(I215=TRUE(),COUNTIFS($R$5:R215,R215,$I$5:I215,TRUE())=1),1,0)</f>
        <v>1</v>
      </c>
      <c r="T215" s="71" t="n">
        <v>0.5</v>
      </c>
      <c r="U215" s="42" t="n">
        <v>8.57</v>
      </c>
      <c r="V215" s="42" t="n">
        <v>5.54055</v>
      </c>
      <c r="W215" s="42" t="n">
        <f aca="false">SUM(Z215:AE215)</f>
        <v>1.37</v>
      </c>
      <c r="X215" s="14" t="s">
        <v>105</v>
      </c>
      <c r="Y215" s="53" t="n">
        <v>46153</v>
      </c>
      <c r="Z215" s="42" t="n">
        <v>0.51</v>
      </c>
      <c r="AA215" s="42" t="n">
        <v>0</v>
      </c>
      <c r="AB215" s="42" t="n">
        <v>0</v>
      </c>
      <c r="AC215" s="42" t="n">
        <v>0</v>
      </c>
      <c r="AD215" s="42" t="n">
        <v>0.86</v>
      </c>
      <c r="AE215" s="42" t="n">
        <v>0</v>
      </c>
      <c r="AF215" s="14" t="n">
        <f aca="false">IF(AND(E215&gt;0,COUNTIFS($R$5:R215,R215,$E$5:E215,"&gt;0")=1),1,0)</f>
        <v>1</v>
      </c>
      <c r="AG215" s="14" t="n">
        <f aca="false">IF(AND(E215&gt;0,COUNTIFS($R$5:R215,R215,$K$5:K215,K215,$E$5:E215,"&gt;0")=1),1,0)</f>
        <v>1</v>
      </c>
    </row>
    <row r="216" customFormat="false" ht="15" hidden="false" customHeight="false" outlineLevel="0" collapsed="false">
      <c r="A216" s="17" t="n">
        <v>5133007041</v>
      </c>
      <c r="B216" s="79" t="n">
        <v>46156.9720138889</v>
      </c>
      <c r="C216" s="79" t="n">
        <v>46157.0634837963</v>
      </c>
      <c r="D216" s="39" t="n">
        <v>2.19527777777778</v>
      </c>
      <c r="E216" s="39" t="n">
        <v>81.4171</v>
      </c>
      <c r="F216" s="39" t="n">
        <v>40.6</v>
      </c>
      <c r="G216" s="17" t="s">
        <v>68</v>
      </c>
      <c r="H216" s="80" t="b">
        <f aca="false">TRUE()</f>
        <v>1</v>
      </c>
      <c r="I216" s="80" t="b">
        <f aca="false">TRUE()</f>
        <v>1</v>
      </c>
      <c r="J216" s="81" t="n">
        <v>1</v>
      </c>
      <c r="K216" s="17" t="s">
        <v>229</v>
      </c>
      <c r="L216" s="17" t="s">
        <v>226</v>
      </c>
      <c r="M216" s="17" t="s">
        <v>230</v>
      </c>
      <c r="N216" s="17"/>
      <c r="O216" s="17" t="s">
        <v>228</v>
      </c>
      <c r="P216" s="44" t="n">
        <v>54.77</v>
      </c>
      <c r="Q216" s="44" t="n">
        <v>46.5</v>
      </c>
      <c r="R216" s="54" t="n">
        <f aca="false">INT(B216)</f>
        <v>46156</v>
      </c>
      <c r="S216" s="17" t="n">
        <f aca="false">IF(AND(I216=TRUE(),COUNTIFS($R$5:R216,R216,$I$5:I216,TRUE())=1),1,0)</f>
        <v>1</v>
      </c>
      <c r="T216" s="73" t="n">
        <v>0.5</v>
      </c>
      <c r="U216" s="44" t="n">
        <v>51.67</v>
      </c>
      <c r="V216" s="44" t="n">
        <v>40.70855</v>
      </c>
      <c r="W216" s="44" t="n">
        <f aca="false">SUM(Z216:AE216)</f>
        <v>8.27</v>
      </c>
      <c r="X216" s="17" t="s">
        <v>108</v>
      </c>
      <c r="Y216" s="54" t="n">
        <v>46153</v>
      </c>
      <c r="Z216" s="44" t="n">
        <v>3.1</v>
      </c>
      <c r="AA216" s="44" t="n">
        <v>0</v>
      </c>
      <c r="AB216" s="44" t="n">
        <v>0</v>
      </c>
      <c r="AC216" s="44" t="n">
        <v>0</v>
      </c>
      <c r="AD216" s="44" t="n">
        <v>5.17</v>
      </c>
      <c r="AE216" s="44" t="n">
        <v>0</v>
      </c>
      <c r="AF216" s="17" t="n">
        <f aca="false">IF(AND(E216&gt;0,COUNTIFS($R$5:R216,R216,$E$5:E216,"&gt;0")=1),1,0)</f>
        <v>1</v>
      </c>
      <c r="AG216" s="17" t="n">
        <f aca="false">IF(AND(E216&gt;0,COUNTIFS($R$5:R216,R216,$K$5:K216,K216,$E$5:E216,"&gt;0")=1),1,0)</f>
        <v>1</v>
      </c>
    </row>
    <row r="217" customFormat="false" ht="15" hidden="false" customHeight="false" outlineLevel="0" collapsed="false">
      <c r="A217" s="14" t="n">
        <v>5144996721</v>
      </c>
      <c r="B217" s="77" t="n">
        <v>46161.0327777778</v>
      </c>
      <c r="C217" s="77" t="n">
        <v>46161.0815972222</v>
      </c>
      <c r="D217" s="38" t="n">
        <v>1.17166666666667</v>
      </c>
      <c r="E217" s="38" t="n">
        <v>33.7549</v>
      </c>
      <c r="F217" s="38" t="n">
        <v>37.954</v>
      </c>
      <c r="G217" s="14" t="s">
        <v>68</v>
      </c>
      <c r="H217" s="78" t="b">
        <f aca="false">TRUE()</f>
        <v>1</v>
      </c>
      <c r="I217" s="78" t="b">
        <f aca="false">TRUE()</f>
        <v>1</v>
      </c>
      <c r="J217" s="55" t="n">
        <v>1</v>
      </c>
      <c r="K217" s="14" t="s">
        <v>229</v>
      </c>
      <c r="L217" s="14" t="s">
        <v>226</v>
      </c>
      <c r="M217" s="14" t="s">
        <v>303</v>
      </c>
      <c r="N217" s="14"/>
      <c r="O217" s="14" t="s">
        <v>228</v>
      </c>
      <c r="P217" s="42" t="n">
        <v>24.58</v>
      </c>
      <c r="Q217" s="42" t="n">
        <v>20.46</v>
      </c>
      <c r="R217" s="53" t="n">
        <f aca="false">INT(B217)</f>
        <v>46161</v>
      </c>
      <c r="S217" s="14" t="n">
        <f aca="false">IF(AND(I217=TRUE(),COUNTIFS($R$5:R217,R217,$I$5:I217,TRUE())=1),1,0)</f>
        <v>1</v>
      </c>
      <c r="T217" s="71" t="n">
        <v>0.5</v>
      </c>
      <c r="U217" s="42" t="n">
        <v>22.73</v>
      </c>
      <c r="V217" s="42" t="n">
        <v>16.87745</v>
      </c>
      <c r="W217" s="42" t="n">
        <f aca="false">SUM(Z217:AE217)</f>
        <v>4.12</v>
      </c>
      <c r="X217" s="14" t="s">
        <v>106</v>
      </c>
      <c r="Y217" s="53" t="n">
        <v>46160</v>
      </c>
      <c r="Z217" s="42" t="n">
        <v>1.36</v>
      </c>
      <c r="AA217" s="42" t="n">
        <v>0</v>
      </c>
      <c r="AB217" s="42" t="n">
        <v>0</v>
      </c>
      <c r="AC217" s="42" t="n">
        <v>0</v>
      </c>
      <c r="AD217" s="42" t="n">
        <v>2.27</v>
      </c>
      <c r="AE217" s="42" t="n">
        <v>0.49</v>
      </c>
      <c r="AF217" s="14" t="n">
        <f aca="false">IF(AND(E217&gt;0,COUNTIFS($R$5:R217,R217,$E$5:E217,"&gt;0")=1),1,0)</f>
        <v>1</v>
      </c>
      <c r="AG217" s="14" t="n">
        <f aca="false">IF(AND(E217&gt;0,COUNTIFS($R$5:R217,R217,$K$5:K217,K217,$E$5:E217,"&gt;0")=1),1,0)</f>
        <v>1</v>
      </c>
    </row>
    <row r="218" customFormat="false" ht="15" hidden="false" customHeight="false" outlineLevel="0" collapsed="false">
      <c r="A218" s="17" t="n">
        <v>5147308091</v>
      </c>
      <c r="B218" s="79" t="n">
        <v>46161.7722453704</v>
      </c>
      <c r="C218" s="79" t="n">
        <v>46161.7735532407</v>
      </c>
      <c r="D218" s="39" t="n">
        <v>0.0313888888888888</v>
      </c>
      <c r="E218" s="39" t="n">
        <v>0</v>
      </c>
      <c r="F218" s="39" t="n">
        <v>0</v>
      </c>
      <c r="G218" s="17" t="s">
        <v>67</v>
      </c>
      <c r="H218" s="80" t="b">
        <f aca="false">FALSE()</f>
        <v>0</v>
      </c>
      <c r="I218" s="80" t="b">
        <f aca="false">FALSE()</f>
        <v>0</v>
      </c>
      <c r="J218" s="81"/>
      <c r="K218" s="17" t="s">
        <v>225</v>
      </c>
      <c r="L218" s="17" t="s">
        <v>226</v>
      </c>
      <c r="M218" s="17"/>
      <c r="N218" s="17"/>
      <c r="O218" s="17"/>
      <c r="P218" s="44"/>
      <c r="Q218" s="44"/>
      <c r="R218" s="54" t="n">
        <f aca="false">INT(B218)</f>
        <v>46161</v>
      </c>
      <c r="S218" s="17" t="n">
        <f aca="false">IF(AND(I218=TRUE(),COUNTIFS($R$5:R218,R218,$I$5:I218,TRUE())=1),1,0)</f>
        <v>0</v>
      </c>
      <c r="T218" s="73"/>
      <c r="U218" s="44"/>
      <c r="V218" s="44"/>
      <c r="W218" s="44" t="n">
        <f aca="false">SUM(Z218:AE218)</f>
        <v>0</v>
      </c>
      <c r="X218" s="17" t="s">
        <v>106</v>
      </c>
      <c r="Y218" s="54" t="n">
        <v>46160</v>
      </c>
      <c r="Z218" s="44"/>
      <c r="AA218" s="44"/>
      <c r="AB218" s="44"/>
      <c r="AC218" s="44"/>
      <c r="AD218" s="44"/>
      <c r="AE218" s="44"/>
      <c r="AF218" s="17" t="n">
        <f aca="false">IF(AND(E218&gt;0,COUNTIFS($R$5:R218,R218,$E$5:E218,"&gt;0")=1),1,0)</f>
        <v>0</v>
      </c>
      <c r="AG218" s="17" t="n">
        <f aca="false">IF(AND(E218&gt;0,COUNTIFS($R$5:R218,R218,$K$5:K218,K218,$E$5:E218,"&gt;0")=1),1,0)</f>
        <v>0</v>
      </c>
    </row>
    <row r="219" customFormat="false" ht="15" hidden="false" customHeight="false" outlineLevel="0" collapsed="false">
      <c r="A219" s="14" t="n">
        <v>5147302701</v>
      </c>
      <c r="B219" s="77" t="n">
        <v>46161.7722800926</v>
      </c>
      <c r="C219" s="77" t="n">
        <v>46161.7783101852</v>
      </c>
      <c r="D219" s="38" t="n">
        <v>0.144722222222222</v>
      </c>
      <c r="E219" s="38" t="n">
        <v>4.8722</v>
      </c>
      <c r="F219" s="38" t="n">
        <v>35.359</v>
      </c>
      <c r="G219" s="14" t="s">
        <v>67</v>
      </c>
      <c r="H219" s="78" t="b">
        <f aca="false">TRUE()</f>
        <v>1</v>
      </c>
      <c r="I219" s="78" t="b">
        <f aca="false">FALSE()</f>
        <v>0</v>
      </c>
      <c r="J219" s="55"/>
      <c r="K219" s="14" t="s">
        <v>229</v>
      </c>
      <c r="L219" s="14" t="s">
        <v>226</v>
      </c>
      <c r="M219" s="14" t="s">
        <v>227</v>
      </c>
      <c r="N219" s="14"/>
      <c r="O219" s="14" t="s">
        <v>228</v>
      </c>
      <c r="P219" s="42" t="n">
        <v>3.85</v>
      </c>
      <c r="Q219" s="42" t="n">
        <v>2.85</v>
      </c>
      <c r="R219" s="53" t="n">
        <f aca="false">INT(B219)</f>
        <v>46161</v>
      </c>
      <c r="S219" s="14" t="n">
        <f aca="false">IF(AND(I219=TRUE(),COUNTIFS($R$5:R219,R219,$I$5:I219,TRUE())=1),1,0)</f>
        <v>0</v>
      </c>
      <c r="T219" s="71" t="n">
        <v>0.5</v>
      </c>
      <c r="U219" s="42" t="n">
        <v>3.17</v>
      </c>
      <c r="V219" s="42" t="n">
        <v>2.4361</v>
      </c>
      <c r="W219" s="42" t="n">
        <f aca="false">SUM(Z219:AE219)</f>
        <v>1</v>
      </c>
      <c r="X219" s="14" t="s">
        <v>106</v>
      </c>
      <c r="Y219" s="53" t="n">
        <v>46160</v>
      </c>
      <c r="Z219" s="42" t="n">
        <v>0.19</v>
      </c>
      <c r="AA219" s="42" t="n">
        <v>0</v>
      </c>
      <c r="AB219" s="42" t="n">
        <v>0</v>
      </c>
      <c r="AC219" s="42" t="n">
        <v>0</v>
      </c>
      <c r="AD219" s="42" t="n">
        <v>0.32</v>
      </c>
      <c r="AE219" s="42" t="n">
        <v>0.49</v>
      </c>
      <c r="AF219" s="14" t="n">
        <f aca="false">IF(AND(E219&gt;0,COUNTIFS($R$5:R219,R219,$E$5:E219,"&gt;0")=1),1,0)</f>
        <v>0</v>
      </c>
      <c r="AG219" s="14" t="n">
        <f aca="false">IF(AND(E219&gt;0,COUNTIFS($R$5:R219,R219,$K$5:K219,K219,$E$5:E219,"&gt;0")=1),1,0)</f>
        <v>0</v>
      </c>
    </row>
    <row r="220" customFormat="false" ht="15" hidden="false" customHeight="false" outlineLevel="0" collapsed="false">
      <c r="A220" s="17" t="n">
        <v>5157045241</v>
      </c>
      <c r="B220" s="79" t="n">
        <v>46164.5777083333</v>
      </c>
      <c r="C220" s="79" t="n">
        <v>46164.63</v>
      </c>
      <c r="D220" s="39" t="n">
        <v>1.255</v>
      </c>
      <c r="E220" s="39" t="n">
        <v>43.688</v>
      </c>
      <c r="F220" s="39" t="n">
        <v>36.897</v>
      </c>
      <c r="G220" s="17" t="s">
        <v>66</v>
      </c>
      <c r="H220" s="80" t="b">
        <f aca="false">TRUE()</f>
        <v>1</v>
      </c>
      <c r="I220" s="80" t="b">
        <f aca="false">FALSE()</f>
        <v>0</v>
      </c>
      <c r="J220" s="81" t="n">
        <v>1</v>
      </c>
      <c r="K220" s="17" t="s">
        <v>229</v>
      </c>
      <c r="L220" s="17" t="s">
        <v>233</v>
      </c>
      <c r="M220" s="17"/>
      <c r="N220" s="17"/>
      <c r="O220" s="17"/>
      <c r="P220" s="44" t="n">
        <v>30.8</v>
      </c>
      <c r="Q220" s="44" t="n">
        <v>25.31</v>
      </c>
      <c r="R220" s="54" t="n">
        <f aca="false">INT(B220)</f>
        <v>46164</v>
      </c>
      <c r="S220" s="17" t="n">
        <f aca="false">IF(AND(I220=TRUE(),COUNTIFS($R$5:R220,R220,$I$5:I220,TRUE())=1),1,0)</f>
        <v>0</v>
      </c>
      <c r="T220" s="73" t="n">
        <v>0.5</v>
      </c>
      <c r="U220" s="44" t="n">
        <v>28.12</v>
      </c>
      <c r="V220" s="44" t="n">
        <v>21.844</v>
      </c>
      <c r="W220" s="44" t="n">
        <f aca="false">SUM(Z220:AE220)</f>
        <v>5.49</v>
      </c>
      <c r="X220" s="17" t="s">
        <v>109</v>
      </c>
      <c r="Y220" s="54" t="n">
        <v>46160</v>
      </c>
      <c r="Z220" s="44" t="n">
        <v>1.69</v>
      </c>
      <c r="AA220" s="44" t="n">
        <v>0</v>
      </c>
      <c r="AB220" s="44" t="n">
        <v>0</v>
      </c>
      <c r="AC220" s="44" t="n">
        <v>0</v>
      </c>
      <c r="AD220" s="44" t="n">
        <v>2.81</v>
      </c>
      <c r="AE220" s="44" t="n">
        <v>0.99</v>
      </c>
      <c r="AF220" s="17" t="n">
        <f aca="false">IF(AND(E220&gt;0,COUNTIFS($R$5:R220,R220,$E$5:E220,"&gt;0")=1),1,0)</f>
        <v>1</v>
      </c>
      <c r="AG220" s="17" t="n">
        <f aca="false">IF(AND(E220&gt;0,COUNTIFS($R$5:R220,R220,$K$5:K220,K220,$E$5:E220,"&gt;0")=1),1,0)</f>
        <v>1</v>
      </c>
    </row>
    <row r="221" customFormat="false" ht="15" hidden="false" customHeight="false" outlineLevel="0" collapsed="false">
      <c r="A221" s="14" t="n">
        <v>5157888411</v>
      </c>
      <c r="B221" s="77" t="n">
        <v>46164.7672800926</v>
      </c>
      <c r="C221" s="77" t="n">
        <v>46164.8223263889</v>
      </c>
      <c r="D221" s="38" t="n">
        <v>1.32111111111111</v>
      </c>
      <c r="E221" s="38" t="n">
        <v>8.79557</v>
      </c>
      <c r="F221" s="38" t="n">
        <v>6.7491</v>
      </c>
      <c r="G221" s="14" t="s">
        <v>67</v>
      </c>
      <c r="H221" s="78" t="b">
        <f aca="false">FALSE()</f>
        <v>0</v>
      </c>
      <c r="I221" s="78" t="b">
        <f aca="false">FALSE()</f>
        <v>0</v>
      </c>
      <c r="J221" s="55" t="n">
        <v>0</v>
      </c>
      <c r="K221" s="14" t="s">
        <v>225</v>
      </c>
      <c r="L221" s="14" t="s">
        <v>233</v>
      </c>
      <c r="M221" s="14"/>
      <c r="N221" s="14"/>
      <c r="O221" s="14"/>
      <c r="P221" s="42" t="n">
        <v>12.16</v>
      </c>
      <c r="Q221" s="42" t="n">
        <v>9.91</v>
      </c>
      <c r="R221" s="53" t="n">
        <f aca="false">INT(B221)</f>
        <v>46164</v>
      </c>
      <c r="S221" s="14" t="n">
        <f aca="false">IF(AND(I221=TRUE(),COUNTIFS($R$5:R221,R221,$I$5:I221,TRUE())=1),1,0)</f>
        <v>0</v>
      </c>
      <c r="T221" s="71" t="n">
        <v>0.5</v>
      </c>
      <c r="U221" s="42" t="n">
        <v>11.01</v>
      </c>
      <c r="V221" s="42" t="n">
        <v>4.397785</v>
      </c>
      <c r="W221" s="42" t="n">
        <f aca="false">SUM(Z221:AE221)</f>
        <v>2.25</v>
      </c>
      <c r="X221" s="14" t="s">
        <v>109</v>
      </c>
      <c r="Y221" s="53" t="n">
        <v>46160</v>
      </c>
      <c r="Z221" s="42" t="n">
        <v>0.66</v>
      </c>
      <c r="AA221" s="42" t="n">
        <v>0</v>
      </c>
      <c r="AB221" s="42" t="n">
        <v>0</v>
      </c>
      <c r="AC221" s="42" t="n">
        <v>0</v>
      </c>
      <c r="AD221" s="42" t="n">
        <v>1.1</v>
      </c>
      <c r="AE221" s="42" t="n">
        <v>0.49</v>
      </c>
      <c r="AF221" s="14" t="n">
        <f aca="false">IF(AND(E221&gt;0,COUNTIFS($R$5:R221,R221,$E$5:E221,"&gt;0")=1),1,0)</f>
        <v>0</v>
      </c>
      <c r="AG221" s="14" t="n">
        <f aca="false">IF(AND(E221&gt;0,COUNTIFS($R$5:R221,R221,$K$5:K221,K221,$E$5:E221,"&gt;0")=1),1,0)</f>
        <v>1</v>
      </c>
    </row>
    <row r="222" customFormat="false" ht="15" hidden="false" customHeight="false" outlineLevel="0" collapsed="false">
      <c r="A222" s="17" t="n">
        <v>5158370321</v>
      </c>
      <c r="B222" s="79" t="n">
        <v>46164.877662037</v>
      </c>
      <c r="C222" s="79" t="n">
        <v>46164.9348148148</v>
      </c>
      <c r="D222" s="39" t="n">
        <v>1.37166666666667</v>
      </c>
      <c r="E222" s="39" t="n">
        <v>44.3982</v>
      </c>
      <c r="F222" s="39" t="n">
        <v>40.582</v>
      </c>
      <c r="G222" s="17" t="s">
        <v>67</v>
      </c>
      <c r="H222" s="80" t="b">
        <f aca="false">TRUE()</f>
        <v>1</v>
      </c>
      <c r="I222" s="80" t="b">
        <f aca="false">FALSE()</f>
        <v>0</v>
      </c>
      <c r="J222" s="81" t="n">
        <v>1</v>
      </c>
      <c r="K222" s="17" t="s">
        <v>229</v>
      </c>
      <c r="L222" s="17" t="s">
        <v>233</v>
      </c>
      <c r="M222" s="17"/>
      <c r="N222" s="17"/>
      <c r="O222" s="17"/>
      <c r="P222" s="44" t="n">
        <v>31.79</v>
      </c>
      <c r="Q222" s="44" t="n">
        <v>26.15</v>
      </c>
      <c r="R222" s="54" t="n">
        <f aca="false">INT(B222)</f>
        <v>46164</v>
      </c>
      <c r="S222" s="17" t="n">
        <f aca="false">IF(AND(I222=TRUE(),COUNTIFS($R$5:R222,R222,$I$5:I222,TRUE())=1),1,0)</f>
        <v>0</v>
      </c>
      <c r="T222" s="73" t="n">
        <v>0.5</v>
      </c>
      <c r="U222" s="44" t="n">
        <v>29.06</v>
      </c>
      <c r="V222" s="44" t="n">
        <v>22.1991</v>
      </c>
      <c r="W222" s="44" t="n">
        <f aca="false">SUM(Z222:AE222)</f>
        <v>5.64</v>
      </c>
      <c r="X222" s="17" t="s">
        <v>109</v>
      </c>
      <c r="Y222" s="54" t="n">
        <v>46160</v>
      </c>
      <c r="Z222" s="44" t="n">
        <v>1.74</v>
      </c>
      <c r="AA222" s="44" t="n">
        <v>0</v>
      </c>
      <c r="AB222" s="44" t="n">
        <v>0</v>
      </c>
      <c r="AC222" s="44" t="n">
        <v>0</v>
      </c>
      <c r="AD222" s="44" t="n">
        <v>2.91</v>
      </c>
      <c r="AE222" s="44" t="n">
        <v>0.99</v>
      </c>
      <c r="AF222" s="17" t="n">
        <f aca="false">IF(AND(E222&gt;0,COUNTIFS($R$5:R222,R222,$E$5:E222,"&gt;0")=1),1,0)</f>
        <v>0</v>
      </c>
      <c r="AG222" s="17" t="n">
        <f aca="false">IF(AND(E222&gt;0,COUNTIFS($R$5:R222,R222,$K$5:K222,K222,$E$5:E222,"&gt;0")=1),1,0)</f>
        <v>0</v>
      </c>
    </row>
    <row r="223" customFormat="false" ht="15" hidden="false" customHeight="false" outlineLevel="0" collapsed="false">
      <c r="A223" s="14" t="n">
        <v>5161345291</v>
      </c>
      <c r="B223" s="77" t="n">
        <v>46165.9865740741</v>
      </c>
      <c r="C223" s="77" t="n">
        <v>46166.0111458333</v>
      </c>
      <c r="D223" s="38" t="n">
        <v>0.589722222222222</v>
      </c>
      <c r="E223" s="38" t="n">
        <v>14.4048</v>
      </c>
      <c r="F223" s="38" t="n">
        <v>39.721</v>
      </c>
      <c r="G223" s="14" t="s">
        <v>68</v>
      </c>
      <c r="H223" s="78" t="b">
        <f aca="false">TRUE()</f>
        <v>1</v>
      </c>
      <c r="I223" s="78" t="b">
        <f aca="false">TRUE()</f>
        <v>1</v>
      </c>
      <c r="J223" s="55" t="n">
        <v>1</v>
      </c>
      <c r="K223" s="14" t="s">
        <v>229</v>
      </c>
      <c r="L223" s="14" t="s">
        <v>233</v>
      </c>
      <c r="M223" s="14"/>
      <c r="N223" s="14"/>
      <c r="O223" s="14"/>
      <c r="P223" s="42" t="n">
        <v>11.75</v>
      </c>
      <c r="Q223" s="42" t="n">
        <v>9.14</v>
      </c>
      <c r="R223" s="53" t="n">
        <f aca="false">INT(B223)</f>
        <v>46165</v>
      </c>
      <c r="S223" s="14" t="n">
        <f aca="false">IF(AND(I223=TRUE(),COUNTIFS($R$5:R223,R223,$I$5:I223,TRUE())=1),1,0)</f>
        <v>1</v>
      </c>
      <c r="T223" s="71" t="n">
        <v>0.5</v>
      </c>
      <c r="U223" s="42" t="n">
        <v>10.15</v>
      </c>
      <c r="V223" s="42" t="n">
        <v>7.2024</v>
      </c>
      <c r="W223" s="42" t="n">
        <f aca="false">SUM(Z223:AE223)</f>
        <v>2.61</v>
      </c>
      <c r="X223" s="14" t="s">
        <v>110</v>
      </c>
      <c r="Y223" s="53" t="n">
        <v>46160</v>
      </c>
      <c r="Z223" s="42" t="n">
        <v>0.61</v>
      </c>
      <c r="AA223" s="42" t="n">
        <v>0</v>
      </c>
      <c r="AB223" s="42" t="n">
        <v>0</v>
      </c>
      <c r="AC223" s="42" t="n">
        <v>0</v>
      </c>
      <c r="AD223" s="42" t="n">
        <v>1.01</v>
      </c>
      <c r="AE223" s="42" t="n">
        <v>0.99</v>
      </c>
      <c r="AF223" s="14" t="n">
        <f aca="false">IF(AND(E223&gt;0,COUNTIFS($R$5:R223,R223,$E$5:E223,"&gt;0")=1),1,0)</f>
        <v>1</v>
      </c>
      <c r="AG223" s="14" t="n">
        <f aca="false">IF(AND(E223&gt;0,COUNTIFS($R$5:R223,R223,$K$5:K223,K223,$E$5:E223,"&gt;0")=1),1,0)</f>
        <v>1</v>
      </c>
    </row>
    <row r="224" customFormat="false" ht="15" hidden="false" customHeight="false" outlineLevel="0" collapsed="false">
      <c r="A224" s="17" t="n">
        <v>5162996711</v>
      </c>
      <c r="B224" s="79" t="n">
        <v>46166.8095138889</v>
      </c>
      <c r="C224" s="79" t="n">
        <v>46166.8281481482</v>
      </c>
      <c r="D224" s="39" t="n">
        <v>0.447222222222222</v>
      </c>
      <c r="E224" s="39" t="n">
        <v>16.1868</v>
      </c>
      <c r="F224" s="39" t="n">
        <v>37.672</v>
      </c>
      <c r="G224" s="17" t="s">
        <v>67</v>
      </c>
      <c r="H224" s="80" t="b">
        <f aca="false">TRUE()</f>
        <v>1</v>
      </c>
      <c r="I224" s="80" t="b">
        <f aca="false">FALSE()</f>
        <v>0</v>
      </c>
      <c r="J224" s="81" t="n">
        <v>1</v>
      </c>
      <c r="K224" s="17" t="s">
        <v>229</v>
      </c>
      <c r="L224" s="17" t="s">
        <v>226</v>
      </c>
      <c r="M224" s="17" t="s">
        <v>329</v>
      </c>
      <c r="N224" s="17" t="s">
        <v>330</v>
      </c>
      <c r="O224" s="17" t="s">
        <v>259</v>
      </c>
      <c r="P224" s="44" t="n">
        <v>11.44</v>
      </c>
      <c r="Q224" s="44" t="n">
        <v>9.3</v>
      </c>
      <c r="R224" s="54" t="n">
        <f aca="false">INT(B224)</f>
        <v>46166</v>
      </c>
      <c r="S224" s="17" t="n">
        <f aca="false">IF(AND(I224=TRUE(),COUNTIFS($R$5:R224,R224,$I$5:I224,TRUE())=1),1,0)</f>
        <v>0</v>
      </c>
      <c r="T224" s="73" t="n">
        <v>0.5</v>
      </c>
      <c r="U224" s="44" t="n">
        <v>10.33</v>
      </c>
      <c r="V224" s="44" t="n">
        <v>8.0934</v>
      </c>
      <c r="W224" s="44" t="n">
        <f aca="false">SUM(Z224:AE224)</f>
        <v>2.14</v>
      </c>
      <c r="X224" s="17" t="s">
        <v>111</v>
      </c>
      <c r="Y224" s="54" t="n">
        <v>46160</v>
      </c>
      <c r="Z224" s="44" t="n">
        <v>0.62</v>
      </c>
      <c r="AA224" s="44" t="n">
        <v>0</v>
      </c>
      <c r="AB224" s="44" t="n">
        <v>0</v>
      </c>
      <c r="AC224" s="44" t="n">
        <v>0</v>
      </c>
      <c r="AD224" s="44" t="n">
        <v>1.03</v>
      </c>
      <c r="AE224" s="44" t="n">
        <v>0.49</v>
      </c>
      <c r="AF224" s="17" t="n">
        <f aca="false">IF(AND(E224&gt;0,COUNTIFS($R$5:R224,R224,$E$5:E224,"&gt;0")=1),1,0)</f>
        <v>1</v>
      </c>
      <c r="AG224" s="17" t="n">
        <f aca="false">IF(AND(E224&gt;0,COUNTIFS($R$5:R224,R224,$K$5:K224,K224,$E$5:E224,"&gt;0")=1),1,0)</f>
        <v>1</v>
      </c>
    </row>
    <row r="225" customFormat="false" ht="15" hidden="false" customHeight="false" outlineLevel="0" collapsed="false">
      <c r="A225" s="14" t="n">
        <v>5165020791</v>
      </c>
      <c r="B225" s="77" t="n">
        <v>46167.7654166667</v>
      </c>
      <c r="C225" s="77" t="n">
        <v>46167.7805092593</v>
      </c>
      <c r="D225" s="38" t="n">
        <v>0.362222222222222</v>
      </c>
      <c r="E225" s="38" t="n">
        <v>12.0104</v>
      </c>
      <c r="F225" s="38" t="n">
        <v>35.109</v>
      </c>
      <c r="G225" s="14" t="s">
        <v>67</v>
      </c>
      <c r="H225" s="78" t="b">
        <f aca="false">TRUE()</f>
        <v>1</v>
      </c>
      <c r="I225" s="78" t="b">
        <f aca="false">FALSE()</f>
        <v>0</v>
      </c>
      <c r="J225" s="55" t="n">
        <v>1</v>
      </c>
      <c r="K225" s="14" t="s">
        <v>229</v>
      </c>
      <c r="L225" s="14" t="s">
        <v>233</v>
      </c>
      <c r="M225" s="14"/>
      <c r="N225" s="14"/>
      <c r="O225" s="14"/>
      <c r="P225" s="42" t="n">
        <v>9.27</v>
      </c>
      <c r="Q225" s="42" t="n">
        <v>7.03</v>
      </c>
      <c r="R225" s="53" t="n">
        <f aca="false">INT(B225)</f>
        <v>46167</v>
      </c>
      <c r="S225" s="14" t="n">
        <f aca="false">IF(AND(I225=TRUE(),COUNTIFS($R$5:R225,R225,$I$5:I225,TRUE())=1),1,0)</f>
        <v>0</v>
      </c>
      <c r="T225" s="71" t="n">
        <v>0.5</v>
      </c>
      <c r="U225" s="42" t="n">
        <v>7.81</v>
      </c>
      <c r="V225" s="42" t="n">
        <v>6.0052</v>
      </c>
      <c r="W225" s="42" t="n">
        <f aca="false">SUM(Z225:AE225)</f>
        <v>2.24</v>
      </c>
      <c r="X225" s="14" t="s">
        <v>105</v>
      </c>
      <c r="Y225" s="53" t="n">
        <v>46167</v>
      </c>
      <c r="Z225" s="42" t="n">
        <v>0.47</v>
      </c>
      <c r="AA225" s="42" t="n">
        <v>0</v>
      </c>
      <c r="AB225" s="42" t="n">
        <v>0</v>
      </c>
      <c r="AC225" s="42" t="n">
        <v>0</v>
      </c>
      <c r="AD225" s="42" t="n">
        <v>0.78</v>
      </c>
      <c r="AE225" s="42" t="n">
        <v>0.99</v>
      </c>
      <c r="AF225" s="14" t="n">
        <f aca="false">IF(AND(E225&gt;0,COUNTIFS($R$5:R225,R225,$E$5:E225,"&gt;0")=1),1,0)</f>
        <v>1</v>
      </c>
      <c r="AG225" s="14" t="n">
        <f aca="false">IF(AND(E225&gt;0,COUNTIFS($R$5:R225,R225,$K$5:K225,K225,$E$5:E225,"&gt;0")=1),1,0)</f>
        <v>1</v>
      </c>
    </row>
    <row r="226" customFormat="false" ht="15" hidden="false" customHeight="false" outlineLevel="0" collapsed="false">
      <c r="A226" s="17" t="n">
        <v>5165064361</v>
      </c>
      <c r="B226" s="79" t="n">
        <v>46167.7810648148</v>
      </c>
      <c r="C226" s="79" t="n">
        <v>46167.8127199074</v>
      </c>
      <c r="D226" s="39" t="n">
        <v>0.759722222222222</v>
      </c>
      <c r="E226" s="39" t="n">
        <v>25.5031</v>
      </c>
      <c r="F226" s="39" t="n">
        <v>38.122</v>
      </c>
      <c r="G226" s="17" t="s">
        <v>67</v>
      </c>
      <c r="H226" s="80" t="b">
        <f aca="false">TRUE()</f>
        <v>1</v>
      </c>
      <c r="I226" s="80" t="b">
        <f aca="false">FALSE()</f>
        <v>0</v>
      </c>
      <c r="J226" s="81" t="n">
        <v>0.994108983799706</v>
      </c>
      <c r="K226" s="17" t="s">
        <v>229</v>
      </c>
      <c r="L226" s="17" t="s">
        <v>226</v>
      </c>
      <c r="M226" s="17" t="s">
        <v>331</v>
      </c>
      <c r="N226" s="17" t="s">
        <v>332</v>
      </c>
      <c r="O226" s="17" t="s">
        <v>259</v>
      </c>
      <c r="P226" s="44" t="n">
        <v>17.54</v>
      </c>
      <c r="Q226" s="44" t="n">
        <v>14.89</v>
      </c>
      <c r="R226" s="54" t="n">
        <f aca="false">INT(B226)</f>
        <v>46167</v>
      </c>
      <c r="S226" s="17" t="n">
        <f aca="false">IF(AND(I226=TRUE(),COUNTIFS($R$5:R226,R226,$I$5:I226,TRUE())=1),1,0)</f>
        <v>0</v>
      </c>
      <c r="T226" s="73" t="n">
        <v>0.5</v>
      </c>
      <c r="U226" s="44" t="n">
        <v>16.54</v>
      </c>
      <c r="V226" s="44" t="n">
        <v>12.75155</v>
      </c>
      <c r="W226" s="44" t="n">
        <f aca="false">SUM(Z226:AE226)</f>
        <v>2.65</v>
      </c>
      <c r="X226" s="17" t="s">
        <v>105</v>
      </c>
      <c r="Y226" s="54" t="n">
        <v>46167</v>
      </c>
      <c r="Z226" s="44" t="n">
        <v>1</v>
      </c>
      <c r="AA226" s="44" t="n">
        <v>0</v>
      </c>
      <c r="AB226" s="44" t="n">
        <v>0</v>
      </c>
      <c r="AC226" s="44" t="n">
        <v>0</v>
      </c>
      <c r="AD226" s="44" t="n">
        <v>1.65</v>
      </c>
      <c r="AE226" s="44" t="n">
        <v>0</v>
      </c>
      <c r="AF226" s="17" t="n">
        <f aca="false">IF(AND(E226&gt;0,COUNTIFS($R$5:R226,R226,$E$5:E226,"&gt;0")=1),1,0)</f>
        <v>0</v>
      </c>
      <c r="AG226" s="17" t="n">
        <f aca="false">IF(AND(E226&gt;0,COUNTIFS($R$5:R226,R226,$K$5:K226,K226,$E$5:E226,"&gt;0")=1),1,0)</f>
        <v>0</v>
      </c>
    </row>
    <row r="227" customFormat="false" ht="15" hidden="false" customHeight="false" outlineLevel="0" collapsed="false">
      <c r="A227" s="14" t="n">
        <v>5167229441</v>
      </c>
      <c r="B227" s="77" t="n">
        <v>46168.6099189815</v>
      </c>
      <c r="C227" s="77" t="n">
        <v>46168.6099189815</v>
      </c>
      <c r="D227" s="38" t="n">
        <v>0</v>
      </c>
      <c r="E227" s="38" t="n">
        <v>0</v>
      </c>
      <c r="F227" s="38" t="n">
        <v>0</v>
      </c>
      <c r="G227" s="14" t="s">
        <v>66</v>
      </c>
      <c r="H227" s="78" t="b">
        <f aca="false">FALSE()</f>
        <v>0</v>
      </c>
      <c r="I227" s="78" t="b">
        <f aca="false">FALSE()</f>
        <v>0</v>
      </c>
      <c r="J227" s="55"/>
      <c r="K227" s="14" t="s">
        <v>229</v>
      </c>
      <c r="L227" s="14" t="s">
        <v>233</v>
      </c>
      <c r="M227" s="14"/>
      <c r="N227" s="14"/>
      <c r="O227" s="14"/>
      <c r="P227" s="42"/>
      <c r="Q227" s="42"/>
      <c r="R227" s="53" t="n">
        <f aca="false">INT(B227)</f>
        <v>46168</v>
      </c>
      <c r="S227" s="14" t="n">
        <f aca="false">IF(AND(I227=TRUE(),COUNTIFS($R$5:R227,R227,$I$5:I227,TRUE())=1),1,0)</f>
        <v>0</v>
      </c>
      <c r="T227" s="71"/>
      <c r="U227" s="42"/>
      <c r="V227" s="42"/>
      <c r="W227" s="42" t="n">
        <f aca="false">SUM(Z227:AE227)</f>
        <v>0</v>
      </c>
      <c r="X227" s="14" t="s">
        <v>106</v>
      </c>
      <c r="Y227" s="53" t="n">
        <v>46167</v>
      </c>
      <c r="Z227" s="42"/>
      <c r="AA227" s="42"/>
      <c r="AB227" s="42"/>
      <c r="AC227" s="42"/>
      <c r="AD227" s="42"/>
      <c r="AE227" s="42"/>
      <c r="AF227" s="14" t="n">
        <f aca="false">IF(AND(E227&gt;0,COUNTIFS($R$5:R227,R227,$E$5:E227,"&gt;0")=1),1,0)</f>
        <v>0</v>
      </c>
      <c r="AG227" s="14" t="n">
        <f aca="false">IF(AND(E227&gt;0,COUNTIFS($R$5:R227,R227,$K$5:K227,K227,$E$5:E227,"&gt;0")=1),1,0)</f>
        <v>0</v>
      </c>
    </row>
    <row r="228" customFormat="false" ht="15" hidden="false" customHeight="false" outlineLevel="0" collapsed="false">
      <c r="A228" s="17" t="n">
        <v>5167230461</v>
      </c>
      <c r="B228" s="79" t="n">
        <v>46168.6101388889</v>
      </c>
      <c r="C228" s="79" t="n">
        <v>46168.6112037037</v>
      </c>
      <c r="D228" s="39" t="n">
        <v>0.0255555555555555</v>
      </c>
      <c r="E228" s="39" t="n">
        <v>0</v>
      </c>
      <c r="F228" s="39" t="n">
        <v>0</v>
      </c>
      <c r="G228" s="17" t="s">
        <v>66</v>
      </c>
      <c r="H228" s="80" t="b">
        <f aca="false">FALSE()</f>
        <v>0</v>
      </c>
      <c r="I228" s="80" t="b">
        <f aca="false">FALSE()</f>
        <v>0</v>
      </c>
      <c r="J228" s="81"/>
      <c r="K228" s="17" t="s">
        <v>229</v>
      </c>
      <c r="L228" s="17" t="s">
        <v>233</v>
      </c>
      <c r="M228" s="17"/>
      <c r="N228" s="17"/>
      <c r="O228" s="17"/>
      <c r="P228" s="44"/>
      <c r="Q228" s="44"/>
      <c r="R228" s="54" t="n">
        <f aca="false">INT(B228)</f>
        <v>46168</v>
      </c>
      <c r="S228" s="17" t="n">
        <f aca="false">IF(AND(I228=TRUE(),COUNTIFS($R$5:R228,R228,$I$5:I228,TRUE())=1),1,0)</f>
        <v>0</v>
      </c>
      <c r="T228" s="73"/>
      <c r="U228" s="44"/>
      <c r="V228" s="44"/>
      <c r="W228" s="44" t="n">
        <f aca="false">SUM(Z228:AE228)</f>
        <v>0</v>
      </c>
      <c r="X228" s="17" t="s">
        <v>106</v>
      </c>
      <c r="Y228" s="54" t="n">
        <v>46167</v>
      </c>
      <c r="Z228" s="44"/>
      <c r="AA228" s="44"/>
      <c r="AB228" s="44"/>
      <c r="AC228" s="44"/>
      <c r="AD228" s="44"/>
      <c r="AE228" s="44"/>
      <c r="AF228" s="17" t="n">
        <f aca="false">IF(AND(E228&gt;0,COUNTIFS($R$5:R228,R228,$E$5:E228,"&gt;0")=1),1,0)</f>
        <v>0</v>
      </c>
      <c r="AG228" s="17" t="n">
        <f aca="false">IF(AND(E228&gt;0,COUNTIFS($R$5:R228,R228,$K$5:K228,K228,$E$5:E228,"&gt;0")=1),1,0)</f>
        <v>0</v>
      </c>
    </row>
    <row r="229" customFormat="false" ht="15" hidden="false" customHeight="false" outlineLevel="0" collapsed="false">
      <c r="A229" s="14" t="n">
        <v>5167255051</v>
      </c>
      <c r="B229" s="77" t="n">
        <v>46168.6150462963</v>
      </c>
      <c r="C229" s="77" t="n">
        <v>46168.6476388889</v>
      </c>
      <c r="D229" s="38" t="n">
        <v>0.782222222222222</v>
      </c>
      <c r="E229" s="38" t="n">
        <v>5.618006</v>
      </c>
      <c r="F229" s="38" t="n">
        <v>7.3102</v>
      </c>
      <c r="G229" s="14" t="s">
        <v>66</v>
      </c>
      <c r="H229" s="78" t="b">
        <f aca="false">FALSE()</f>
        <v>0</v>
      </c>
      <c r="I229" s="78" t="b">
        <f aca="false">FALSE()</f>
        <v>0</v>
      </c>
      <c r="J229" s="55" t="n">
        <v>0</v>
      </c>
      <c r="K229" s="14" t="s">
        <v>225</v>
      </c>
      <c r="L229" s="14" t="s">
        <v>233</v>
      </c>
      <c r="M229" s="14"/>
      <c r="N229" s="14"/>
      <c r="O229" s="14"/>
      <c r="P229" s="42" t="n">
        <v>7.61</v>
      </c>
      <c r="Q229" s="42" t="n">
        <v>6.05</v>
      </c>
      <c r="R229" s="53" t="n">
        <f aca="false">INT(B229)</f>
        <v>46168</v>
      </c>
      <c r="S229" s="14" t="n">
        <f aca="false">IF(AND(I229=TRUE(),COUNTIFS($R$5:R229,R229,$I$5:I229,TRUE())=1),1,0)</f>
        <v>0</v>
      </c>
      <c r="T229" s="71" t="n">
        <v>0.5</v>
      </c>
      <c r="U229" s="42" t="n">
        <v>6.72</v>
      </c>
      <c r="V229" s="42" t="n">
        <v>2.809003</v>
      </c>
      <c r="W229" s="42" t="n">
        <f aca="false">SUM(Z229:AE229)</f>
        <v>1.56</v>
      </c>
      <c r="X229" s="14" t="s">
        <v>106</v>
      </c>
      <c r="Y229" s="53" t="n">
        <v>46167</v>
      </c>
      <c r="Z229" s="42" t="n">
        <v>0.4</v>
      </c>
      <c r="AA229" s="42" t="n">
        <v>0</v>
      </c>
      <c r="AB229" s="42" t="n">
        <v>0</v>
      </c>
      <c r="AC229" s="42" t="n">
        <v>0</v>
      </c>
      <c r="AD229" s="42" t="n">
        <v>0.67</v>
      </c>
      <c r="AE229" s="42" t="n">
        <v>0.49</v>
      </c>
      <c r="AF229" s="14" t="n">
        <f aca="false">IF(AND(E229&gt;0,COUNTIFS($R$5:R229,R229,$E$5:E229,"&gt;0")=1),1,0)</f>
        <v>1</v>
      </c>
      <c r="AG229" s="14" t="n">
        <f aca="false">IF(AND(E229&gt;0,COUNTIFS($R$5:R229,R229,$K$5:K229,K229,$E$5:E229,"&gt;0")=1),1,0)</f>
        <v>1</v>
      </c>
    </row>
    <row r="230" customFormat="false" ht="15" hidden="false" customHeight="false" outlineLevel="0" collapsed="false">
      <c r="A230" s="17" t="n">
        <v>5167947661</v>
      </c>
      <c r="B230" s="79" t="n">
        <v>46168.7576851852</v>
      </c>
      <c r="C230" s="79" t="n">
        <v>46168.8196296296</v>
      </c>
      <c r="D230" s="39" t="n">
        <v>1.48666666666667</v>
      </c>
      <c r="E230" s="39" t="n">
        <v>45.2809</v>
      </c>
      <c r="F230" s="39" t="n">
        <v>37.564</v>
      </c>
      <c r="G230" s="17" t="s">
        <v>67</v>
      </c>
      <c r="H230" s="80" t="b">
        <f aca="false">TRUE()</f>
        <v>1</v>
      </c>
      <c r="I230" s="80" t="b">
        <f aca="false">FALSE()</f>
        <v>0</v>
      </c>
      <c r="J230" s="81" t="n">
        <v>1</v>
      </c>
      <c r="K230" s="17" t="s">
        <v>229</v>
      </c>
      <c r="L230" s="17" t="s">
        <v>226</v>
      </c>
      <c r="M230" s="17" t="s">
        <v>333</v>
      </c>
      <c r="N230" s="17"/>
      <c r="O230" s="17" t="s">
        <v>259</v>
      </c>
      <c r="P230" s="44" t="n">
        <v>32.36</v>
      </c>
      <c r="Q230" s="44" t="n">
        <v>27.05</v>
      </c>
      <c r="R230" s="54" t="n">
        <f aca="false">INT(B230)</f>
        <v>46168</v>
      </c>
      <c r="S230" s="17" t="n">
        <f aca="false">IF(AND(I230=TRUE(),COUNTIFS($R$5:R230,R230,$I$5:I230,TRUE())=1),1,0)</f>
        <v>0</v>
      </c>
      <c r="T230" s="73" t="n">
        <v>0.5</v>
      </c>
      <c r="U230" s="44" t="n">
        <v>30.06</v>
      </c>
      <c r="V230" s="44" t="n">
        <v>22.64045</v>
      </c>
      <c r="W230" s="44" t="n">
        <f aca="false">SUM(Z230:AE230)</f>
        <v>5.31</v>
      </c>
      <c r="X230" s="17" t="s">
        <v>106</v>
      </c>
      <c r="Y230" s="54" t="n">
        <v>46167</v>
      </c>
      <c r="Z230" s="44" t="n">
        <v>1.81</v>
      </c>
      <c r="AA230" s="44" t="n">
        <v>0</v>
      </c>
      <c r="AB230" s="44" t="n">
        <v>0</v>
      </c>
      <c r="AC230" s="44" t="n">
        <v>0</v>
      </c>
      <c r="AD230" s="44" t="n">
        <v>3.01</v>
      </c>
      <c r="AE230" s="44" t="n">
        <v>0.49</v>
      </c>
      <c r="AF230" s="17" t="n">
        <f aca="false">IF(AND(E230&gt;0,COUNTIFS($R$5:R230,R230,$E$5:E230,"&gt;0")=1),1,0)</f>
        <v>0</v>
      </c>
      <c r="AG230" s="17" t="n">
        <f aca="false">IF(AND(E230&gt;0,COUNTIFS($R$5:R230,R230,$K$5:K230,K230,$E$5:E230,"&gt;0")=1),1,0)</f>
        <v>1</v>
      </c>
    </row>
    <row r="231" customFormat="false" ht="15" hidden="false" customHeight="false" outlineLevel="0" collapsed="false">
      <c r="A231" s="14" t="n">
        <v>5169051161</v>
      </c>
      <c r="B231" s="77" t="n">
        <v>46169.0019675926</v>
      </c>
      <c r="C231" s="77" t="n">
        <v>46169.0142592593</v>
      </c>
      <c r="D231" s="38" t="n">
        <v>0.295</v>
      </c>
      <c r="E231" s="38" t="n">
        <v>0</v>
      </c>
      <c r="F231" s="38"/>
      <c r="G231" s="14" t="s">
        <v>68</v>
      </c>
      <c r="H231" s="78" t="b">
        <f aca="false">FALSE()</f>
        <v>0</v>
      </c>
      <c r="I231" s="78" t="b">
        <f aca="false">TRUE()</f>
        <v>1</v>
      </c>
      <c r="J231" s="55"/>
      <c r="K231" s="14" t="s">
        <v>229</v>
      </c>
      <c r="L231" s="14" t="s">
        <v>233</v>
      </c>
      <c r="M231" s="14"/>
      <c r="N231" s="14"/>
      <c r="O231" s="14"/>
      <c r="P231" s="42"/>
      <c r="Q231" s="42"/>
      <c r="R231" s="53" t="n">
        <f aca="false">INT(B231)</f>
        <v>46169</v>
      </c>
      <c r="S231" s="14" t="n">
        <f aca="false">IF(AND(I231=TRUE(),COUNTIFS($R$5:R231,R231,$I$5:I231,TRUE())=1),1,0)</f>
        <v>1</v>
      </c>
      <c r="T231" s="71"/>
      <c r="U231" s="42"/>
      <c r="V231" s="42"/>
      <c r="W231" s="42" t="n">
        <f aca="false">SUM(Z231:AE231)</f>
        <v>0</v>
      </c>
      <c r="X231" s="14" t="s">
        <v>107</v>
      </c>
      <c r="Y231" s="53" t="n">
        <v>46167</v>
      </c>
      <c r="Z231" s="42"/>
      <c r="AA231" s="42"/>
      <c r="AB231" s="42"/>
      <c r="AC231" s="42"/>
      <c r="AD231" s="42"/>
      <c r="AE231" s="42"/>
      <c r="AF231" s="14" t="n">
        <f aca="false">IF(AND(E231&gt;0,COUNTIFS($R$5:R231,R231,$E$5:E231,"&gt;0")=1),1,0)</f>
        <v>0</v>
      </c>
      <c r="AG231" s="14" t="n">
        <f aca="false">IF(AND(E231&gt;0,COUNTIFS($R$5:R231,R231,$K$5:K231,K231,$E$5:E231,"&gt;0")=1),1,0)</f>
        <v>0</v>
      </c>
    </row>
    <row r="232" customFormat="false" ht="15" hidden="false" customHeight="false" outlineLevel="0" collapsed="false">
      <c r="A232" s="17" t="n">
        <v>5171330811</v>
      </c>
      <c r="B232" s="79" t="n">
        <v>46169.7541550926</v>
      </c>
      <c r="C232" s="79" t="n">
        <v>46169.7704166667</v>
      </c>
      <c r="D232" s="39" t="n">
        <v>0.390277777777778</v>
      </c>
      <c r="E232" s="39" t="n">
        <v>14.0308</v>
      </c>
      <c r="F232" s="39" t="n">
        <v>36.937</v>
      </c>
      <c r="G232" s="17" t="s">
        <v>67</v>
      </c>
      <c r="H232" s="80" t="b">
        <f aca="false">TRUE()</f>
        <v>1</v>
      </c>
      <c r="I232" s="80" t="b">
        <f aca="false">FALSE()</f>
        <v>0</v>
      </c>
      <c r="J232" s="81" t="n">
        <v>1</v>
      </c>
      <c r="K232" s="17" t="s">
        <v>229</v>
      </c>
      <c r="L232" s="17" t="s">
        <v>226</v>
      </c>
      <c r="M232" s="17" t="s">
        <v>293</v>
      </c>
      <c r="N232" s="17" t="s">
        <v>294</v>
      </c>
      <c r="O232" s="17" t="s">
        <v>228</v>
      </c>
      <c r="P232" s="44" t="n">
        <v>10</v>
      </c>
      <c r="Q232" s="44" t="n">
        <v>8.07</v>
      </c>
      <c r="R232" s="54" t="n">
        <f aca="false">INT(B232)</f>
        <v>46169</v>
      </c>
      <c r="S232" s="17" t="n">
        <f aca="false">IF(AND(I232=TRUE(),COUNTIFS($R$5:R232,R232,$I$5:I232,TRUE())=1),1,0)</f>
        <v>0</v>
      </c>
      <c r="T232" s="73" t="n">
        <v>0.5</v>
      </c>
      <c r="U232" s="44" t="n">
        <v>8.97</v>
      </c>
      <c r="V232" s="44" t="n">
        <v>7.0154</v>
      </c>
      <c r="W232" s="44" t="n">
        <f aca="false">SUM(Z232:AE232)</f>
        <v>1.93</v>
      </c>
      <c r="X232" s="17" t="s">
        <v>107</v>
      </c>
      <c r="Y232" s="54" t="n">
        <v>46167</v>
      </c>
      <c r="Z232" s="44" t="n">
        <v>0.54</v>
      </c>
      <c r="AA232" s="44" t="n">
        <v>0</v>
      </c>
      <c r="AB232" s="44" t="n">
        <v>0</v>
      </c>
      <c r="AC232" s="44" t="n">
        <v>0</v>
      </c>
      <c r="AD232" s="44" t="n">
        <v>0.9</v>
      </c>
      <c r="AE232" s="44" t="n">
        <v>0.49</v>
      </c>
      <c r="AF232" s="17" t="n">
        <f aca="false">IF(AND(E232&gt;0,COUNTIFS($R$5:R232,R232,$E$5:E232,"&gt;0")=1),1,0)</f>
        <v>1</v>
      </c>
      <c r="AG232" s="17" t="n">
        <f aca="false">IF(AND(E232&gt;0,COUNTIFS($R$5:R232,R232,$K$5:K232,K232,$E$5:E232,"&gt;0")=1),1,0)</f>
        <v>1</v>
      </c>
    </row>
    <row r="233" customFormat="false" ht="15" hidden="false" customHeight="false" outlineLevel="0" collapsed="false">
      <c r="A233" s="14" t="n">
        <v>5171448441</v>
      </c>
      <c r="B233" s="77" t="n">
        <v>46169.7847337963</v>
      </c>
      <c r="C233" s="77" t="n">
        <v>46169.7964699074</v>
      </c>
      <c r="D233" s="38" t="n">
        <v>0.281666666666667</v>
      </c>
      <c r="E233" s="38" t="n">
        <v>9.588</v>
      </c>
      <c r="F233" s="38" t="n">
        <v>35.58</v>
      </c>
      <c r="G233" s="14" t="s">
        <v>67</v>
      </c>
      <c r="H233" s="78" t="b">
        <f aca="false">TRUE()</f>
        <v>1</v>
      </c>
      <c r="I233" s="78" t="b">
        <f aca="false">FALSE()</f>
        <v>0</v>
      </c>
      <c r="J233" s="55" t="n">
        <v>1</v>
      </c>
      <c r="K233" s="14" t="s">
        <v>229</v>
      </c>
      <c r="L233" s="14" t="s">
        <v>233</v>
      </c>
      <c r="M233" s="14"/>
      <c r="N233" s="14"/>
      <c r="O233" s="14"/>
      <c r="P233" s="42" t="n">
        <v>7.56</v>
      </c>
      <c r="Q233" s="42" t="n">
        <v>5.58</v>
      </c>
      <c r="R233" s="53" t="n">
        <f aca="false">INT(B233)</f>
        <v>46169</v>
      </c>
      <c r="S233" s="14" t="n">
        <f aca="false">IF(AND(I233=TRUE(),COUNTIFS($R$5:R233,R233,$I$5:I233,TRUE())=1),1,0)</f>
        <v>0</v>
      </c>
      <c r="T233" s="71" t="n">
        <v>0.5</v>
      </c>
      <c r="U233" s="42" t="n">
        <v>6.2</v>
      </c>
      <c r="V233" s="42" t="n">
        <v>4.794</v>
      </c>
      <c r="W233" s="42" t="n">
        <f aca="false">SUM(Z233:AE233)</f>
        <v>1.98</v>
      </c>
      <c r="X233" s="14" t="s">
        <v>107</v>
      </c>
      <c r="Y233" s="53" t="n">
        <v>46167</v>
      </c>
      <c r="Z233" s="42" t="n">
        <v>0.37</v>
      </c>
      <c r="AA233" s="42" t="n">
        <v>0</v>
      </c>
      <c r="AB233" s="42" t="n">
        <v>0</v>
      </c>
      <c r="AC233" s="42" t="n">
        <v>0</v>
      </c>
      <c r="AD233" s="42" t="n">
        <v>0.62</v>
      </c>
      <c r="AE233" s="42" t="n">
        <v>0.99</v>
      </c>
      <c r="AF233" s="14" t="n">
        <f aca="false">IF(AND(E233&gt;0,COUNTIFS($R$5:R233,R233,$E$5:E233,"&gt;0")=1),1,0)</f>
        <v>0</v>
      </c>
      <c r="AG233" s="14" t="n">
        <f aca="false">IF(AND(E233&gt;0,COUNTIFS($R$5:R233,R233,$K$5:K233,K233,$E$5:E233,"&gt;0")=1),1,0)</f>
        <v>0</v>
      </c>
    </row>
    <row r="234" customFormat="false" ht="15" hidden="false" customHeight="false" outlineLevel="0" collapsed="false">
      <c r="A234" s="17" t="n">
        <v>5172555211</v>
      </c>
      <c r="B234" s="79" t="n">
        <v>46170.029212963</v>
      </c>
      <c r="C234" s="79" t="n">
        <v>46170.0574421296</v>
      </c>
      <c r="D234" s="39" t="n">
        <v>0.6775</v>
      </c>
      <c r="E234" s="39" t="n">
        <v>14.3979</v>
      </c>
      <c r="F234" s="39" t="n">
        <v>40.031</v>
      </c>
      <c r="G234" s="17" t="s">
        <v>68</v>
      </c>
      <c r="H234" s="80" t="b">
        <f aca="false">TRUE()</f>
        <v>1</v>
      </c>
      <c r="I234" s="80" t="b">
        <f aca="false">TRUE()</f>
        <v>1</v>
      </c>
      <c r="J234" s="81" t="n">
        <v>1</v>
      </c>
      <c r="K234" s="17" t="s">
        <v>229</v>
      </c>
      <c r="L234" s="17" t="s">
        <v>226</v>
      </c>
      <c r="M234" s="17" t="s">
        <v>230</v>
      </c>
      <c r="N234" s="17"/>
      <c r="O234" s="17" t="s">
        <v>228</v>
      </c>
      <c r="P234" s="44" t="n">
        <v>11.62</v>
      </c>
      <c r="Q234" s="44" t="n">
        <v>9.45</v>
      </c>
      <c r="R234" s="54" t="n">
        <f aca="false">INT(B234)</f>
        <v>46170</v>
      </c>
      <c r="S234" s="17" t="n">
        <f aca="false">IF(AND(I234=TRUE(),COUNTIFS($R$5:R234,R234,$I$5:I234,TRUE())=1),1,0)</f>
        <v>1</v>
      </c>
      <c r="T234" s="73" t="n">
        <v>0.5</v>
      </c>
      <c r="U234" s="44" t="n">
        <v>10.5</v>
      </c>
      <c r="V234" s="44" t="n">
        <v>7.19895</v>
      </c>
      <c r="W234" s="44" t="n">
        <f aca="false">SUM(Z234:AE234)</f>
        <v>2.17</v>
      </c>
      <c r="X234" s="17" t="s">
        <v>108</v>
      </c>
      <c r="Y234" s="54" t="n">
        <v>46167</v>
      </c>
      <c r="Z234" s="44" t="n">
        <v>0.63</v>
      </c>
      <c r="AA234" s="44" t="n">
        <v>0</v>
      </c>
      <c r="AB234" s="44" t="n">
        <v>0</v>
      </c>
      <c r="AC234" s="44" t="n">
        <v>0</v>
      </c>
      <c r="AD234" s="44" t="n">
        <v>1.05</v>
      </c>
      <c r="AE234" s="44" t="n">
        <v>0.49</v>
      </c>
      <c r="AF234" s="17" t="n">
        <f aca="false">IF(AND(E234&gt;0,COUNTIFS($R$5:R234,R234,$E$5:E234,"&gt;0")=1),1,0)</f>
        <v>1</v>
      </c>
      <c r="AG234" s="17" t="n">
        <f aca="false">IF(AND(E234&gt;0,COUNTIFS($R$5:R234,R234,$K$5:K234,K234,$E$5:E234,"&gt;0")=1),1,0)</f>
        <v>1</v>
      </c>
    </row>
    <row r="235" customFormat="false" ht="15" hidden="false" customHeight="false" outlineLevel="0" collapsed="false">
      <c r="A235" s="14" t="n">
        <v>5174695001</v>
      </c>
      <c r="B235" s="77" t="n">
        <v>46170.741412037</v>
      </c>
      <c r="C235" s="77" t="n">
        <v>46170.7768518519</v>
      </c>
      <c r="D235" s="38" t="n">
        <v>0.850555555555556</v>
      </c>
      <c r="E235" s="38" t="n">
        <v>27.3478</v>
      </c>
      <c r="F235" s="38" t="n">
        <v>33.883</v>
      </c>
      <c r="G235" s="14" t="s">
        <v>66</v>
      </c>
      <c r="H235" s="78" t="b">
        <f aca="false">TRUE()</f>
        <v>1</v>
      </c>
      <c r="I235" s="78" t="b">
        <f aca="false">FALSE()</f>
        <v>0</v>
      </c>
      <c r="J235" s="55" t="n">
        <v>1</v>
      </c>
      <c r="K235" s="14" t="s">
        <v>229</v>
      </c>
      <c r="L235" s="14" t="s">
        <v>233</v>
      </c>
      <c r="M235" s="14"/>
      <c r="N235" s="14"/>
      <c r="O235" s="14"/>
      <c r="P235" s="42" t="n">
        <v>19.99</v>
      </c>
      <c r="Q235" s="42" t="n">
        <v>16.13</v>
      </c>
      <c r="R235" s="53" t="n">
        <f aca="false">INT(B235)</f>
        <v>46170</v>
      </c>
      <c r="S235" s="14" t="n">
        <f aca="false">IF(AND(I235=TRUE(),COUNTIFS($R$5:R235,R235,$I$5:I235,TRUE())=1),1,0)</f>
        <v>0</v>
      </c>
      <c r="T235" s="71" t="n">
        <v>0.5</v>
      </c>
      <c r="U235" s="42" t="n">
        <v>17.92</v>
      </c>
      <c r="V235" s="42" t="n">
        <v>13.6739</v>
      </c>
      <c r="W235" s="42" t="n">
        <f aca="false">SUM(Z235:AE235)</f>
        <v>3.86</v>
      </c>
      <c r="X235" s="14" t="s">
        <v>108</v>
      </c>
      <c r="Y235" s="53" t="n">
        <v>46167</v>
      </c>
      <c r="Z235" s="42" t="n">
        <v>1.08</v>
      </c>
      <c r="AA235" s="42" t="n">
        <v>0</v>
      </c>
      <c r="AB235" s="42" t="n">
        <v>0</v>
      </c>
      <c r="AC235" s="42" t="n">
        <v>0</v>
      </c>
      <c r="AD235" s="42" t="n">
        <v>1.79</v>
      </c>
      <c r="AE235" s="42" t="n">
        <v>0.99</v>
      </c>
      <c r="AF235" s="14" t="n">
        <f aca="false">IF(AND(E235&gt;0,COUNTIFS($R$5:R235,R235,$E$5:E235,"&gt;0")=1),1,0)</f>
        <v>0</v>
      </c>
      <c r="AG235" s="14" t="n">
        <f aca="false">IF(AND(E235&gt;0,COUNTIFS($R$5:R235,R235,$K$5:K235,K235,$E$5:E235,"&gt;0")=1),1,0)</f>
        <v>0</v>
      </c>
    </row>
    <row r="236" customFormat="false" ht="15" hidden="false" customHeight="false" outlineLevel="0" collapsed="false">
      <c r="A236" s="17" t="n">
        <v>5174836871</v>
      </c>
      <c r="B236" s="79" t="n">
        <v>46170.7772222222</v>
      </c>
      <c r="C236" s="79" t="n">
        <v>46170.7954513889</v>
      </c>
      <c r="D236" s="39" t="n">
        <v>0.4375</v>
      </c>
      <c r="E236" s="39" t="n">
        <v>14.7411</v>
      </c>
      <c r="F236" s="39" t="n">
        <v>35.428</v>
      </c>
      <c r="G236" s="17" t="s">
        <v>67</v>
      </c>
      <c r="H236" s="80" t="b">
        <f aca="false">TRUE()</f>
        <v>1</v>
      </c>
      <c r="I236" s="80" t="b">
        <f aca="false">FALSE()</f>
        <v>0</v>
      </c>
      <c r="J236" s="81" t="n">
        <v>1</v>
      </c>
      <c r="K236" s="17" t="s">
        <v>229</v>
      </c>
      <c r="L236" s="17" t="s">
        <v>233</v>
      </c>
      <c r="M236" s="17"/>
      <c r="N236" s="17"/>
      <c r="O236" s="17"/>
      <c r="P236" s="44" t="n">
        <v>11.11</v>
      </c>
      <c r="Q236" s="44" t="n">
        <v>8.6</v>
      </c>
      <c r="R236" s="54" t="n">
        <f aca="false">INT(B236)</f>
        <v>46170</v>
      </c>
      <c r="S236" s="17" t="n">
        <f aca="false">IF(AND(I236=TRUE(),COUNTIFS($R$5:R236,R236,$I$5:I236,TRUE())=1),1,0)</f>
        <v>0</v>
      </c>
      <c r="T236" s="73" t="n">
        <v>0.5</v>
      </c>
      <c r="U236" s="44" t="n">
        <v>9.55</v>
      </c>
      <c r="V236" s="44" t="n">
        <v>7.37055</v>
      </c>
      <c r="W236" s="44" t="n">
        <f aca="false">SUM(Z236:AE236)</f>
        <v>2.51</v>
      </c>
      <c r="X236" s="17" t="s">
        <v>108</v>
      </c>
      <c r="Y236" s="54" t="n">
        <v>46167</v>
      </c>
      <c r="Z236" s="44" t="n">
        <v>0.57</v>
      </c>
      <c r="AA236" s="44" t="n">
        <v>0</v>
      </c>
      <c r="AB236" s="44" t="n">
        <v>0</v>
      </c>
      <c r="AC236" s="44" t="n">
        <v>0</v>
      </c>
      <c r="AD236" s="44" t="n">
        <v>0.95</v>
      </c>
      <c r="AE236" s="44" t="n">
        <v>0.99</v>
      </c>
      <c r="AF236" s="17" t="n">
        <f aca="false">IF(AND(E236&gt;0,COUNTIFS($R$5:R236,R236,$E$5:E236,"&gt;0")=1),1,0)</f>
        <v>0</v>
      </c>
      <c r="AG236" s="17" t="n">
        <f aca="false">IF(AND(E236&gt;0,COUNTIFS($R$5:R236,R236,$K$5:K236,K236,$E$5:E236,"&gt;0")=1),1,0)</f>
        <v>0</v>
      </c>
    </row>
    <row r="237" customFormat="false" ht="15" hidden="false" customHeight="false" outlineLevel="0" collapsed="false">
      <c r="A237" s="14" t="n">
        <v>5175611031</v>
      </c>
      <c r="B237" s="77" t="n">
        <v>46170.9499537037</v>
      </c>
      <c r="C237" s="77" t="n">
        <v>46170.9639583333</v>
      </c>
      <c r="D237" s="38" t="n">
        <v>0.336111111111111</v>
      </c>
      <c r="E237" s="38" t="n">
        <v>2.325687</v>
      </c>
      <c r="F237" s="38" t="n">
        <v>7.3729</v>
      </c>
      <c r="G237" s="14" t="s">
        <v>68</v>
      </c>
      <c r="H237" s="78" t="b">
        <f aca="false">FALSE()</f>
        <v>0</v>
      </c>
      <c r="I237" s="78" t="b">
        <f aca="false">TRUE()</f>
        <v>1</v>
      </c>
      <c r="J237" s="55" t="n">
        <v>0</v>
      </c>
      <c r="K237" s="14" t="s">
        <v>225</v>
      </c>
      <c r="L237" s="14" t="s">
        <v>233</v>
      </c>
      <c r="M237" s="14"/>
      <c r="N237" s="14"/>
      <c r="O237" s="14"/>
      <c r="P237" s="42" t="n">
        <v>3.5</v>
      </c>
      <c r="Q237" s="42" t="n">
        <v>2.56</v>
      </c>
      <c r="R237" s="53" t="n">
        <f aca="false">INT(B237)</f>
        <v>46170</v>
      </c>
      <c r="S237" s="14" t="n">
        <f aca="false">IF(AND(I237=TRUE(),COUNTIFS($R$5:R237,R237,$I$5:I237,TRUE())=1),1,0)</f>
        <v>0</v>
      </c>
      <c r="T237" s="71" t="n">
        <v>0.5</v>
      </c>
      <c r="U237" s="42" t="n">
        <v>2.84</v>
      </c>
      <c r="V237" s="42" t="n">
        <v>1.1628435</v>
      </c>
      <c r="W237" s="42" t="n">
        <f aca="false">SUM(Z237:AE237)</f>
        <v>0.94</v>
      </c>
      <c r="X237" s="14" t="s">
        <v>108</v>
      </c>
      <c r="Y237" s="53" t="n">
        <v>46167</v>
      </c>
      <c r="Z237" s="42" t="n">
        <v>0.17</v>
      </c>
      <c r="AA237" s="42" t="n">
        <v>0</v>
      </c>
      <c r="AB237" s="42" t="n">
        <v>0</v>
      </c>
      <c r="AC237" s="42" t="n">
        <v>0</v>
      </c>
      <c r="AD237" s="42" t="n">
        <v>0.28</v>
      </c>
      <c r="AE237" s="42" t="n">
        <v>0.49</v>
      </c>
      <c r="AF237" s="14" t="n">
        <f aca="false">IF(AND(E237&gt;0,COUNTIFS($R$5:R237,R237,$E$5:E237,"&gt;0")=1),1,0)</f>
        <v>0</v>
      </c>
      <c r="AG237" s="14" t="n">
        <f aca="false">IF(AND(E237&gt;0,COUNTIFS($R$5:R237,R237,$K$5:K237,K237,$E$5:E237,"&gt;0")=1),1,0)</f>
        <v>1</v>
      </c>
    </row>
    <row r="238" customFormat="false" ht="15" hidden="false" customHeight="false" outlineLevel="0" collapsed="false">
      <c r="A238" s="17" t="n">
        <v>5177603231</v>
      </c>
      <c r="B238" s="79" t="n">
        <v>46171.6423726852</v>
      </c>
      <c r="C238" s="79" t="n">
        <v>46171.6437268519</v>
      </c>
      <c r="D238" s="39" t="n">
        <v>0.0325</v>
      </c>
      <c r="E238" s="39" t="n">
        <v>0</v>
      </c>
      <c r="F238" s="39" t="n">
        <v>0</v>
      </c>
      <c r="G238" s="17" t="s">
        <v>66</v>
      </c>
      <c r="H238" s="80" t="b">
        <f aca="false">FALSE()</f>
        <v>0</v>
      </c>
      <c r="I238" s="80" t="b">
        <f aca="false">FALSE()</f>
        <v>0</v>
      </c>
      <c r="J238" s="81"/>
      <c r="K238" s="17" t="s">
        <v>229</v>
      </c>
      <c r="L238" s="17" t="s">
        <v>233</v>
      </c>
      <c r="M238" s="17"/>
      <c r="N238" s="17"/>
      <c r="O238" s="17"/>
      <c r="P238" s="44"/>
      <c r="Q238" s="44"/>
      <c r="R238" s="54" t="n">
        <f aca="false">INT(B238)</f>
        <v>46171</v>
      </c>
      <c r="S238" s="17" t="n">
        <f aca="false">IF(AND(I238=TRUE(),COUNTIFS($R$5:R238,R238,$I$5:I238,TRUE())=1),1,0)</f>
        <v>0</v>
      </c>
      <c r="T238" s="73"/>
      <c r="U238" s="44"/>
      <c r="V238" s="44"/>
      <c r="W238" s="44" t="n">
        <f aca="false">SUM(Z238:AE238)</f>
        <v>0</v>
      </c>
      <c r="X238" s="17" t="s">
        <v>109</v>
      </c>
      <c r="Y238" s="54" t="n">
        <v>46167</v>
      </c>
      <c r="Z238" s="44"/>
      <c r="AA238" s="44"/>
      <c r="AB238" s="44"/>
      <c r="AC238" s="44"/>
      <c r="AD238" s="44"/>
      <c r="AE238" s="44"/>
      <c r="AF238" s="17" t="n">
        <f aca="false">IF(AND(E238&gt;0,COUNTIFS($R$5:R238,R238,$E$5:E238,"&gt;0")=1),1,0)</f>
        <v>0</v>
      </c>
      <c r="AG238" s="17" t="n">
        <f aca="false">IF(AND(E238&gt;0,COUNTIFS($R$5:R238,R238,$K$5:K238,K238,$E$5:E238,"&gt;0")=1),1,0)</f>
        <v>0</v>
      </c>
    </row>
    <row r="239" customFormat="false" ht="15" hidden="false" customHeight="false" outlineLevel="0" collapsed="false">
      <c r="A239" s="14" t="n">
        <v>5177640771</v>
      </c>
      <c r="B239" s="77" t="n">
        <v>46171.6490277778</v>
      </c>
      <c r="C239" s="77" t="n">
        <v>46171.7650694445</v>
      </c>
      <c r="D239" s="38" t="n">
        <v>2.785</v>
      </c>
      <c r="E239" s="38" t="n">
        <v>20.088461</v>
      </c>
      <c r="F239" s="38" t="n">
        <v>7.3399</v>
      </c>
      <c r="G239" s="14" t="s">
        <v>66</v>
      </c>
      <c r="H239" s="78" t="b">
        <f aca="false">FALSE()</f>
        <v>0</v>
      </c>
      <c r="I239" s="78" t="b">
        <f aca="false">FALSE()</f>
        <v>0</v>
      </c>
      <c r="J239" s="55" t="n">
        <v>0</v>
      </c>
      <c r="K239" s="14" t="s">
        <v>225</v>
      </c>
      <c r="L239" s="14" t="s">
        <v>233</v>
      </c>
      <c r="M239" s="14"/>
      <c r="N239" s="14"/>
      <c r="O239" s="14"/>
      <c r="P239" s="42" t="n">
        <v>25.9</v>
      </c>
      <c r="Q239" s="42" t="n">
        <v>21.57</v>
      </c>
      <c r="R239" s="53" t="n">
        <f aca="false">INT(B239)</f>
        <v>46171</v>
      </c>
      <c r="S239" s="14" t="n">
        <f aca="false">IF(AND(I239=TRUE(),COUNTIFS($R$5:R239,R239,$I$5:I239,TRUE())=1),1,0)</f>
        <v>0</v>
      </c>
      <c r="T239" s="71" t="n">
        <v>0.5</v>
      </c>
      <c r="U239" s="42" t="n">
        <v>23.97</v>
      </c>
      <c r="V239" s="42" t="n">
        <v>10.0442305</v>
      </c>
      <c r="W239" s="42" t="n">
        <f aca="false">SUM(Z239:AE239)</f>
        <v>4.33</v>
      </c>
      <c r="X239" s="14" t="s">
        <v>109</v>
      </c>
      <c r="Y239" s="53" t="n">
        <v>46167</v>
      </c>
      <c r="Z239" s="42" t="n">
        <v>1.44</v>
      </c>
      <c r="AA239" s="42" t="n">
        <v>0</v>
      </c>
      <c r="AB239" s="42" t="n">
        <v>0</v>
      </c>
      <c r="AC239" s="42" t="n">
        <v>0</v>
      </c>
      <c r="AD239" s="42" t="n">
        <v>2.4</v>
      </c>
      <c r="AE239" s="42" t="n">
        <v>0.49</v>
      </c>
      <c r="AF239" s="14" t="n">
        <f aca="false">IF(AND(E239&gt;0,COUNTIFS($R$5:R239,R239,$E$5:E239,"&gt;0")=1),1,0)</f>
        <v>1</v>
      </c>
      <c r="AG239" s="14" t="n">
        <f aca="false">IF(AND(E239&gt;0,COUNTIFS($R$5:R239,R239,$K$5:K239,K239,$E$5:E239,"&gt;0")=1),1,0)</f>
        <v>1</v>
      </c>
    </row>
    <row r="240" customFormat="false" ht="15" hidden="false" customHeight="false" outlineLevel="0" collapsed="false">
      <c r="A240" s="17" t="n">
        <v>5192485371</v>
      </c>
      <c r="B240" s="79" t="n">
        <v>46175.9651736111</v>
      </c>
      <c r="C240" s="79" t="n">
        <v>46175.9651736111</v>
      </c>
      <c r="D240" s="39" t="n">
        <v>0</v>
      </c>
      <c r="E240" s="39" t="n">
        <v>0</v>
      </c>
      <c r="F240" s="39" t="n">
        <v>0</v>
      </c>
      <c r="G240" s="17" t="s">
        <v>68</v>
      </c>
      <c r="H240" s="80" t="b">
        <f aca="false">FALSE()</f>
        <v>0</v>
      </c>
      <c r="I240" s="80" t="b">
        <f aca="false">TRUE()</f>
        <v>1</v>
      </c>
      <c r="J240" s="81"/>
      <c r="K240" s="17" t="s">
        <v>229</v>
      </c>
      <c r="L240" s="17" t="s">
        <v>233</v>
      </c>
      <c r="M240" s="17"/>
      <c r="N240" s="17"/>
      <c r="O240" s="17"/>
      <c r="P240" s="44"/>
      <c r="Q240" s="44"/>
      <c r="R240" s="54" t="n">
        <f aca="false">INT(B240)</f>
        <v>46175</v>
      </c>
      <c r="S240" s="17" t="n">
        <f aca="false">IF(AND(I240=TRUE(),COUNTIFS($R$5:R240,R240,$I$5:I240,TRUE())=1),1,0)</f>
        <v>1</v>
      </c>
      <c r="T240" s="73"/>
      <c r="U240" s="44"/>
      <c r="V240" s="44"/>
      <c r="W240" s="44" t="n">
        <f aca="false">SUM(Z240:AE240)</f>
        <v>0</v>
      </c>
      <c r="X240" s="17" t="s">
        <v>106</v>
      </c>
      <c r="Y240" s="54" t="n">
        <v>46174</v>
      </c>
      <c r="Z240" s="44"/>
      <c r="AA240" s="44"/>
      <c r="AB240" s="44"/>
      <c r="AC240" s="44"/>
      <c r="AD240" s="44"/>
      <c r="AE240" s="44"/>
      <c r="AF240" s="17" t="n">
        <f aca="false">IF(AND(E240&gt;0,COUNTIFS($R$5:R240,R240,$E$5:E240,"&gt;0")=1),1,0)</f>
        <v>0</v>
      </c>
      <c r="AG240" s="17" t="n">
        <f aca="false">IF(AND(E240&gt;0,COUNTIFS($R$5:R240,R240,$K$5:K240,K240,$E$5:E240,"&gt;0")=1),1,0)</f>
        <v>0</v>
      </c>
    </row>
    <row r="241" customFormat="false" ht="15" hidden="false" customHeight="false" outlineLevel="0" collapsed="false">
      <c r="A241" s="14" t="n">
        <v>5192487431</v>
      </c>
      <c r="B241" s="77" t="n">
        <v>46175.9656712963</v>
      </c>
      <c r="C241" s="77" t="n">
        <v>46175.9670601852</v>
      </c>
      <c r="D241" s="38" t="n">
        <v>0.0333333333333333</v>
      </c>
      <c r="E241" s="38" t="n">
        <v>0</v>
      </c>
      <c r="F241" s="38" t="n">
        <v>0</v>
      </c>
      <c r="G241" s="14" t="s">
        <v>68</v>
      </c>
      <c r="H241" s="78" t="b">
        <f aca="false">FALSE()</f>
        <v>0</v>
      </c>
      <c r="I241" s="78" t="b">
        <f aca="false">TRUE()</f>
        <v>1</v>
      </c>
      <c r="J241" s="55"/>
      <c r="K241" s="14" t="s">
        <v>229</v>
      </c>
      <c r="L241" s="14" t="s">
        <v>233</v>
      </c>
      <c r="M241" s="14"/>
      <c r="N241" s="14"/>
      <c r="O241" s="14"/>
      <c r="P241" s="42"/>
      <c r="Q241" s="42"/>
      <c r="R241" s="53" t="n">
        <f aca="false">INT(B241)</f>
        <v>46175</v>
      </c>
      <c r="S241" s="14" t="n">
        <f aca="false">IF(AND(I241=TRUE(),COUNTIFS($R$5:R241,R241,$I$5:I241,TRUE())=1),1,0)</f>
        <v>0</v>
      </c>
      <c r="T241" s="71"/>
      <c r="U241" s="42"/>
      <c r="V241" s="42"/>
      <c r="W241" s="42" t="n">
        <f aca="false">SUM(Z241:AE241)</f>
        <v>0</v>
      </c>
      <c r="X241" s="14" t="s">
        <v>106</v>
      </c>
      <c r="Y241" s="53" t="n">
        <v>46174</v>
      </c>
      <c r="Z241" s="42"/>
      <c r="AA241" s="42"/>
      <c r="AB241" s="42"/>
      <c r="AC241" s="42"/>
      <c r="AD241" s="42"/>
      <c r="AE241" s="42"/>
      <c r="AF241" s="14" t="n">
        <f aca="false">IF(AND(E241&gt;0,COUNTIFS($R$5:R241,R241,$E$5:E241,"&gt;0")=1),1,0)</f>
        <v>0</v>
      </c>
      <c r="AG241" s="14" t="n">
        <f aca="false">IF(AND(E241&gt;0,COUNTIFS($R$5:R241,R241,$K$5:K241,K241,$E$5:E241,"&gt;0")=1),1,0)</f>
        <v>0</v>
      </c>
    </row>
    <row r="242" customFormat="false" ht="15" hidden="false" customHeight="false" outlineLevel="0" collapsed="false">
      <c r="A242" s="17" t="n">
        <v>5194063971</v>
      </c>
      <c r="B242" s="79" t="n">
        <v>46176.5380439815</v>
      </c>
      <c r="C242" s="79" t="n">
        <v>46176.5497916667</v>
      </c>
      <c r="D242" s="39" t="n">
        <v>0.281944444444444</v>
      </c>
      <c r="E242" s="39" t="n">
        <v>8.083</v>
      </c>
      <c r="F242" s="39" t="n">
        <v>30.636</v>
      </c>
      <c r="G242" s="17" t="s">
        <v>66</v>
      </c>
      <c r="H242" s="80" t="b">
        <f aca="false">TRUE()</f>
        <v>1</v>
      </c>
      <c r="I242" s="80" t="b">
        <f aca="false">FALSE()</f>
        <v>0</v>
      </c>
      <c r="J242" s="81" t="n">
        <v>1</v>
      </c>
      <c r="K242" s="17" t="s">
        <v>229</v>
      </c>
      <c r="L242" s="17" t="s">
        <v>226</v>
      </c>
      <c r="M242" s="17" t="s">
        <v>334</v>
      </c>
      <c r="N242" s="17"/>
      <c r="O242" s="17" t="s">
        <v>228</v>
      </c>
      <c r="P242" s="44" t="n">
        <v>6.23</v>
      </c>
      <c r="Q242" s="44" t="n">
        <v>4.88</v>
      </c>
      <c r="R242" s="54" t="n">
        <f aca="false">INT(B242)</f>
        <v>46176</v>
      </c>
      <c r="S242" s="17" t="n">
        <f aca="false">IF(AND(I242=TRUE(),COUNTIFS($R$5:R242,R242,$I$5:I242,TRUE())=1),1,0)</f>
        <v>0</v>
      </c>
      <c r="T242" s="73" t="n">
        <v>0.5</v>
      </c>
      <c r="U242" s="44" t="n">
        <v>5.42</v>
      </c>
      <c r="V242" s="44" t="n">
        <v>4.0415</v>
      </c>
      <c r="W242" s="44" t="n">
        <f aca="false">SUM(Z242:AE242)</f>
        <v>1.35</v>
      </c>
      <c r="X242" s="17" t="s">
        <v>107</v>
      </c>
      <c r="Y242" s="54" t="n">
        <v>46174</v>
      </c>
      <c r="Z242" s="44" t="n">
        <v>0.32</v>
      </c>
      <c r="AA242" s="44" t="n">
        <v>0</v>
      </c>
      <c r="AB242" s="44" t="n">
        <v>0</v>
      </c>
      <c r="AC242" s="44" t="n">
        <v>0</v>
      </c>
      <c r="AD242" s="44" t="n">
        <v>0.54</v>
      </c>
      <c r="AE242" s="44" t="n">
        <v>0.49</v>
      </c>
      <c r="AF242" s="17" t="n">
        <f aca="false">IF(AND(E242&gt;0,COUNTIFS($R$5:R242,R242,$E$5:E242,"&gt;0")=1),1,0)</f>
        <v>1</v>
      </c>
      <c r="AG242" s="17" t="n">
        <f aca="false">IF(AND(E242&gt;0,COUNTIFS($R$5:R242,R242,$K$5:K242,K242,$E$5:E242,"&gt;0")=1),1,0)</f>
        <v>1</v>
      </c>
    </row>
    <row r="243" customFormat="false" ht="15" hidden="false" customHeight="false" outlineLevel="0" collapsed="false">
      <c r="A243" s="14" t="n">
        <v>5195858081</v>
      </c>
      <c r="B243" s="77" t="n">
        <v>46176.9353819444</v>
      </c>
      <c r="C243" s="77" t="n">
        <v>46176.9623263889</v>
      </c>
      <c r="D243" s="38" t="n">
        <v>0.646666666666667</v>
      </c>
      <c r="E243" s="38" t="n">
        <v>23.9124</v>
      </c>
      <c r="F243" s="38" t="n">
        <v>39.517</v>
      </c>
      <c r="G243" s="14" t="s">
        <v>68</v>
      </c>
      <c r="H243" s="78" t="b">
        <f aca="false">TRUE()</f>
        <v>1</v>
      </c>
      <c r="I243" s="78" t="b">
        <f aca="false">TRUE()</f>
        <v>1</v>
      </c>
      <c r="J243" s="55" t="n">
        <v>1</v>
      </c>
      <c r="K243" s="14" t="s">
        <v>229</v>
      </c>
      <c r="L243" s="14" t="s">
        <v>233</v>
      </c>
      <c r="M243" s="14"/>
      <c r="N243" s="14"/>
      <c r="O243" s="14"/>
      <c r="P243" s="42" t="n">
        <v>17.01</v>
      </c>
      <c r="Q243" s="42" t="n">
        <v>13.6</v>
      </c>
      <c r="R243" s="53" t="n">
        <f aca="false">INT(B243)</f>
        <v>46176</v>
      </c>
      <c r="S243" s="14" t="n">
        <f aca="false">IF(AND(I243=TRUE(),COUNTIFS($R$5:R243,R243,$I$5:I243,TRUE())=1),1,0)</f>
        <v>1</v>
      </c>
      <c r="T243" s="71" t="n">
        <v>0.5</v>
      </c>
      <c r="U243" s="42" t="n">
        <v>15.11</v>
      </c>
      <c r="V243" s="42" t="n">
        <v>11.9562</v>
      </c>
      <c r="W243" s="42" t="n">
        <f aca="false">SUM(Z243:AE243)</f>
        <v>3.41</v>
      </c>
      <c r="X243" s="14" t="s">
        <v>107</v>
      </c>
      <c r="Y243" s="53" t="n">
        <v>46174</v>
      </c>
      <c r="Z243" s="42" t="n">
        <v>0.91</v>
      </c>
      <c r="AA243" s="42" t="n">
        <v>0</v>
      </c>
      <c r="AB243" s="42" t="n">
        <v>0</v>
      </c>
      <c r="AC243" s="42" t="n">
        <v>0</v>
      </c>
      <c r="AD243" s="42" t="n">
        <v>1.51</v>
      </c>
      <c r="AE243" s="42" t="n">
        <v>0.99</v>
      </c>
      <c r="AF243" s="14" t="n">
        <f aca="false">IF(AND(E243&gt;0,COUNTIFS($R$5:R243,R243,$E$5:E243,"&gt;0")=1),1,0)</f>
        <v>0</v>
      </c>
      <c r="AG243" s="14" t="n">
        <f aca="false">IF(AND(E243&gt;0,COUNTIFS($R$5:R243,R243,$K$5:K243,K243,$E$5:E243,"&gt;0")=1),1,0)</f>
        <v>0</v>
      </c>
    </row>
    <row r="244" customFormat="false" ht="15" hidden="false" customHeight="false" outlineLevel="0" collapsed="false">
      <c r="A244" s="17" t="n">
        <v>5196580591</v>
      </c>
      <c r="B244" s="79" t="n">
        <v>46177.0930439815</v>
      </c>
      <c r="C244" s="79" t="n">
        <v>46177.094375</v>
      </c>
      <c r="D244" s="39" t="n">
        <v>0.0319444444444444</v>
      </c>
      <c r="E244" s="39" t="n">
        <v>0</v>
      </c>
      <c r="F244" s="39" t="n">
        <v>0</v>
      </c>
      <c r="G244" s="17" t="s">
        <v>68</v>
      </c>
      <c r="H244" s="80" t="b">
        <f aca="false">FALSE()</f>
        <v>0</v>
      </c>
      <c r="I244" s="80" t="b">
        <f aca="false">TRUE()</f>
        <v>1</v>
      </c>
      <c r="J244" s="81"/>
      <c r="K244" s="17" t="s">
        <v>225</v>
      </c>
      <c r="L244" s="17" t="s">
        <v>226</v>
      </c>
      <c r="M244" s="17"/>
      <c r="N244" s="17"/>
      <c r="O244" s="17"/>
      <c r="P244" s="44"/>
      <c r="Q244" s="44"/>
      <c r="R244" s="54" t="n">
        <f aca="false">INT(B244)</f>
        <v>46177</v>
      </c>
      <c r="S244" s="17" t="n">
        <f aca="false">IF(AND(I244=TRUE(),COUNTIFS($R$5:R244,R244,$I$5:I244,TRUE())=1),1,0)</f>
        <v>1</v>
      </c>
      <c r="T244" s="73"/>
      <c r="U244" s="44"/>
      <c r="V244" s="44"/>
      <c r="W244" s="44" t="n">
        <f aca="false">SUM(Z244:AE244)</f>
        <v>0</v>
      </c>
      <c r="X244" s="17" t="s">
        <v>108</v>
      </c>
      <c r="Y244" s="54" t="n">
        <v>46174</v>
      </c>
      <c r="Z244" s="44"/>
      <c r="AA244" s="44"/>
      <c r="AB244" s="44"/>
      <c r="AC244" s="44"/>
      <c r="AD244" s="44"/>
      <c r="AE244" s="44"/>
      <c r="AF244" s="17" t="n">
        <f aca="false">IF(AND(E244&gt;0,COUNTIFS($R$5:R244,R244,$E$5:E244,"&gt;0")=1),1,0)</f>
        <v>0</v>
      </c>
      <c r="AG244" s="17" t="n">
        <f aca="false">IF(AND(E244&gt;0,COUNTIFS($R$5:R244,R244,$K$5:K244,K244,$E$5:E244,"&gt;0")=1),1,0)</f>
        <v>0</v>
      </c>
    </row>
    <row r="245" customFormat="false" ht="15" hidden="false" customHeight="false" outlineLevel="0" collapsed="false">
      <c r="A245" s="14" t="n">
        <v>5196580841</v>
      </c>
      <c r="B245" s="77" t="n">
        <v>46177.0944907407</v>
      </c>
      <c r="C245" s="77" t="n">
        <v>46177.1422800926</v>
      </c>
      <c r="D245" s="38" t="n">
        <v>1.14694444444444</v>
      </c>
      <c r="E245" s="38" t="n">
        <v>25.6493</v>
      </c>
      <c r="F245" s="38" t="n">
        <v>26.462</v>
      </c>
      <c r="G245" s="14" t="s">
        <v>68</v>
      </c>
      <c r="H245" s="78" t="b">
        <f aca="false">TRUE()</f>
        <v>1</v>
      </c>
      <c r="I245" s="78" t="b">
        <f aca="false">TRUE()</f>
        <v>1</v>
      </c>
      <c r="J245" s="55" t="n">
        <v>1</v>
      </c>
      <c r="K245" s="14" t="s">
        <v>229</v>
      </c>
      <c r="L245" s="14" t="s">
        <v>226</v>
      </c>
      <c r="M245" s="14" t="s">
        <v>335</v>
      </c>
      <c r="N245" s="14" t="s">
        <v>336</v>
      </c>
      <c r="O245" s="14" t="s">
        <v>259</v>
      </c>
      <c r="P245" s="42" t="n">
        <v>20.15</v>
      </c>
      <c r="Q245" s="42" t="n">
        <v>16.7</v>
      </c>
      <c r="R245" s="53" t="n">
        <f aca="false">INT(B245)</f>
        <v>46177</v>
      </c>
      <c r="S245" s="14" t="n">
        <f aca="false">IF(AND(I245=TRUE(),COUNTIFS($R$5:R245,R245,$I$5:I245,TRUE())=1),1,0)</f>
        <v>0</v>
      </c>
      <c r="T245" s="71" t="n">
        <v>0.5</v>
      </c>
      <c r="U245" s="42" t="n">
        <v>18.55</v>
      </c>
      <c r="V245" s="42" t="n">
        <v>12.82465</v>
      </c>
      <c r="W245" s="42" t="n">
        <f aca="false">SUM(Z245:AE245)</f>
        <v>3.45</v>
      </c>
      <c r="X245" s="14" t="s">
        <v>108</v>
      </c>
      <c r="Y245" s="53" t="n">
        <v>46174</v>
      </c>
      <c r="Z245" s="42" t="n">
        <v>1.11</v>
      </c>
      <c r="AA245" s="42" t="n">
        <v>0</v>
      </c>
      <c r="AB245" s="42" t="n">
        <v>0</v>
      </c>
      <c r="AC245" s="42" t="n">
        <v>0</v>
      </c>
      <c r="AD245" s="42" t="n">
        <v>1.85</v>
      </c>
      <c r="AE245" s="42" t="n">
        <v>0.49</v>
      </c>
      <c r="AF245" s="14" t="n">
        <f aca="false">IF(AND(E245&gt;0,COUNTIFS($R$5:R245,R245,$E$5:E245,"&gt;0")=1),1,0)</f>
        <v>1</v>
      </c>
      <c r="AG245" s="14" t="n">
        <f aca="false">IF(AND(E245&gt;0,COUNTIFS($R$5:R245,R245,$K$5:K245,K245,$E$5:E245,"&gt;0")=1),1,0)</f>
        <v>1</v>
      </c>
    </row>
    <row r="246" customFormat="false" ht="15" hidden="false" customHeight="false" outlineLevel="0" collapsed="false">
      <c r="A246" s="17" t="n">
        <v>5202167201</v>
      </c>
      <c r="B246" s="79" t="n">
        <v>46178.8040972222</v>
      </c>
      <c r="C246" s="79" t="n">
        <v>46178.8042708333</v>
      </c>
      <c r="D246" s="39" t="n">
        <v>0.0041666666666666</v>
      </c>
      <c r="E246" s="39" t="n">
        <v>0</v>
      </c>
      <c r="F246" s="39" t="n">
        <v>0</v>
      </c>
      <c r="G246" s="17" t="s">
        <v>67</v>
      </c>
      <c r="H246" s="80" t="b">
        <f aca="false">FALSE()</f>
        <v>0</v>
      </c>
      <c r="I246" s="80" t="b">
        <f aca="false">FALSE()</f>
        <v>0</v>
      </c>
      <c r="J246" s="81"/>
      <c r="K246" s="17" t="s">
        <v>229</v>
      </c>
      <c r="L246" s="17" t="s">
        <v>226</v>
      </c>
      <c r="M246" s="17"/>
      <c r="N246" s="17"/>
      <c r="O246" s="17"/>
      <c r="P246" s="44"/>
      <c r="Q246" s="44"/>
      <c r="R246" s="54" t="n">
        <f aca="false">INT(B246)</f>
        <v>46178</v>
      </c>
      <c r="S246" s="17" t="n">
        <f aca="false">IF(AND(I246=TRUE(),COUNTIFS($R$5:R246,R246,$I$5:I246,TRUE())=1),1,0)</f>
        <v>0</v>
      </c>
      <c r="T246" s="73"/>
      <c r="U246" s="44"/>
      <c r="V246" s="44"/>
      <c r="W246" s="44" t="n">
        <f aca="false">SUM(Z246:AE246)</f>
        <v>0</v>
      </c>
      <c r="X246" s="17" t="s">
        <v>109</v>
      </c>
      <c r="Y246" s="54" t="n">
        <v>46174</v>
      </c>
      <c r="Z246" s="44"/>
      <c r="AA246" s="44"/>
      <c r="AB246" s="44"/>
      <c r="AC246" s="44"/>
      <c r="AD246" s="44"/>
      <c r="AE246" s="44"/>
      <c r="AF246" s="17" t="n">
        <f aca="false">IF(AND(E246&gt;0,COUNTIFS($R$5:R246,R246,$E$5:E246,"&gt;0")=1),1,0)</f>
        <v>0</v>
      </c>
      <c r="AG246" s="17" t="n">
        <f aca="false">IF(AND(E246&gt;0,COUNTIFS($R$5:R246,R246,$K$5:K246,K246,$E$5:E246,"&gt;0")=1),1,0)</f>
        <v>0</v>
      </c>
    </row>
    <row r="247" customFormat="false" ht="15" hidden="false" customHeight="false" outlineLevel="0" collapsed="false">
      <c r="A247" s="14" t="n">
        <v>5202182981</v>
      </c>
      <c r="B247" s="77" t="n">
        <v>46178.8075925926</v>
      </c>
      <c r="C247" s="77" t="n">
        <v>46178.8077199074</v>
      </c>
      <c r="D247" s="38" t="n">
        <v>0.0030555555555555</v>
      </c>
      <c r="E247" s="38" t="n">
        <v>0</v>
      </c>
      <c r="F247" s="38"/>
      <c r="G247" s="14" t="s">
        <v>67</v>
      </c>
      <c r="H247" s="78" t="b">
        <f aca="false">FALSE()</f>
        <v>0</v>
      </c>
      <c r="I247" s="78" t="b">
        <f aca="false">FALSE()</f>
        <v>0</v>
      </c>
      <c r="J247" s="55"/>
      <c r="K247" s="14" t="s">
        <v>225</v>
      </c>
      <c r="L247" s="14" t="s">
        <v>226</v>
      </c>
      <c r="M247" s="14"/>
      <c r="N247" s="14"/>
      <c r="O247" s="14"/>
      <c r="P247" s="42"/>
      <c r="Q247" s="42"/>
      <c r="R247" s="53" t="n">
        <f aca="false">INT(B247)</f>
        <v>46178</v>
      </c>
      <c r="S247" s="14" t="n">
        <f aca="false">IF(AND(I247=TRUE(),COUNTIFS($R$5:R247,R247,$I$5:I247,TRUE())=1),1,0)</f>
        <v>0</v>
      </c>
      <c r="T247" s="71"/>
      <c r="U247" s="42"/>
      <c r="V247" s="42"/>
      <c r="W247" s="42" t="n">
        <f aca="false">SUM(Z247:AE247)</f>
        <v>0</v>
      </c>
      <c r="X247" s="14" t="s">
        <v>109</v>
      </c>
      <c r="Y247" s="53" t="n">
        <v>46174</v>
      </c>
      <c r="Z247" s="42"/>
      <c r="AA247" s="42"/>
      <c r="AB247" s="42"/>
      <c r="AC247" s="42"/>
      <c r="AD247" s="42"/>
      <c r="AE247" s="42"/>
      <c r="AF247" s="14" t="n">
        <f aca="false">IF(AND(E247&gt;0,COUNTIFS($R$5:R247,R247,$E$5:E247,"&gt;0")=1),1,0)</f>
        <v>0</v>
      </c>
      <c r="AG247" s="14" t="n">
        <f aca="false">IF(AND(E247&gt;0,COUNTIFS($R$5:R247,R247,$K$5:K247,K247,$E$5:E247,"&gt;0")=1),1,0)</f>
        <v>0</v>
      </c>
    </row>
    <row r="248" customFormat="false" ht="15" hidden="false" customHeight="false" outlineLevel="0" collapsed="false">
      <c r="A248" s="17" t="n">
        <v>5203103321</v>
      </c>
      <c r="B248" s="79" t="n">
        <v>46179.0221759259</v>
      </c>
      <c r="C248" s="79" t="n">
        <v>46179.0221759259</v>
      </c>
      <c r="D248" s="39" t="n">
        <v>0</v>
      </c>
      <c r="E248" s="39" t="n">
        <v>0</v>
      </c>
      <c r="F248" s="39" t="n">
        <v>0</v>
      </c>
      <c r="G248" s="17" t="s">
        <v>68</v>
      </c>
      <c r="H248" s="80" t="b">
        <f aca="false">FALSE()</f>
        <v>0</v>
      </c>
      <c r="I248" s="80" t="b">
        <f aca="false">TRUE()</f>
        <v>1</v>
      </c>
      <c r="J248" s="81"/>
      <c r="K248" s="17" t="s">
        <v>229</v>
      </c>
      <c r="L248" s="17" t="s">
        <v>233</v>
      </c>
      <c r="M248" s="17"/>
      <c r="N248" s="17"/>
      <c r="O248" s="17"/>
      <c r="P248" s="44"/>
      <c r="Q248" s="44"/>
      <c r="R248" s="54" t="n">
        <f aca="false">INT(B248)</f>
        <v>46179</v>
      </c>
      <c r="S248" s="17" t="n">
        <f aca="false">IF(AND(I248=TRUE(),COUNTIFS($R$5:R248,R248,$I$5:I248,TRUE())=1),1,0)</f>
        <v>1</v>
      </c>
      <c r="T248" s="73"/>
      <c r="U248" s="44"/>
      <c r="V248" s="44"/>
      <c r="W248" s="44" t="n">
        <f aca="false">SUM(Z248:AE248)</f>
        <v>0</v>
      </c>
      <c r="X248" s="17" t="s">
        <v>110</v>
      </c>
      <c r="Y248" s="54" t="n">
        <v>46174</v>
      </c>
      <c r="Z248" s="44"/>
      <c r="AA248" s="44"/>
      <c r="AB248" s="44"/>
      <c r="AC248" s="44"/>
      <c r="AD248" s="44"/>
      <c r="AE248" s="44"/>
      <c r="AF248" s="17" t="n">
        <f aca="false">IF(AND(E248&gt;0,COUNTIFS($R$5:R248,R248,$E$5:E248,"&gt;0")=1),1,0)</f>
        <v>0</v>
      </c>
      <c r="AG248" s="17" t="n">
        <f aca="false">IF(AND(E248&gt;0,COUNTIFS($R$5:R248,R248,$K$5:K248,K248,$E$5:E248,"&gt;0")=1),1,0)</f>
        <v>0</v>
      </c>
    </row>
    <row r="249" customFormat="false" ht="15" hidden="false" customHeight="false" outlineLevel="0" collapsed="false">
      <c r="A249" s="14" t="n">
        <v>5203125761</v>
      </c>
      <c r="B249" s="77" t="n">
        <v>46179.0280787037</v>
      </c>
      <c r="C249" s="77" t="n">
        <v>46179.0624305556</v>
      </c>
      <c r="D249" s="38" t="n">
        <v>0.824444444444444</v>
      </c>
      <c r="E249" s="38" t="n">
        <v>28.4904</v>
      </c>
      <c r="F249" s="38" t="n">
        <v>36.636</v>
      </c>
      <c r="G249" s="14" t="s">
        <v>68</v>
      </c>
      <c r="H249" s="78" t="b">
        <f aca="false">TRUE()</f>
        <v>1</v>
      </c>
      <c r="I249" s="78" t="b">
        <f aca="false">TRUE()</f>
        <v>1</v>
      </c>
      <c r="J249" s="55" t="n">
        <v>1</v>
      </c>
      <c r="K249" s="14" t="s">
        <v>229</v>
      </c>
      <c r="L249" s="14" t="s">
        <v>226</v>
      </c>
      <c r="M249" s="14" t="s">
        <v>337</v>
      </c>
      <c r="N249" s="14"/>
      <c r="O249" s="14" t="s">
        <v>259</v>
      </c>
      <c r="P249" s="42" t="n">
        <v>19.48</v>
      </c>
      <c r="Q249" s="42" t="n">
        <v>16.53</v>
      </c>
      <c r="R249" s="53" t="n">
        <f aca="false">INT(B249)</f>
        <v>46179</v>
      </c>
      <c r="S249" s="14" t="n">
        <f aca="false">IF(AND(I249=TRUE(),COUNTIFS($R$5:R249,R249,$I$5:I249,TRUE())=1),1,0)</f>
        <v>0</v>
      </c>
      <c r="T249" s="71" t="n">
        <v>0.5</v>
      </c>
      <c r="U249" s="42" t="n">
        <v>18.37</v>
      </c>
      <c r="V249" s="42" t="n">
        <v>14.2452</v>
      </c>
      <c r="W249" s="42" t="n">
        <f aca="false">SUM(Z249:AE249)</f>
        <v>2.95</v>
      </c>
      <c r="X249" s="14" t="s">
        <v>110</v>
      </c>
      <c r="Y249" s="53" t="n">
        <v>46174</v>
      </c>
      <c r="Z249" s="42" t="n">
        <v>1.11</v>
      </c>
      <c r="AA249" s="42" t="n">
        <v>0</v>
      </c>
      <c r="AB249" s="42" t="n">
        <v>0</v>
      </c>
      <c r="AC249" s="42" t="n">
        <v>0</v>
      </c>
      <c r="AD249" s="42" t="n">
        <v>1.84</v>
      </c>
      <c r="AE249" s="42" t="n">
        <v>0</v>
      </c>
      <c r="AF249" s="14" t="n">
        <f aca="false">IF(AND(E249&gt;0,COUNTIFS($R$5:R249,R249,$E$5:E249,"&gt;0")=1),1,0)</f>
        <v>1</v>
      </c>
      <c r="AG249" s="14" t="n">
        <f aca="false">IF(AND(E249&gt;0,COUNTIFS($R$5:R249,R249,$K$5:K249,K249,$E$5:E249,"&gt;0")=1),1,0)</f>
        <v>1</v>
      </c>
    </row>
    <row r="250" customFormat="false" ht="15" hidden="false" customHeight="false" outlineLevel="0" collapsed="false">
      <c r="A250" s="17" t="n">
        <v>5206764511</v>
      </c>
      <c r="B250" s="79" t="n">
        <v>46180.5681828704</v>
      </c>
      <c r="C250" s="79" t="n">
        <v>46180.5681828704</v>
      </c>
      <c r="D250" s="39" t="n">
        <v>0</v>
      </c>
      <c r="E250" s="39" t="n">
        <v>0</v>
      </c>
      <c r="F250" s="39" t="n">
        <v>0</v>
      </c>
      <c r="G250" s="17" t="s">
        <v>66</v>
      </c>
      <c r="H250" s="80" t="b">
        <f aca="false">FALSE()</f>
        <v>0</v>
      </c>
      <c r="I250" s="80" t="b">
        <f aca="false">FALSE()</f>
        <v>0</v>
      </c>
      <c r="J250" s="81"/>
      <c r="K250" s="17" t="s">
        <v>229</v>
      </c>
      <c r="L250" s="17" t="s">
        <v>233</v>
      </c>
      <c r="M250" s="17"/>
      <c r="N250" s="17"/>
      <c r="O250" s="17"/>
      <c r="P250" s="44"/>
      <c r="Q250" s="44"/>
      <c r="R250" s="54" t="n">
        <f aca="false">INT(B250)</f>
        <v>46180</v>
      </c>
      <c r="S250" s="17" t="n">
        <f aca="false">IF(AND(I250=TRUE(),COUNTIFS($R$5:R250,R250,$I$5:I250,TRUE())=1),1,0)</f>
        <v>0</v>
      </c>
      <c r="T250" s="73"/>
      <c r="U250" s="44"/>
      <c r="V250" s="44"/>
      <c r="W250" s="44" t="n">
        <f aca="false">SUM(Z250:AE250)</f>
        <v>0</v>
      </c>
      <c r="X250" s="17" t="s">
        <v>111</v>
      </c>
      <c r="Y250" s="54" t="n">
        <v>46174</v>
      </c>
      <c r="Z250" s="44"/>
      <c r="AA250" s="44"/>
      <c r="AB250" s="44"/>
      <c r="AC250" s="44"/>
      <c r="AD250" s="44"/>
      <c r="AE250" s="44"/>
      <c r="AF250" s="17" t="n">
        <f aca="false">IF(AND(E250&gt;0,COUNTIFS($R$5:R250,R250,$E$5:E250,"&gt;0")=1),1,0)</f>
        <v>0</v>
      </c>
      <c r="AG250" s="17" t="n">
        <f aca="false">IF(AND(E250&gt;0,COUNTIFS($R$5:R250,R250,$K$5:K250,K250,$E$5:E250,"&gt;0")=1),1,0)</f>
        <v>0</v>
      </c>
    </row>
    <row r="251" customFormat="false" ht="15" hidden="false" customHeight="false" outlineLevel="0" collapsed="false">
      <c r="A251" s="14" t="n">
        <v>5206770341</v>
      </c>
      <c r="B251" s="77" t="n">
        <v>46180.5717939815</v>
      </c>
      <c r="C251" s="77" t="n">
        <v>46180.5938657407</v>
      </c>
      <c r="D251" s="38" t="n">
        <v>0.529722222222222</v>
      </c>
      <c r="E251" s="38" t="n">
        <v>15.1865</v>
      </c>
      <c r="F251" s="38" t="n">
        <v>30.527</v>
      </c>
      <c r="G251" s="14" t="s">
        <v>66</v>
      </c>
      <c r="H251" s="78" t="b">
        <f aca="false">TRUE()</f>
        <v>1</v>
      </c>
      <c r="I251" s="78" t="b">
        <f aca="false">FALSE()</f>
        <v>0</v>
      </c>
      <c r="J251" s="55" t="n">
        <v>1</v>
      </c>
      <c r="K251" s="14" t="s">
        <v>229</v>
      </c>
      <c r="L251" s="14" t="s">
        <v>226</v>
      </c>
      <c r="M251" s="14" t="s">
        <v>241</v>
      </c>
      <c r="N251" s="14"/>
      <c r="O251" s="14" t="s">
        <v>228</v>
      </c>
      <c r="P251" s="42" t="n">
        <v>11.33</v>
      </c>
      <c r="Q251" s="42" t="n">
        <v>9.2</v>
      </c>
      <c r="R251" s="53" t="n">
        <f aca="false">INT(B251)</f>
        <v>46180</v>
      </c>
      <c r="S251" s="14" t="n">
        <f aca="false">IF(AND(I251=TRUE(),COUNTIFS($R$5:R251,R251,$I$5:I251,TRUE())=1),1,0)</f>
        <v>0</v>
      </c>
      <c r="T251" s="71" t="n">
        <v>0.5</v>
      </c>
      <c r="U251" s="42" t="n">
        <v>10.22</v>
      </c>
      <c r="V251" s="42" t="n">
        <v>7.59325</v>
      </c>
      <c r="W251" s="42" t="n">
        <f aca="false">SUM(Z251:AE251)</f>
        <v>2.13</v>
      </c>
      <c r="X251" s="14" t="s">
        <v>111</v>
      </c>
      <c r="Y251" s="53" t="n">
        <v>46174</v>
      </c>
      <c r="Z251" s="42" t="n">
        <v>0.62</v>
      </c>
      <c r="AA251" s="42" t="n">
        <v>0</v>
      </c>
      <c r="AB251" s="42" t="n">
        <v>0</v>
      </c>
      <c r="AC251" s="42" t="n">
        <v>0</v>
      </c>
      <c r="AD251" s="42" t="n">
        <v>1.02</v>
      </c>
      <c r="AE251" s="42" t="n">
        <v>0.49</v>
      </c>
      <c r="AF251" s="14" t="n">
        <f aca="false">IF(AND(E251&gt;0,COUNTIFS($R$5:R251,R251,$E$5:E251,"&gt;0")=1),1,0)</f>
        <v>1</v>
      </c>
      <c r="AG251" s="14" t="n">
        <f aca="false">IF(AND(E251&gt;0,COUNTIFS($R$5:R251,R251,$K$5:K251,K251,$E$5:E251,"&gt;0")=1),1,0)</f>
        <v>1</v>
      </c>
    </row>
    <row r="252" customFormat="false" ht="15" hidden="false" customHeight="false" outlineLevel="0" collapsed="false">
      <c r="A252" s="17" t="n">
        <v>5207818951</v>
      </c>
      <c r="B252" s="79" t="n">
        <v>46180.9207986111</v>
      </c>
      <c r="C252" s="79" t="n">
        <v>46180.9630324074</v>
      </c>
      <c r="D252" s="39" t="n">
        <v>1.01361111111111</v>
      </c>
      <c r="E252" s="39" t="n">
        <v>40.2111</v>
      </c>
      <c r="F252" s="39" t="n">
        <v>40.634</v>
      </c>
      <c r="G252" s="17" t="s">
        <v>68</v>
      </c>
      <c r="H252" s="80" t="b">
        <f aca="false">TRUE()</f>
        <v>1</v>
      </c>
      <c r="I252" s="80" t="b">
        <f aca="false">TRUE()</f>
        <v>1</v>
      </c>
      <c r="J252" s="81" t="n">
        <v>1</v>
      </c>
      <c r="K252" s="17" t="s">
        <v>229</v>
      </c>
      <c r="L252" s="17" t="s">
        <v>233</v>
      </c>
      <c r="M252" s="17"/>
      <c r="N252" s="17"/>
      <c r="O252" s="17"/>
      <c r="P252" s="44" t="n">
        <v>27.68</v>
      </c>
      <c r="Q252" s="44" t="n">
        <v>22.66</v>
      </c>
      <c r="R252" s="54" t="n">
        <f aca="false">INT(B252)</f>
        <v>46180</v>
      </c>
      <c r="S252" s="17" t="n">
        <f aca="false">IF(AND(I252=TRUE(),COUNTIFS($R$5:R252,R252,$I$5:I252,TRUE())=1),1,0)</f>
        <v>1</v>
      </c>
      <c r="T252" s="73" t="n">
        <v>0.5</v>
      </c>
      <c r="U252" s="44" t="n">
        <v>25.18</v>
      </c>
      <c r="V252" s="44" t="n">
        <v>20.10555</v>
      </c>
      <c r="W252" s="44" t="n">
        <f aca="false">SUM(Z252:AE252)</f>
        <v>5.02</v>
      </c>
      <c r="X252" s="17" t="s">
        <v>111</v>
      </c>
      <c r="Y252" s="54" t="n">
        <v>46174</v>
      </c>
      <c r="Z252" s="44" t="n">
        <v>1.51</v>
      </c>
      <c r="AA252" s="44" t="n">
        <v>0</v>
      </c>
      <c r="AB252" s="44" t="n">
        <v>0</v>
      </c>
      <c r="AC252" s="44" t="n">
        <v>0</v>
      </c>
      <c r="AD252" s="44" t="n">
        <v>2.52</v>
      </c>
      <c r="AE252" s="44" t="n">
        <v>0.99</v>
      </c>
      <c r="AF252" s="17" t="n">
        <f aca="false">IF(AND(E252&gt;0,COUNTIFS($R$5:R252,R252,$E$5:E252,"&gt;0")=1),1,0)</f>
        <v>0</v>
      </c>
      <c r="AG252" s="17" t="n">
        <f aca="false">IF(AND(E252&gt;0,COUNTIFS($R$5:R252,R252,$K$5:K252,K252,$E$5:E252,"&gt;0")=1),1,0)</f>
        <v>0</v>
      </c>
    </row>
    <row r="253" customFormat="false" ht="15" hidden="false" customHeight="false" outlineLevel="0" collapsed="false">
      <c r="A253" s="14" t="n">
        <v>5214149161</v>
      </c>
      <c r="B253" s="77" t="n">
        <v>46182.8896064815</v>
      </c>
      <c r="C253" s="77" t="n">
        <v>46182.8897800926</v>
      </c>
      <c r="D253" s="38" t="n">
        <v>0.0041666666666666</v>
      </c>
      <c r="E253" s="38" t="n">
        <v>0</v>
      </c>
      <c r="F253" s="38" t="n">
        <v>0</v>
      </c>
      <c r="G253" s="14" t="s">
        <v>67</v>
      </c>
      <c r="H253" s="78" t="b">
        <f aca="false">FALSE()</f>
        <v>0</v>
      </c>
      <c r="I253" s="78" t="b">
        <f aca="false">FALSE()</f>
        <v>0</v>
      </c>
      <c r="J253" s="55"/>
      <c r="K253" s="14" t="s">
        <v>229</v>
      </c>
      <c r="L253" s="14" t="s">
        <v>226</v>
      </c>
      <c r="M253" s="14"/>
      <c r="N253" s="14"/>
      <c r="O253" s="14"/>
      <c r="P253" s="42"/>
      <c r="Q253" s="42"/>
      <c r="R253" s="53" t="n">
        <f aca="false">INT(B253)</f>
        <v>46182</v>
      </c>
      <c r="S253" s="14" t="n">
        <f aca="false">IF(AND(I253=TRUE(),COUNTIFS($R$5:R253,R253,$I$5:I253,TRUE())=1),1,0)</f>
        <v>0</v>
      </c>
      <c r="T253" s="71"/>
      <c r="U253" s="42"/>
      <c r="V253" s="42"/>
      <c r="W253" s="42" t="n">
        <f aca="false">SUM(Z253:AE253)</f>
        <v>0</v>
      </c>
      <c r="X253" s="14" t="s">
        <v>106</v>
      </c>
      <c r="Y253" s="53" t="n">
        <v>46181</v>
      </c>
      <c r="Z253" s="42"/>
      <c r="AA253" s="42"/>
      <c r="AB253" s="42"/>
      <c r="AC253" s="42"/>
      <c r="AD253" s="42"/>
      <c r="AE253" s="42"/>
      <c r="AF253" s="14" t="n">
        <f aca="false">IF(AND(E253&gt;0,COUNTIFS($R$5:R253,R253,$E$5:E253,"&gt;0")=1),1,0)</f>
        <v>0</v>
      </c>
      <c r="AG253" s="14" t="n">
        <f aca="false">IF(AND(E253&gt;0,COUNTIFS($R$5:R253,R253,$K$5:K253,K253,$E$5:E253,"&gt;0")=1),1,0)</f>
        <v>0</v>
      </c>
    </row>
    <row r="254" customFormat="false" ht="15" hidden="false" customHeight="false" outlineLevel="0" collapsed="false">
      <c r="A254" s="17" t="n">
        <v>5214152431</v>
      </c>
      <c r="B254" s="79" t="n">
        <v>46182.8903703704</v>
      </c>
      <c r="C254" s="79" t="n">
        <v>46182.9425578704</v>
      </c>
      <c r="D254" s="39" t="n">
        <v>1.2525</v>
      </c>
      <c r="E254" s="39" t="n">
        <v>40.2134</v>
      </c>
      <c r="F254" s="39" t="n">
        <v>40.013</v>
      </c>
      <c r="G254" s="17" t="s">
        <v>67</v>
      </c>
      <c r="H254" s="80" t="b">
        <f aca="false">TRUE()</f>
        <v>1</v>
      </c>
      <c r="I254" s="80" t="b">
        <f aca="false">FALSE()</f>
        <v>0</v>
      </c>
      <c r="J254" s="81" t="n">
        <v>1</v>
      </c>
      <c r="K254" s="17" t="s">
        <v>229</v>
      </c>
      <c r="L254" s="17" t="s">
        <v>226</v>
      </c>
      <c r="M254" s="17" t="s">
        <v>337</v>
      </c>
      <c r="N254" s="17"/>
      <c r="O254" s="17" t="s">
        <v>259</v>
      </c>
      <c r="P254" s="44" t="n">
        <v>27.96</v>
      </c>
      <c r="Q254" s="44" t="n">
        <v>23.73</v>
      </c>
      <c r="R254" s="54" t="n">
        <f aca="false">INT(B254)</f>
        <v>46182</v>
      </c>
      <c r="S254" s="17" t="n">
        <f aca="false">IF(AND(I254=TRUE(),COUNTIFS($R$5:R254,R254,$I$5:I254,TRUE())=1),1,0)</f>
        <v>0</v>
      </c>
      <c r="T254" s="73" t="n">
        <v>0.5</v>
      </c>
      <c r="U254" s="44" t="n">
        <v>26.37</v>
      </c>
      <c r="V254" s="44" t="n">
        <v>20.1067</v>
      </c>
      <c r="W254" s="44" t="n">
        <f aca="false">SUM(Z254:AE254)</f>
        <v>4.23</v>
      </c>
      <c r="X254" s="17" t="s">
        <v>106</v>
      </c>
      <c r="Y254" s="54" t="n">
        <v>46181</v>
      </c>
      <c r="Z254" s="44" t="n">
        <v>1.59</v>
      </c>
      <c r="AA254" s="44" t="n">
        <v>0</v>
      </c>
      <c r="AB254" s="44" t="n">
        <v>0</v>
      </c>
      <c r="AC254" s="44" t="n">
        <v>0</v>
      </c>
      <c r="AD254" s="44" t="n">
        <v>2.64</v>
      </c>
      <c r="AE254" s="44" t="n">
        <v>0</v>
      </c>
      <c r="AF254" s="17" t="n">
        <f aca="false">IF(AND(E254&gt;0,COUNTIFS($R$5:R254,R254,$E$5:E254,"&gt;0")=1),1,0)</f>
        <v>1</v>
      </c>
      <c r="AG254" s="17" t="n">
        <f aca="false">IF(AND(E254&gt;0,COUNTIFS($R$5:R254,R254,$K$5:K254,K254,$E$5:E254,"&gt;0")=1),1,0)</f>
        <v>1</v>
      </c>
    </row>
    <row r="255" customFormat="false" ht="15" hidden="false" customHeight="false" outlineLevel="0" collapsed="false">
      <c r="A255" s="14" t="n">
        <v>5220021311</v>
      </c>
      <c r="B255" s="77" t="n">
        <v>46184.6548148148</v>
      </c>
      <c r="C255" s="77" t="n">
        <v>46184.682349537</v>
      </c>
      <c r="D255" s="38" t="n">
        <v>0.660833333333333</v>
      </c>
      <c r="E255" s="38" t="n">
        <v>18.8299</v>
      </c>
      <c r="F255" s="38" t="n">
        <v>29.672</v>
      </c>
      <c r="G255" s="14" t="s">
        <v>66</v>
      </c>
      <c r="H255" s="78" t="b">
        <f aca="false">TRUE()</f>
        <v>1</v>
      </c>
      <c r="I255" s="78" t="b">
        <f aca="false">FALSE()</f>
        <v>0</v>
      </c>
      <c r="J255" s="55" t="n">
        <v>1</v>
      </c>
      <c r="K255" s="14" t="s">
        <v>229</v>
      </c>
      <c r="L255" s="14" t="s">
        <v>226</v>
      </c>
      <c r="M255" s="14" t="s">
        <v>338</v>
      </c>
      <c r="N255" s="14" t="s">
        <v>314</v>
      </c>
      <c r="O255" s="14" t="s">
        <v>251</v>
      </c>
      <c r="P255" s="42" t="n">
        <v>13.94</v>
      </c>
      <c r="Q255" s="42" t="n">
        <v>11.42</v>
      </c>
      <c r="R255" s="53" t="n">
        <f aca="false">INT(B255)</f>
        <v>46184</v>
      </c>
      <c r="S255" s="14" t="n">
        <f aca="false">IF(AND(I255=TRUE(),COUNTIFS($R$5:R255,R255,$I$5:I255,TRUE())=1),1,0)</f>
        <v>0</v>
      </c>
      <c r="T255" s="71" t="n">
        <v>0.5</v>
      </c>
      <c r="U255" s="42" t="n">
        <v>12.69</v>
      </c>
      <c r="V255" s="42" t="n">
        <v>9.41495</v>
      </c>
      <c r="W255" s="42" t="n">
        <f aca="false">SUM(Z255:AE255)</f>
        <v>2.52</v>
      </c>
      <c r="X255" s="14" t="s">
        <v>108</v>
      </c>
      <c r="Y255" s="53" t="n">
        <v>46181</v>
      </c>
      <c r="Z255" s="42" t="n">
        <v>0.76</v>
      </c>
      <c r="AA255" s="42" t="n">
        <v>0</v>
      </c>
      <c r="AB255" s="42" t="n">
        <v>0</v>
      </c>
      <c r="AC255" s="42" t="n">
        <v>0</v>
      </c>
      <c r="AD255" s="42" t="n">
        <v>1.27</v>
      </c>
      <c r="AE255" s="42" t="n">
        <v>0.49</v>
      </c>
      <c r="AF255" s="14" t="n">
        <f aca="false">IF(AND(E255&gt;0,COUNTIFS($R$5:R255,R255,$E$5:E255,"&gt;0")=1),1,0)</f>
        <v>1</v>
      </c>
      <c r="AG255" s="14" t="n">
        <f aca="false">IF(AND(E255&gt;0,COUNTIFS($R$5:R255,R255,$K$5:K255,K255,$E$5:E255,"&gt;0")=1),1,0)</f>
        <v>1</v>
      </c>
    </row>
    <row r="256" customFormat="false" ht="15" hidden="false" customHeight="false" outlineLevel="0" collapsed="false">
      <c r="A256" s="17" t="n">
        <v>5220527731</v>
      </c>
      <c r="B256" s="79" t="n">
        <v>46184.7665740741</v>
      </c>
      <c r="C256" s="79" t="n">
        <v>46184.7669444445</v>
      </c>
      <c r="D256" s="39" t="n">
        <v>0.0088888888888888</v>
      </c>
      <c r="E256" s="39" t="n">
        <v>0.0698</v>
      </c>
      <c r="F256" s="39" t="n">
        <v>31.267</v>
      </c>
      <c r="G256" s="17" t="s">
        <v>67</v>
      </c>
      <c r="H256" s="80" t="b">
        <f aca="false">TRUE()</f>
        <v>1</v>
      </c>
      <c r="I256" s="80" t="b">
        <f aca="false">FALSE()</f>
        <v>0</v>
      </c>
      <c r="J256" s="81"/>
      <c r="K256" s="17" t="s">
        <v>229</v>
      </c>
      <c r="L256" s="17" t="s">
        <v>233</v>
      </c>
      <c r="M256" s="17"/>
      <c r="N256" s="17"/>
      <c r="O256" s="17"/>
      <c r="P256" s="44" t="n">
        <v>0.03</v>
      </c>
      <c r="Q256" s="44" t="n">
        <v>0.03</v>
      </c>
      <c r="R256" s="54" t="n">
        <f aca="false">INT(B256)</f>
        <v>46184</v>
      </c>
      <c r="S256" s="17" t="n">
        <f aca="false">IF(AND(I256=TRUE(),COUNTIFS($R$5:R256,R256,$I$5:I256,TRUE())=1),1,0)</f>
        <v>0</v>
      </c>
      <c r="T256" s="73" t="n">
        <v>0.5</v>
      </c>
      <c r="U256" s="44" t="n">
        <v>0.03</v>
      </c>
      <c r="V256" s="44" t="n">
        <v>0.0349</v>
      </c>
      <c r="W256" s="44" t="n">
        <f aca="false">SUM(Z256:AE256)</f>
        <v>0</v>
      </c>
      <c r="X256" s="17" t="s">
        <v>108</v>
      </c>
      <c r="Y256" s="54" t="n">
        <v>46181</v>
      </c>
      <c r="Z256" s="44" t="n">
        <v>0</v>
      </c>
      <c r="AA256" s="44" t="n">
        <v>0</v>
      </c>
      <c r="AB256" s="44" t="n">
        <v>0</v>
      </c>
      <c r="AC256" s="44" t="n">
        <v>0</v>
      </c>
      <c r="AD256" s="44" t="n">
        <v>0</v>
      </c>
      <c r="AE256" s="44" t="n">
        <v>0</v>
      </c>
      <c r="AF256" s="17" t="n">
        <f aca="false">IF(AND(E256&gt;0,COUNTIFS($R$5:R256,R256,$E$5:E256,"&gt;0")=1),1,0)</f>
        <v>0</v>
      </c>
      <c r="AG256" s="17" t="n">
        <f aca="false">IF(AND(E256&gt;0,COUNTIFS($R$5:R256,R256,$K$5:K256,K256,$E$5:E256,"&gt;0")=1),1,0)</f>
        <v>0</v>
      </c>
    </row>
    <row r="257" customFormat="false" ht="15" hidden="false" customHeight="false" outlineLevel="0" collapsed="false">
      <c r="A257" s="14" t="n">
        <v>5220532091</v>
      </c>
      <c r="B257" s="77" t="n">
        <v>46184.7677199074</v>
      </c>
      <c r="C257" s="77" t="n">
        <v>46184.7846180556</v>
      </c>
      <c r="D257" s="38" t="n">
        <v>0.405555555555556</v>
      </c>
      <c r="E257" s="38" t="n">
        <v>15.9549</v>
      </c>
      <c r="F257" s="38" t="n">
        <v>40.541</v>
      </c>
      <c r="G257" s="14" t="s">
        <v>67</v>
      </c>
      <c r="H257" s="78" t="b">
        <f aca="false">TRUE()</f>
        <v>1</v>
      </c>
      <c r="I257" s="78" t="b">
        <f aca="false">FALSE()</f>
        <v>0</v>
      </c>
      <c r="J257" s="55" t="n">
        <v>1</v>
      </c>
      <c r="K257" s="14" t="s">
        <v>229</v>
      </c>
      <c r="L257" s="14" t="s">
        <v>233</v>
      </c>
      <c r="M257" s="14"/>
      <c r="N257" s="14"/>
      <c r="O257" s="14"/>
      <c r="P257" s="42" t="n">
        <v>11.6</v>
      </c>
      <c r="Q257" s="42" t="n">
        <v>9.01</v>
      </c>
      <c r="R257" s="53" t="n">
        <f aca="false">INT(B257)</f>
        <v>46184</v>
      </c>
      <c r="S257" s="14" t="n">
        <f aca="false">IF(AND(I257=TRUE(),COUNTIFS($R$5:R257,R257,$I$5:I257,TRUE())=1),1,0)</f>
        <v>0</v>
      </c>
      <c r="T257" s="71" t="n">
        <v>0.5</v>
      </c>
      <c r="U257" s="42" t="n">
        <v>10.01</v>
      </c>
      <c r="V257" s="42" t="n">
        <v>7.97745</v>
      </c>
      <c r="W257" s="42" t="n">
        <f aca="false">SUM(Z257:AE257)</f>
        <v>2.59</v>
      </c>
      <c r="X257" s="14" t="s">
        <v>108</v>
      </c>
      <c r="Y257" s="53" t="n">
        <v>46181</v>
      </c>
      <c r="Z257" s="42" t="n">
        <v>0.6</v>
      </c>
      <c r="AA257" s="42" t="n">
        <v>0</v>
      </c>
      <c r="AB257" s="42" t="n">
        <v>0</v>
      </c>
      <c r="AC257" s="42" t="n">
        <v>0</v>
      </c>
      <c r="AD257" s="42" t="n">
        <v>1</v>
      </c>
      <c r="AE257" s="42" t="n">
        <v>0.99</v>
      </c>
      <c r="AF257" s="14" t="n">
        <f aca="false">IF(AND(E257&gt;0,COUNTIFS($R$5:R257,R257,$E$5:E257,"&gt;0")=1),1,0)</f>
        <v>0</v>
      </c>
      <c r="AG257" s="14" t="n">
        <f aca="false">IF(AND(E257&gt;0,COUNTIFS($R$5:R257,R257,$K$5:K257,K257,$E$5:E257,"&gt;0")=1),1,0)</f>
        <v>0</v>
      </c>
    </row>
    <row r="258" customFormat="false" ht="15" hidden="false" customHeight="false" outlineLevel="0" collapsed="false">
      <c r="A258" s="17" t="n">
        <v>5220819931</v>
      </c>
      <c r="B258" s="79" t="n">
        <v>46184.832962963</v>
      </c>
      <c r="C258" s="79" t="n">
        <v>46184.8509490741</v>
      </c>
      <c r="D258" s="39" t="n">
        <v>0.431666666666667</v>
      </c>
      <c r="E258" s="39" t="n">
        <v>15.5354</v>
      </c>
      <c r="F258" s="39" t="n">
        <v>38.662</v>
      </c>
      <c r="G258" s="17" t="s">
        <v>67</v>
      </c>
      <c r="H258" s="80" t="b">
        <f aca="false">TRUE()</f>
        <v>1</v>
      </c>
      <c r="I258" s="80" t="b">
        <f aca="false">FALSE()</f>
        <v>0</v>
      </c>
      <c r="J258" s="81" t="n">
        <v>0.965665236051502</v>
      </c>
      <c r="K258" s="17" t="s">
        <v>229</v>
      </c>
      <c r="L258" s="17" t="s">
        <v>226</v>
      </c>
      <c r="M258" s="17" t="s">
        <v>339</v>
      </c>
      <c r="N258" s="17" t="s">
        <v>340</v>
      </c>
      <c r="O258" s="17" t="s">
        <v>341</v>
      </c>
      <c r="P258" s="44" t="n">
        <v>11.01</v>
      </c>
      <c r="Q258" s="44" t="n">
        <v>8.93</v>
      </c>
      <c r="R258" s="54" t="n">
        <f aca="false">INT(B258)</f>
        <v>46184</v>
      </c>
      <c r="S258" s="17" t="n">
        <f aca="false">IF(AND(I258=TRUE(),COUNTIFS($R$5:R258,R258,$I$5:I258,TRUE())=1),1,0)</f>
        <v>0</v>
      </c>
      <c r="T258" s="73" t="n">
        <v>0.5</v>
      </c>
      <c r="U258" s="44" t="n">
        <v>9.92</v>
      </c>
      <c r="V258" s="44" t="n">
        <v>7.7677</v>
      </c>
      <c r="W258" s="44" t="n">
        <f aca="false">SUM(Z258:AE258)</f>
        <v>2.08</v>
      </c>
      <c r="X258" s="17" t="s">
        <v>108</v>
      </c>
      <c r="Y258" s="54" t="n">
        <v>46181</v>
      </c>
      <c r="Z258" s="44" t="n">
        <v>0.6</v>
      </c>
      <c r="AA258" s="44" t="n">
        <v>0</v>
      </c>
      <c r="AB258" s="44" t="n">
        <v>0</v>
      </c>
      <c r="AC258" s="44" t="n">
        <v>0</v>
      </c>
      <c r="AD258" s="44" t="n">
        <v>0.99</v>
      </c>
      <c r="AE258" s="44" t="n">
        <v>0.49</v>
      </c>
      <c r="AF258" s="17" t="n">
        <f aca="false">IF(AND(E258&gt;0,COUNTIFS($R$5:R258,R258,$E$5:E258,"&gt;0")=1),1,0)</f>
        <v>0</v>
      </c>
      <c r="AG258" s="17" t="n">
        <f aca="false">IF(AND(E258&gt;0,COUNTIFS($R$5:R258,R258,$K$5:K258,K258,$E$5:E258,"&gt;0")=1),1,0)</f>
        <v>0</v>
      </c>
    </row>
    <row r="259" customFormat="false" ht="15" hidden="false" customHeight="false" outlineLevel="0" collapsed="false">
      <c r="A259" s="14" t="n">
        <v>5223513971</v>
      </c>
      <c r="B259" s="77" t="n">
        <v>46185.6721990741</v>
      </c>
      <c r="C259" s="77" t="n">
        <v>46185.714375</v>
      </c>
      <c r="D259" s="38" t="n">
        <v>1.01222222222222</v>
      </c>
      <c r="E259" s="38" t="n">
        <v>37.6015</v>
      </c>
      <c r="F259" s="38" t="n">
        <v>40.582</v>
      </c>
      <c r="G259" s="14" t="s">
        <v>66</v>
      </c>
      <c r="H259" s="78" t="b">
        <f aca="false">TRUE()</f>
        <v>1</v>
      </c>
      <c r="I259" s="78" t="b">
        <f aca="false">FALSE()</f>
        <v>0</v>
      </c>
      <c r="J259" s="55" t="n">
        <v>1</v>
      </c>
      <c r="K259" s="14" t="s">
        <v>229</v>
      </c>
      <c r="L259" s="14" t="s">
        <v>226</v>
      </c>
      <c r="M259" s="14" t="s">
        <v>342</v>
      </c>
      <c r="N259" s="14"/>
      <c r="O259" s="14" t="s">
        <v>232</v>
      </c>
      <c r="P259" s="42" t="n">
        <v>25.78</v>
      </c>
      <c r="Q259" s="42" t="n">
        <v>21.47</v>
      </c>
      <c r="R259" s="53" t="n">
        <f aca="false">INT(B259)</f>
        <v>46185</v>
      </c>
      <c r="S259" s="14" t="n">
        <f aca="false">IF(AND(I259=TRUE(),COUNTIFS($R$5:R259,R259,$I$5:I259,TRUE())=1),1,0)</f>
        <v>0</v>
      </c>
      <c r="T259" s="71" t="n">
        <v>0.5</v>
      </c>
      <c r="U259" s="42" t="n">
        <v>23.86</v>
      </c>
      <c r="V259" s="42" t="n">
        <v>18.80075</v>
      </c>
      <c r="W259" s="42" t="n">
        <f aca="false">SUM(Z259:AE259)</f>
        <v>4.31</v>
      </c>
      <c r="X259" s="14" t="s">
        <v>109</v>
      </c>
      <c r="Y259" s="53" t="n">
        <v>46181</v>
      </c>
      <c r="Z259" s="42" t="n">
        <v>1.43</v>
      </c>
      <c r="AA259" s="42" t="n">
        <v>0</v>
      </c>
      <c r="AB259" s="42" t="n">
        <v>0</v>
      </c>
      <c r="AC259" s="42" t="n">
        <v>0</v>
      </c>
      <c r="AD259" s="42" t="n">
        <v>2.39</v>
      </c>
      <c r="AE259" s="42" t="n">
        <v>0.49</v>
      </c>
      <c r="AF259" s="14" t="n">
        <f aca="false">IF(AND(E259&gt;0,COUNTIFS($R$5:R259,R259,$E$5:E259,"&gt;0")=1),1,0)</f>
        <v>1</v>
      </c>
      <c r="AG259" s="14" t="n">
        <f aca="false">IF(AND(E259&gt;0,COUNTIFS($R$5:R259,R259,$K$5:K259,K259,$E$5:E259,"&gt;0")=1),1,0)</f>
        <v>1</v>
      </c>
    </row>
    <row r="260" customFormat="false" ht="15" hidden="false" customHeight="false" outlineLevel="0" collapsed="false">
      <c r="A260" s="17" t="n">
        <v>5224570431</v>
      </c>
      <c r="B260" s="79" t="n">
        <v>46185.9173148148</v>
      </c>
      <c r="C260" s="79" t="n">
        <v>46185.9467592593</v>
      </c>
      <c r="D260" s="39" t="n">
        <v>0.706666666666667</v>
      </c>
      <c r="E260" s="39" t="n">
        <v>20.8099</v>
      </c>
      <c r="F260" s="39" t="n">
        <v>31.205</v>
      </c>
      <c r="G260" s="17" t="s">
        <v>68</v>
      </c>
      <c r="H260" s="80" t="b">
        <f aca="false">TRUE()</f>
        <v>1</v>
      </c>
      <c r="I260" s="80" t="b">
        <f aca="false">TRUE()</f>
        <v>1</v>
      </c>
      <c r="J260" s="81" t="n">
        <v>1</v>
      </c>
      <c r="K260" s="17" t="s">
        <v>229</v>
      </c>
      <c r="L260" s="17" t="s">
        <v>226</v>
      </c>
      <c r="M260" s="17" t="s">
        <v>241</v>
      </c>
      <c r="N260" s="17"/>
      <c r="O260" s="17" t="s">
        <v>228</v>
      </c>
      <c r="P260" s="44" t="n">
        <v>15.22</v>
      </c>
      <c r="Q260" s="44" t="n">
        <v>12.51</v>
      </c>
      <c r="R260" s="54" t="n">
        <f aca="false">INT(B260)</f>
        <v>46185</v>
      </c>
      <c r="S260" s="17" t="n">
        <f aca="false">IF(AND(I260=TRUE(),COUNTIFS($R$5:R260,R260,$I$5:I260,TRUE())=1),1,0)</f>
        <v>1</v>
      </c>
      <c r="T260" s="73" t="n">
        <v>0.5</v>
      </c>
      <c r="U260" s="44" t="n">
        <v>13.9</v>
      </c>
      <c r="V260" s="44" t="n">
        <v>10.40495</v>
      </c>
      <c r="W260" s="44" t="n">
        <f aca="false">SUM(Z260:AE260)</f>
        <v>2.71</v>
      </c>
      <c r="X260" s="17" t="s">
        <v>109</v>
      </c>
      <c r="Y260" s="54" t="n">
        <v>46181</v>
      </c>
      <c r="Z260" s="44" t="n">
        <v>0.83</v>
      </c>
      <c r="AA260" s="44" t="n">
        <v>0</v>
      </c>
      <c r="AB260" s="44" t="n">
        <v>0</v>
      </c>
      <c r="AC260" s="44" t="n">
        <v>0</v>
      </c>
      <c r="AD260" s="44" t="n">
        <v>1.39</v>
      </c>
      <c r="AE260" s="44" t="n">
        <v>0.49</v>
      </c>
      <c r="AF260" s="17" t="n">
        <f aca="false">IF(AND(E260&gt;0,COUNTIFS($R$5:R260,R260,$E$5:E260,"&gt;0")=1),1,0)</f>
        <v>0</v>
      </c>
      <c r="AG260" s="17" t="n">
        <f aca="false">IF(AND(E260&gt;0,COUNTIFS($R$5:R260,R260,$K$5:K260,K260,$E$5:E260,"&gt;0")=1),1,0)</f>
        <v>0</v>
      </c>
    </row>
    <row r="261" customFormat="false" ht="15" hidden="false" customHeight="false" outlineLevel="0" collapsed="false">
      <c r="A261" s="14" t="n">
        <v>5226248341</v>
      </c>
      <c r="B261" s="77" t="n">
        <v>46186.6043634259</v>
      </c>
      <c r="C261" s="77" t="n">
        <v>46186.6345023148</v>
      </c>
      <c r="D261" s="38" t="n">
        <v>0.723333333333333</v>
      </c>
      <c r="E261" s="38" t="n">
        <v>27.5466</v>
      </c>
      <c r="F261" s="38" t="n">
        <v>40.198</v>
      </c>
      <c r="G261" s="14" t="s">
        <v>66</v>
      </c>
      <c r="H261" s="78" t="b">
        <f aca="false">TRUE()</f>
        <v>1</v>
      </c>
      <c r="I261" s="78" t="b">
        <f aca="false">FALSE()</f>
        <v>0</v>
      </c>
      <c r="J261" s="55" t="n">
        <v>1</v>
      </c>
      <c r="K261" s="14" t="s">
        <v>229</v>
      </c>
      <c r="L261" s="14" t="s">
        <v>226</v>
      </c>
      <c r="M261" s="14" t="s">
        <v>254</v>
      </c>
      <c r="N261" s="14" t="s">
        <v>235</v>
      </c>
      <c r="O261" s="14" t="s">
        <v>228</v>
      </c>
      <c r="P261" s="42" t="n">
        <v>18.42</v>
      </c>
      <c r="Q261" s="42" t="n">
        <v>15.63</v>
      </c>
      <c r="R261" s="53" t="n">
        <f aca="false">INT(B261)</f>
        <v>46186</v>
      </c>
      <c r="S261" s="14" t="n">
        <f aca="false">IF(AND(I261=TRUE(),COUNTIFS($R$5:R261,R261,$I$5:I261,TRUE())=1),1,0)</f>
        <v>0</v>
      </c>
      <c r="T261" s="71" t="n">
        <v>0.5</v>
      </c>
      <c r="U261" s="42" t="n">
        <v>17.37</v>
      </c>
      <c r="V261" s="42" t="n">
        <v>13.7733</v>
      </c>
      <c r="W261" s="42" t="n">
        <f aca="false">SUM(Z261:AE261)</f>
        <v>2.79</v>
      </c>
      <c r="X261" s="14" t="s">
        <v>110</v>
      </c>
      <c r="Y261" s="53" t="n">
        <v>46181</v>
      </c>
      <c r="Z261" s="42" t="n">
        <v>1.05</v>
      </c>
      <c r="AA261" s="42" t="n">
        <v>0</v>
      </c>
      <c r="AB261" s="42" t="n">
        <v>0</v>
      </c>
      <c r="AC261" s="42" t="n">
        <v>0</v>
      </c>
      <c r="AD261" s="42" t="n">
        <v>1.74</v>
      </c>
      <c r="AE261" s="42" t="n">
        <v>0</v>
      </c>
      <c r="AF261" s="14" t="n">
        <f aca="false">IF(AND(E261&gt;0,COUNTIFS($R$5:R261,R261,$E$5:E261,"&gt;0")=1),1,0)</f>
        <v>1</v>
      </c>
      <c r="AG261" s="14" t="n">
        <f aca="false">IF(AND(E261&gt;0,COUNTIFS($R$5:R261,R261,$K$5:K261,K261,$E$5:E261,"&gt;0")=1),1,0)</f>
        <v>1</v>
      </c>
    </row>
    <row r="262" customFormat="false" ht="15" hidden="false" customHeight="false" outlineLevel="0" collapsed="false">
      <c r="A262" s="17" t="n">
        <v>5228900601</v>
      </c>
      <c r="B262" s="79" t="n">
        <v>46187.7034375</v>
      </c>
      <c r="C262" s="79" t="n">
        <v>46187.7061689815</v>
      </c>
      <c r="D262" s="39" t="n">
        <v>0.0655555555555555</v>
      </c>
      <c r="E262" s="39" t="n">
        <v>0</v>
      </c>
      <c r="F262" s="39" t="n">
        <v>0</v>
      </c>
      <c r="G262" s="17" t="s">
        <v>66</v>
      </c>
      <c r="H262" s="80" t="b">
        <f aca="false">FALSE()</f>
        <v>0</v>
      </c>
      <c r="I262" s="80" t="b">
        <f aca="false">FALSE()</f>
        <v>0</v>
      </c>
      <c r="J262" s="81"/>
      <c r="K262" s="17" t="s">
        <v>229</v>
      </c>
      <c r="L262" s="17" t="s">
        <v>226</v>
      </c>
      <c r="M262" s="17" t="s">
        <v>343</v>
      </c>
      <c r="N262" s="17"/>
      <c r="O262" s="17" t="s">
        <v>232</v>
      </c>
      <c r="P262" s="44" t="n">
        <v>0.25</v>
      </c>
      <c r="Q262" s="44" t="n">
        <v>0.22</v>
      </c>
      <c r="R262" s="54" t="n">
        <f aca="false">INT(B262)</f>
        <v>46187</v>
      </c>
      <c r="S262" s="17" t="n">
        <f aca="false">IF(AND(I262=TRUE(),COUNTIFS($R$5:R262,R262,$I$5:I262,TRUE())=1),1,0)</f>
        <v>0</v>
      </c>
      <c r="T262" s="73" t="n">
        <v>0.5</v>
      </c>
      <c r="U262" s="44" t="n">
        <v>0.24</v>
      </c>
      <c r="V262" s="44" t="n">
        <v>0</v>
      </c>
      <c r="W262" s="44" t="n">
        <f aca="false">SUM(Z262:AE262)</f>
        <v>0.03</v>
      </c>
      <c r="X262" s="17" t="s">
        <v>111</v>
      </c>
      <c r="Y262" s="54" t="n">
        <v>46181</v>
      </c>
      <c r="Z262" s="44" t="n">
        <v>0.01</v>
      </c>
      <c r="AA262" s="44" t="n">
        <v>0</v>
      </c>
      <c r="AB262" s="44" t="n">
        <v>0</v>
      </c>
      <c r="AC262" s="44" t="n">
        <v>0</v>
      </c>
      <c r="AD262" s="44" t="n">
        <v>0.02</v>
      </c>
      <c r="AE262" s="44" t="n">
        <v>0</v>
      </c>
      <c r="AF262" s="17" t="n">
        <f aca="false">IF(AND(E262&gt;0,COUNTIFS($R$5:R262,R262,$E$5:E262,"&gt;0")=1),1,0)</f>
        <v>0</v>
      </c>
      <c r="AG262" s="17" t="n">
        <f aca="false">IF(AND(E262&gt;0,COUNTIFS($R$5:R262,R262,$K$5:K262,K262,$E$5:E262,"&gt;0")=1),1,0)</f>
        <v>0</v>
      </c>
    </row>
    <row r="263" customFormat="false" ht="15" hidden="false" customHeight="false" outlineLevel="0" collapsed="false">
      <c r="A263" s="14" t="n">
        <v>5229836451</v>
      </c>
      <c r="B263" s="77" t="n">
        <v>46187.9803587963</v>
      </c>
      <c r="C263" s="77" t="n">
        <v>46188.0138194444</v>
      </c>
      <c r="D263" s="38" t="n">
        <v>0.803055555555556</v>
      </c>
      <c r="E263" s="38" t="n">
        <v>16.1638</v>
      </c>
      <c r="F263" s="38" t="n">
        <v>39.881</v>
      </c>
      <c r="G263" s="14" t="s">
        <v>68</v>
      </c>
      <c r="H263" s="78" t="b">
        <f aca="false">TRUE()</f>
        <v>1</v>
      </c>
      <c r="I263" s="78" t="b">
        <f aca="false">TRUE()</f>
        <v>1</v>
      </c>
      <c r="J263" s="55" t="n">
        <v>1</v>
      </c>
      <c r="K263" s="14" t="s">
        <v>229</v>
      </c>
      <c r="L263" s="14" t="s">
        <v>233</v>
      </c>
      <c r="M263" s="14"/>
      <c r="N263" s="14"/>
      <c r="O263" s="14"/>
      <c r="P263" s="42" t="n">
        <v>13.78</v>
      </c>
      <c r="Q263" s="42" t="n">
        <v>10.86</v>
      </c>
      <c r="R263" s="53" t="n">
        <f aca="false">INT(B263)</f>
        <v>46187</v>
      </c>
      <c r="S263" s="14" t="n">
        <f aca="false">IF(AND(I263=TRUE(),COUNTIFS($R$5:R263,R263,$I$5:I263,TRUE())=1),1,0)</f>
        <v>1</v>
      </c>
      <c r="T263" s="71" t="n">
        <v>0.5</v>
      </c>
      <c r="U263" s="42" t="n">
        <v>12.07</v>
      </c>
      <c r="V263" s="42" t="n">
        <v>8.0819</v>
      </c>
      <c r="W263" s="42" t="n">
        <f aca="false">SUM(Z263:AE263)</f>
        <v>2.92</v>
      </c>
      <c r="X263" s="14" t="s">
        <v>111</v>
      </c>
      <c r="Y263" s="53" t="n">
        <v>46181</v>
      </c>
      <c r="Z263" s="42" t="n">
        <v>0.72</v>
      </c>
      <c r="AA263" s="42" t="n">
        <v>0</v>
      </c>
      <c r="AB263" s="42" t="n">
        <v>0</v>
      </c>
      <c r="AC263" s="42" t="n">
        <v>0</v>
      </c>
      <c r="AD263" s="42" t="n">
        <v>1.21</v>
      </c>
      <c r="AE263" s="42" t="n">
        <v>0.99</v>
      </c>
      <c r="AF263" s="14" t="n">
        <f aca="false">IF(AND(E263&gt;0,COUNTIFS($R$5:R263,R263,$E$5:E263,"&gt;0")=1),1,0)</f>
        <v>1</v>
      </c>
      <c r="AG263" s="14" t="n">
        <f aca="false">IF(AND(E263&gt;0,COUNTIFS($R$5:R263,R263,$K$5:K263,K263,$E$5:E263,"&gt;0")=1),1,0)</f>
        <v>1</v>
      </c>
    </row>
    <row r="264" customFormat="false" ht="15" hidden="false" customHeight="false" outlineLevel="0" collapsed="false">
      <c r="A264" s="17" t="n">
        <v>5232460471</v>
      </c>
      <c r="B264" s="79" t="n">
        <v>46188.8676388889</v>
      </c>
      <c r="C264" s="79" t="n">
        <v>46188.9330787037</v>
      </c>
      <c r="D264" s="39" t="n">
        <v>1.57055555555556</v>
      </c>
      <c r="E264" s="39" t="n">
        <v>46.2622</v>
      </c>
      <c r="F264" s="39" t="n">
        <v>31.897</v>
      </c>
      <c r="G264" s="17" t="s">
        <v>67</v>
      </c>
      <c r="H264" s="80" t="b">
        <f aca="false">TRUE()</f>
        <v>1</v>
      </c>
      <c r="I264" s="80" t="b">
        <f aca="false">FALSE()</f>
        <v>0</v>
      </c>
      <c r="J264" s="81" t="n">
        <v>1</v>
      </c>
      <c r="K264" s="17" t="s">
        <v>229</v>
      </c>
      <c r="L264" s="17" t="s">
        <v>233</v>
      </c>
      <c r="M264" s="17"/>
      <c r="N264" s="17"/>
      <c r="O264" s="17"/>
      <c r="P264" s="44" t="n">
        <v>33.8</v>
      </c>
      <c r="Q264" s="44" t="n">
        <v>27.86</v>
      </c>
      <c r="R264" s="54" t="n">
        <f aca="false">INT(B264)</f>
        <v>46188</v>
      </c>
      <c r="S264" s="17" t="n">
        <f aca="false">IF(AND(I264=TRUE(),COUNTIFS($R$5:R264,R264,$I$5:I264,TRUE())=1),1,0)</f>
        <v>0</v>
      </c>
      <c r="T264" s="73" t="n">
        <v>0.5</v>
      </c>
      <c r="U264" s="44" t="n">
        <v>30.95</v>
      </c>
      <c r="V264" s="44" t="n">
        <v>23.1311</v>
      </c>
      <c r="W264" s="44" t="n">
        <f aca="false">SUM(Z264:AE264)</f>
        <v>5.94</v>
      </c>
      <c r="X264" s="17" t="s">
        <v>105</v>
      </c>
      <c r="Y264" s="54" t="n">
        <v>46188</v>
      </c>
      <c r="Z264" s="44" t="n">
        <v>1.86</v>
      </c>
      <c r="AA264" s="44" t="n">
        <v>0</v>
      </c>
      <c r="AB264" s="44" t="n">
        <v>0</v>
      </c>
      <c r="AC264" s="44" t="n">
        <v>0</v>
      </c>
      <c r="AD264" s="44" t="n">
        <v>3.09</v>
      </c>
      <c r="AE264" s="44" t="n">
        <v>0.99</v>
      </c>
      <c r="AF264" s="17" t="n">
        <f aca="false">IF(AND(E264&gt;0,COUNTIFS($R$5:R264,R264,$E$5:E264,"&gt;0")=1),1,0)</f>
        <v>1</v>
      </c>
      <c r="AG264" s="17" t="n">
        <f aca="false">IF(AND(E264&gt;0,COUNTIFS($R$5:R264,R264,$K$5:K264,K264,$E$5:E264,"&gt;0")=1),1,0)</f>
        <v>1</v>
      </c>
    </row>
    <row r="265" customFormat="false" ht="15" hidden="false" customHeight="false" outlineLevel="0" collapsed="false">
      <c r="A265" s="14" t="n">
        <v>5241344421</v>
      </c>
      <c r="B265" s="77" t="n">
        <v>46191.6104861111</v>
      </c>
      <c r="C265" s="77" t="n">
        <v>46191.6468055556</v>
      </c>
      <c r="D265" s="38" t="n">
        <v>0.871666666666667</v>
      </c>
      <c r="E265" s="38" t="n">
        <v>33.7246</v>
      </c>
      <c r="F265" s="38" t="n">
        <v>40.617</v>
      </c>
      <c r="G265" s="14" t="s">
        <v>66</v>
      </c>
      <c r="H265" s="78" t="b">
        <f aca="false">TRUE()</f>
        <v>1</v>
      </c>
      <c r="I265" s="78" t="b">
        <f aca="false">FALSE()</f>
        <v>0</v>
      </c>
      <c r="J265" s="55" t="n">
        <v>1</v>
      </c>
      <c r="K265" s="14" t="s">
        <v>229</v>
      </c>
      <c r="L265" s="14" t="s">
        <v>226</v>
      </c>
      <c r="M265" s="14" t="s">
        <v>293</v>
      </c>
      <c r="N265" s="14" t="s">
        <v>294</v>
      </c>
      <c r="O265" s="14" t="s">
        <v>228</v>
      </c>
      <c r="P265" s="42" t="n">
        <v>22.95</v>
      </c>
      <c r="Q265" s="42" t="n">
        <v>19.07</v>
      </c>
      <c r="R265" s="53" t="n">
        <f aca="false">INT(B265)</f>
        <v>46191</v>
      </c>
      <c r="S265" s="14" t="n">
        <f aca="false">IF(AND(I265=TRUE(),COUNTIFS($R$5:R265,R265,$I$5:I265,TRUE())=1),1,0)</f>
        <v>0</v>
      </c>
      <c r="T265" s="71" t="n">
        <v>0.5</v>
      </c>
      <c r="U265" s="42" t="n">
        <v>21.19</v>
      </c>
      <c r="V265" s="42" t="n">
        <v>16.8623</v>
      </c>
      <c r="W265" s="42" t="n">
        <f aca="false">SUM(Z265:AE265)</f>
        <v>3.88</v>
      </c>
      <c r="X265" s="14" t="s">
        <v>108</v>
      </c>
      <c r="Y265" s="53" t="n">
        <v>46188</v>
      </c>
      <c r="Z265" s="42" t="n">
        <v>1.27</v>
      </c>
      <c r="AA265" s="42" t="n">
        <v>0</v>
      </c>
      <c r="AB265" s="42" t="n">
        <v>0</v>
      </c>
      <c r="AC265" s="42" t="n">
        <v>0</v>
      </c>
      <c r="AD265" s="42" t="n">
        <v>2.12</v>
      </c>
      <c r="AE265" s="42" t="n">
        <v>0.49</v>
      </c>
      <c r="AF265" s="14" t="n">
        <f aca="false">IF(AND(E265&gt;0,COUNTIFS($R$5:R265,R265,$E$5:E265,"&gt;0")=1),1,0)</f>
        <v>1</v>
      </c>
      <c r="AG265" s="14" t="n">
        <f aca="false">IF(AND(E265&gt;0,COUNTIFS($R$5:R265,R265,$K$5:K265,K265,$E$5:E265,"&gt;0")=1),1,0)</f>
        <v>1</v>
      </c>
    </row>
    <row r="266" customFormat="false" ht="15" hidden="false" customHeight="false" outlineLevel="0" collapsed="false">
      <c r="A266" s="17" t="n">
        <v>5242944321</v>
      </c>
      <c r="B266" s="79" t="n">
        <v>46191.9431597222</v>
      </c>
      <c r="C266" s="79" t="n">
        <v>46191.9720833333</v>
      </c>
      <c r="D266" s="39" t="n">
        <v>0.694166666666667</v>
      </c>
      <c r="E266" s="39" t="n">
        <v>26.944</v>
      </c>
      <c r="F266" s="39" t="n">
        <v>40.579</v>
      </c>
      <c r="G266" s="17" t="s">
        <v>68</v>
      </c>
      <c r="H266" s="80" t="b">
        <f aca="false">TRUE()</f>
        <v>1</v>
      </c>
      <c r="I266" s="80" t="b">
        <f aca="false">TRUE()</f>
        <v>1</v>
      </c>
      <c r="J266" s="81" t="n">
        <v>1</v>
      </c>
      <c r="K266" s="17" t="s">
        <v>229</v>
      </c>
      <c r="L266" s="17" t="s">
        <v>226</v>
      </c>
      <c r="M266" s="17" t="s">
        <v>344</v>
      </c>
      <c r="N266" s="17" t="s">
        <v>345</v>
      </c>
      <c r="O266" s="17" t="s">
        <v>228</v>
      </c>
      <c r="P266" s="44" t="n">
        <v>18.42</v>
      </c>
      <c r="Q266" s="44" t="n">
        <v>15.22</v>
      </c>
      <c r="R266" s="54" t="n">
        <f aca="false">INT(B266)</f>
        <v>46191</v>
      </c>
      <c r="S266" s="17" t="n">
        <f aca="false">IF(AND(I266=TRUE(),COUNTIFS($R$5:R266,R266,$I$5:I266,TRUE())=1),1,0)</f>
        <v>1</v>
      </c>
      <c r="T266" s="73" t="n">
        <v>0.5</v>
      </c>
      <c r="U266" s="44" t="n">
        <v>16.91</v>
      </c>
      <c r="V266" s="44" t="n">
        <v>13.472</v>
      </c>
      <c r="W266" s="44" t="n">
        <f aca="false">SUM(Z266:AE266)</f>
        <v>3.2</v>
      </c>
      <c r="X266" s="17" t="s">
        <v>108</v>
      </c>
      <c r="Y266" s="54" t="n">
        <v>46188</v>
      </c>
      <c r="Z266" s="44" t="n">
        <v>1.02</v>
      </c>
      <c r="AA266" s="44" t="n">
        <v>0</v>
      </c>
      <c r="AB266" s="44" t="n">
        <v>0</v>
      </c>
      <c r="AC266" s="44" t="n">
        <v>0</v>
      </c>
      <c r="AD266" s="44" t="n">
        <v>1.69</v>
      </c>
      <c r="AE266" s="44" t="n">
        <v>0.49</v>
      </c>
      <c r="AF266" s="17" t="n">
        <f aca="false">IF(AND(E266&gt;0,COUNTIFS($R$5:R266,R266,$E$5:E266,"&gt;0")=1),1,0)</f>
        <v>0</v>
      </c>
      <c r="AG266" s="17" t="n">
        <f aca="false">IF(AND(E266&gt;0,COUNTIFS($R$5:R266,R266,$K$5:K266,K266,$E$5:E266,"&gt;0")=1),1,0)</f>
        <v>0</v>
      </c>
    </row>
    <row r="267" customFormat="false" ht="15" hidden="false" customHeight="false" outlineLevel="0" collapsed="false">
      <c r="A267" s="14" t="n">
        <v>5259491611</v>
      </c>
      <c r="B267" s="77" t="n">
        <v>46195.8410069444</v>
      </c>
      <c r="C267" s="77" t="n">
        <v>46195.8868287037</v>
      </c>
      <c r="D267" s="38" t="n">
        <v>1.09972222222222</v>
      </c>
      <c r="E267" s="38" t="n">
        <v>39.3949</v>
      </c>
      <c r="F267" s="38" t="n">
        <v>38.648</v>
      </c>
      <c r="G267" s="14" t="s">
        <v>67</v>
      </c>
      <c r="H267" s="78" t="b">
        <f aca="false">TRUE()</f>
        <v>1</v>
      </c>
      <c r="I267" s="78" t="b">
        <f aca="false">FALSE()</f>
        <v>0</v>
      </c>
      <c r="J267" s="55" t="n">
        <v>1</v>
      </c>
      <c r="K267" s="14" t="s">
        <v>229</v>
      </c>
      <c r="L267" s="14" t="s">
        <v>226</v>
      </c>
      <c r="M267" s="14" t="s">
        <v>346</v>
      </c>
      <c r="N267" s="14" t="s">
        <v>347</v>
      </c>
      <c r="O267" s="14" t="s">
        <v>348</v>
      </c>
      <c r="P267" s="42" t="n">
        <v>26.7</v>
      </c>
      <c r="Q267" s="42" t="n">
        <v>22.67</v>
      </c>
      <c r="R267" s="53" t="n">
        <f aca="false">INT(B267)</f>
        <v>46195</v>
      </c>
      <c r="S267" s="14" t="n">
        <f aca="false">IF(AND(I267=TRUE(),COUNTIFS($R$5:R267,R267,$I$5:I267,TRUE())=1),1,0)</f>
        <v>0</v>
      </c>
      <c r="T267" s="71" t="n">
        <v>0.5</v>
      </c>
      <c r="U267" s="42" t="n">
        <v>25.19</v>
      </c>
      <c r="V267" s="42" t="n">
        <v>19.69745</v>
      </c>
      <c r="W267" s="42" t="n">
        <f aca="false">SUM(Z267:AE267)</f>
        <v>4.03</v>
      </c>
      <c r="X267" s="14" t="s">
        <v>105</v>
      </c>
      <c r="Y267" s="53" t="n">
        <v>46195</v>
      </c>
      <c r="Z267" s="42" t="n">
        <v>1.51</v>
      </c>
      <c r="AA267" s="42" t="n">
        <v>0</v>
      </c>
      <c r="AB267" s="42" t="n">
        <v>0</v>
      </c>
      <c r="AC267" s="42" t="n">
        <v>0</v>
      </c>
      <c r="AD267" s="42" t="n">
        <v>2.52</v>
      </c>
      <c r="AE267" s="42" t="n">
        <v>0</v>
      </c>
      <c r="AF267" s="14" t="n">
        <f aca="false">IF(AND(E267&gt;0,COUNTIFS($R$5:R267,R267,$E$5:E267,"&gt;0")=1),1,0)</f>
        <v>1</v>
      </c>
      <c r="AG267" s="14" t="n">
        <f aca="false">IF(AND(E267&gt;0,COUNTIFS($R$5:R267,R267,$K$5:K267,K267,$E$5:E267,"&gt;0")=1),1,0)</f>
        <v>1</v>
      </c>
    </row>
    <row r="268" customFormat="false" ht="15" hidden="false" customHeight="false" outlineLevel="0" collapsed="false">
      <c r="A268" s="17" t="n">
        <v>5259865251</v>
      </c>
      <c r="B268" s="79" t="n">
        <v>46195.9278935185</v>
      </c>
      <c r="C268" s="79" t="n">
        <v>46195.9395486111</v>
      </c>
      <c r="D268" s="39" t="n">
        <v>0.279722222222222</v>
      </c>
      <c r="E268" s="39" t="n">
        <v>8.4955</v>
      </c>
      <c r="F268" s="39" t="n">
        <v>39.853</v>
      </c>
      <c r="G268" s="17" t="s">
        <v>68</v>
      </c>
      <c r="H268" s="80" t="b">
        <f aca="false">TRUE()</f>
        <v>1</v>
      </c>
      <c r="I268" s="80" t="b">
        <f aca="false">TRUE()</f>
        <v>1</v>
      </c>
      <c r="J268" s="81" t="n">
        <v>1</v>
      </c>
      <c r="K268" s="17" t="s">
        <v>229</v>
      </c>
      <c r="L268" s="17" t="s">
        <v>226</v>
      </c>
      <c r="M268" s="17" t="s">
        <v>230</v>
      </c>
      <c r="N268" s="17"/>
      <c r="O268" s="17" t="s">
        <v>228</v>
      </c>
      <c r="P268" s="44" t="n">
        <v>6.44</v>
      </c>
      <c r="Q268" s="44" t="n">
        <v>5.05</v>
      </c>
      <c r="R268" s="54" t="n">
        <f aca="false">INT(B268)</f>
        <v>46195</v>
      </c>
      <c r="S268" s="17" t="n">
        <f aca="false">IF(AND(I268=TRUE(),COUNTIFS($R$5:R268,R268,$I$5:I268,TRUE())=1),1,0)</f>
        <v>1</v>
      </c>
      <c r="T268" s="73" t="n">
        <v>0.5</v>
      </c>
      <c r="U268" s="44" t="n">
        <v>5.61</v>
      </c>
      <c r="V268" s="44" t="n">
        <v>4.24775</v>
      </c>
      <c r="W268" s="44" t="n">
        <f aca="false">SUM(Z268:AE268)</f>
        <v>1.39</v>
      </c>
      <c r="X268" s="17" t="s">
        <v>105</v>
      </c>
      <c r="Y268" s="54" t="n">
        <v>46195</v>
      </c>
      <c r="Z268" s="44" t="n">
        <v>0.34</v>
      </c>
      <c r="AA268" s="44" t="n">
        <v>0</v>
      </c>
      <c r="AB268" s="44" t="n">
        <v>0</v>
      </c>
      <c r="AC268" s="44" t="n">
        <v>0</v>
      </c>
      <c r="AD268" s="44" t="n">
        <v>0.56</v>
      </c>
      <c r="AE268" s="44" t="n">
        <v>0.49</v>
      </c>
      <c r="AF268" s="17" t="n">
        <f aca="false">IF(AND(E268&gt;0,COUNTIFS($R$5:R268,R268,$E$5:E268,"&gt;0")=1),1,0)</f>
        <v>0</v>
      </c>
      <c r="AG268" s="17" t="n">
        <f aca="false">IF(AND(E268&gt;0,COUNTIFS($R$5:R268,R268,$K$5:K268,K268,$E$5:E268,"&gt;0")=1),1,0)</f>
        <v>0</v>
      </c>
    </row>
    <row r="269" customFormat="false" ht="15" hidden="false" customHeight="false" outlineLevel="0" collapsed="false">
      <c r="A269" s="14" t="n">
        <v>5262893371</v>
      </c>
      <c r="B269" s="77" t="n">
        <v>46196.8599768519</v>
      </c>
      <c r="C269" s="77" t="n">
        <v>46196.8947453704</v>
      </c>
      <c r="D269" s="38" t="n">
        <v>0.834444444444444</v>
      </c>
      <c r="E269" s="38" t="n">
        <v>27.8244</v>
      </c>
      <c r="F269" s="38" t="n">
        <v>38.057</v>
      </c>
      <c r="G269" s="14" t="s">
        <v>67</v>
      </c>
      <c r="H269" s="78" t="b">
        <f aca="false">TRUE()</f>
        <v>1</v>
      </c>
      <c r="I269" s="78" t="b">
        <f aca="false">FALSE()</f>
        <v>0</v>
      </c>
      <c r="J269" s="55" t="n">
        <v>1</v>
      </c>
      <c r="K269" s="14" t="s">
        <v>229</v>
      </c>
      <c r="L269" s="14" t="s">
        <v>226</v>
      </c>
      <c r="M269" s="14" t="s">
        <v>349</v>
      </c>
      <c r="N269" s="14" t="s">
        <v>350</v>
      </c>
      <c r="O269" s="14" t="s">
        <v>351</v>
      </c>
      <c r="P269" s="42" t="n">
        <v>19.14</v>
      </c>
      <c r="Q269" s="42" t="n">
        <v>16.25</v>
      </c>
      <c r="R269" s="53" t="n">
        <f aca="false">INT(B269)</f>
        <v>46196</v>
      </c>
      <c r="S269" s="14" t="n">
        <f aca="false">IF(AND(I269=TRUE(),COUNTIFS($R$5:R269,R269,$I$5:I269,TRUE())=1),1,0)</f>
        <v>0</v>
      </c>
      <c r="T269" s="71" t="n">
        <v>0.5</v>
      </c>
      <c r="U269" s="42" t="n">
        <v>18.06</v>
      </c>
      <c r="V269" s="42" t="n">
        <v>13.9122</v>
      </c>
      <c r="W269" s="42" t="n">
        <f aca="false">SUM(Z269:AE269)</f>
        <v>2.89</v>
      </c>
      <c r="X269" s="14" t="s">
        <v>106</v>
      </c>
      <c r="Y269" s="53" t="n">
        <v>46195</v>
      </c>
      <c r="Z269" s="42" t="n">
        <v>1.08</v>
      </c>
      <c r="AA269" s="42" t="n">
        <v>0</v>
      </c>
      <c r="AB269" s="42" t="n">
        <v>0</v>
      </c>
      <c r="AC269" s="42" t="n">
        <v>0</v>
      </c>
      <c r="AD269" s="42" t="n">
        <v>1.81</v>
      </c>
      <c r="AE269" s="42" t="n">
        <v>0</v>
      </c>
      <c r="AF269" s="14" t="n">
        <f aca="false">IF(AND(E269&gt;0,COUNTIFS($R$5:R269,R269,$E$5:E269,"&gt;0")=1),1,0)</f>
        <v>1</v>
      </c>
      <c r="AG269" s="14" t="n">
        <f aca="false">IF(AND(E269&gt;0,COUNTIFS($R$5:R269,R269,$K$5:K269,K269,$E$5:E269,"&gt;0")=1),1,0)</f>
        <v>1</v>
      </c>
    </row>
    <row r="270" customFormat="false" ht="15" hidden="false" customHeight="false" outlineLevel="0" collapsed="false">
      <c r="A270" s="17" t="n">
        <v>5269187201</v>
      </c>
      <c r="B270" s="79" t="n">
        <v>46198.7217361111</v>
      </c>
      <c r="C270" s="79" t="n">
        <v>46198.7543171296</v>
      </c>
      <c r="D270" s="39" t="n">
        <v>0.781944444444444</v>
      </c>
      <c r="E270" s="39" t="n">
        <v>29.5188</v>
      </c>
      <c r="F270" s="39" t="n">
        <v>40.393</v>
      </c>
      <c r="G270" s="17" t="s">
        <v>66</v>
      </c>
      <c r="H270" s="80" t="b">
        <f aca="false">TRUE()</f>
        <v>1</v>
      </c>
      <c r="I270" s="80" t="b">
        <f aca="false">FALSE()</f>
        <v>0</v>
      </c>
      <c r="J270" s="81" t="n">
        <v>1</v>
      </c>
      <c r="K270" s="17" t="s">
        <v>229</v>
      </c>
      <c r="L270" s="17" t="s">
        <v>226</v>
      </c>
      <c r="M270" s="17" t="s">
        <v>352</v>
      </c>
      <c r="N270" s="17" t="s">
        <v>353</v>
      </c>
      <c r="O270" s="17" t="s">
        <v>354</v>
      </c>
      <c r="P270" s="44" t="n">
        <v>20.28</v>
      </c>
      <c r="Q270" s="44" t="n">
        <v>16.8</v>
      </c>
      <c r="R270" s="54" t="n">
        <f aca="false">INT(B270)</f>
        <v>46198</v>
      </c>
      <c r="S270" s="17" t="n">
        <f aca="false">IF(AND(I270=TRUE(),COUNTIFS($R$5:R270,R270,$I$5:I270,TRUE())=1),1,0)</f>
        <v>0</v>
      </c>
      <c r="T270" s="73" t="n">
        <v>0.5</v>
      </c>
      <c r="U270" s="44" t="n">
        <v>18.67</v>
      </c>
      <c r="V270" s="44" t="n">
        <v>14.7594</v>
      </c>
      <c r="W270" s="44" t="n">
        <f aca="false">SUM(Z270:AE270)</f>
        <v>3.48</v>
      </c>
      <c r="X270" s="17" t="s">
        <v>108</v>
      </c>
      <c r="Y270" s="54" t="n">
        <v>46195</v>
      </c>
      <c r="Z270" s="44" t="n">
        <v>1.12</v>
      </c>
      <c r="AA270" s="44" t="n">
        <v>0</v>
      </c>
      <c r="AB270" s="44" t="n">
        <v>0</v>
      </c>
      <c r="AC270" s="44" t="n">
        <v>0</v>
      </c>
      <c r="AD270" s="44" t="n">
        <v>1.87</v>
      </c>
      <c r="AE270" s="44" t="n">
        <v>0.49</v>
      </c>
      <c r="AF270" s="17" t="n">
        <f aca="false">IF(AND(E270&gt;0,COUNTIFS($R$5:R270,R270,$E$5:E270,"&gt;0")=1),1,0)</f>
        <v>1</v>
      </c>
      <c r="AG270" s="17" t="n">
        <f aca="false">IF(AND(E270&gt;0,COUNTIFS($R$5:R270,R270,$K$5:K270,K270,$E$5:E270,"&gt;0")=1),1,0)</f>
        <v>1</v>
      </c>
    </row>
    <row r="271" customFormat="false" ht="15" hidden="false" customHeight="false" outlineLevel="0" collapsed="false">
      <c r="A271" s="14" t="n">
        <v>5269709731</v>
      </c>
      <c r="B271" s="77" t="n">
        <v>46198.845787037</v>
      </c>
      <c r="C271" s="77" t="n">
        <v>46198.8471643519</v>
      </c>
      <c r="D271" s="38" t="n">
        <v>0.0330555555555555</v>
      </c>
      <c r="E271" s="38" t="n">
        <v>0</v>
      </c>
      <c r="F271" s="38" t="n">
        <v>0</v>
      </c>
      <c r="G271" s="14" t="s">
        <v>67</v>
      </c>
      <c r="H271" s="78" t="b">
        <f aca="false">FALSE()</f>
        <v>0</v>
      </c>
      <c r="I271" s="78" t="b">
        <f aca="false">FALSE()</f>
        <v>0</v>
      </c>
      <c r="J271" s="55"/>
      <c r="K271" s="14" t="s">
        <v>229</v>
      </c>
      <c r="L271" s="14" t="s">
        <v>226</v>
      </c>
      <c r="M271" s="14"/>
      <c r="N271" s="14"/>
      <c r="O271" s="14"/>
      <c r="P271" s="42"/>
      <c r="Q271" s="42"/>
      <c r="R271" s="53" t="n">
        <f aca="false">INT(B271)</f>
        <v>46198</v>
      </c>
      <c r="S271" s="14" t="n">
        <f aca="false">IF(AND(I271=TRUE(),COUNTIFS($R$5:R271,R271,$I$5:I271,TRUE())=1),1,0)</f>
        <v>0</v>
      </c>
      <c r="T271" s="71"/>
      <c r="U271" s="42"/>
      <c r="V271" s="42"/>
      <c r="W271" s="42" t="n">
        <f aca="false">SUM(Z271:AE271)</f>
        <v>0</v>
      </c>
      <c r="X271" s="14" t="s">
        <v>108</v>
      </c>
      <c r="Y271" s="53" t="n">
        <v>46195</v>
      </c>
      <c r="Z271" s="42"/>
      <c r="AA271" s="42"/>
      <c r="AB271" s="42"/>
      <c r="AC271" s="42"/>
      <c r="AD271" s="42"/>
      <c r="AE271" s="42"/>
      <c r="AF271" s="14" t="n">
        <f aca="false">IF(AND(E271&gt;0,COUNTIFS($R$5:R271,R271,$E$5:E271,"&gt;0")=1),1,0)</f>
        <v>0</v>
      </c>
      <c r="AG271" s="14" t="n">
        <f aca="false">IF(AND(E271&gt;0,COUNTIFS($R$5:R271,R271,$K$5:K271,K271,$E$5:E271,"&gt;0")=1),1,0)</f>
        <v>0</v>
      </c>
    </row>
    <row r="272" customFormat="false" ht="15" hidden="false" customHeight="false" outlineLevel="0" collapsed="false">
      <c r="A272" s="17" t="n">
        <v>5273882451</v>
      </c>
      <c r="B272" s="79" t="n">
        <v>46200.0428703704</v>
      </c>
      <c r="C272" s="79" t="n">
        <v>46200.0436111111</v>
      </c>
      <c r="D272" s="39" t="n">
        <v>0.0177777777777777</v>
      </c>
      <c r="E272" s="39" t="n">
        <v>0</v>
      </c>
      <c r="F272" s="39" t="n">
        <v>0</v>
      </c>
      <c r="G272" s="17" t="s">
        <v>68</v>
      </c>
      <c r="H272" s="80" t="b">
        <f aca="false">FALSE()</f>
        <v>0</v>
      </c>
      <c r="I272" s="80" t="b">
        <f aca="false">TRUE()</f>
        <v>1</v>
      </c>
      <c r="J272" s="81"/>
      <c r="K272" s="17" t="s">
        <v>229</v>
      </c>
      <c r="L272" s="17" t="s">
        <v>226</v>
      </c>
      <c r="M272" s="17"/>
      <c r="N272" s="17"/>
      <c r="O272" s="17"/>
      <c r="P272" s="44"/>
      <c r="Q272" s="44"/>
      <c r="R272" s="54" t="n">
        <f aca="false">INT(B272)</f>
        <v>46200</v>
      </c>
      <c r="S272" s="17" t="n">
        <f aca="false">IF(AND(I272=TRUE(),COUNTIFS($R$5:R272,R272,$I$5:I272,TRUE())=1),1,0)</f>
        <v>1</v>
      </c>
      <c r="T272" s="73"/>
      <c r="U272" s="44"/>
      <c r="V272" s="44"/>
      <c r="W272" s="44" t="n">
        <f aca="false">SUM(Z272:AE272)</f>
        <v>0</v>
      </c>
      <c r="X272" s="17" t="s">
        <v>110</v>
      </c>
      <c r="Y272" s="54" t="n">
        <v>46195</v>
      </c>
      <c r="Z272" s="44"/>
      <c r="AA272" s="44"/>
      <c r="AB272" s="44"/>
      <c r="AC272" s="44"/>
      <c r="AD272" s="44"/>
      <c r="AE272" s="44"/>
      <c r="AF272" s="17" t="n">
        <f aca="false">IF(AND(E272&gt;0,COUNTIFS($R$5:R272,R272,$E$5:E272,"&gt;0")=1),1,0)</f>
        <v>0</v>
      </c>
      <c r="AG272" s="17" t="n">
        <f aca="false">IF(AND(E272&gt;0,COUNTIFS($R$5:R272,R272,$K$5:K272,K272,$E$5:E272,"&gt;0")=1),1,0)</f>
        <v>0</v>
      </c>
    </row>
    <row r="273" customFormat="false" ht="15" hidden="false" customHeight="false" outlineLevel="0" collapsed="false">
      <c r="A273" s="14" t="n">
        <v>5273887981</v>
      </c>
      <c r="B273" s="77" t="n">
        <v>46200.0442013889</v>
      </c>
      <c r="C273" s="77" t="n">
        <v>46200.0461921296</v>
      </c>
      <c r="D273" s="38" t="n">
        <v>0.0477777777777777</v>
      </c>
      <c r="E273" s="38" t="n">
        <v>0</v>
      </c>
      <c r="F273" s="38" t="n">
        <v>0</v>
      </c>
      <c r="G273" s="14" t="s">
        <v>68</v>
      </c>
      <c r="H273" s="78" t="b">
        <f aca="false">FALSE()</f>
        <v>0</v>
      </c>
      <c r="I273" s="78" t="b">
        <f aca="false">TRUE()</f>
        <v>1</v>
      </c>
      <c r="J273" s="55"/>
      <c r="K273" s="14" t="s">
        <v>229</v>
      </c>
      <c r="L273" s="14" t="s">
        <v>226</v>
      </c>
      <c r="M273" s="14" t="s">
        <v>355</v>
      </c>
      <c r="N273" s="14"/>
      <c r="O273" s="14" t="s">
        <v>228</v>
      </c>
      <c r="P273" s="42" t="n">
        <v>0.29</v>
      </c>
      <c r="Q273" s="42" t="n">
        <v>0.24</v>
      </c>
      <c r="R273" s="53" t="n">
        <f aca="false">INT(B273)</f>
        <v>46200</v>
      </c>
      <c r="S273" s="14" t="n">
        <f aca="false">IF(AND(I273=TRUE(),COUNTIFS($R$5:R273,R273,$I$5:I273,TRUE())=1),1,0)</f>
        <v>0</v>
      </c>
      <c r="T273" s="71" t="n">
        <v>0.5</v>
      </c>
      <c r="U273" s="42" t="n">
        <v>0.27</v>
      </c>
      <c r="V273" s="42" t="n">
        <v>0</v>
      </c>
      <c r="W273" s="42" t="n">
        <f aca="false">SUM(Z273:AE273)</f>
        <v>0.05</v>
      </c>
      <c r="X273" s="14" t="s">
        <v>110</v>
      </c>
      <c r="Y273" s="53" t="n">
        <v>46195</v>
      </c>
      <c r="Z273" s="42" t="n">
        <v>0.02</v>
      </c>
      <c r="AA273" s="42" t="n">
        <v>0</v>
      </c>
      <c r="AB273" s="42" t="n">
        <v>0</v>
      </c>
      <c r="AC273" s="42" t="n">
        <v>0</v>
      </c>
      <c r="AD273" s="42" t="n">
        <v>0.03</v>
      </c>
      <c r="AE273" s="42" t="n">
        <v>0</v>
      </c>
      <c r="AF273" s="14" t="n">
        <f aca="false">IF(AND(E273&gt;0,COUNTIFS($R$5:R273,R273,$E$5:E273,"&gt;0")=1),1,0)</f>
        <v>0</v>
      </c>
      <c r="AG273" s="14" t="n">
        <f aca="false">IF(AND(E273&gt;0,COUNTIFS($R$5:R273,R273,$K$5:K273,K273,$E$5:E273,"&gt;0")=1),1,0)</f>
        <v>0</v>
      </c>
    </row>
    <row r="274" customFormat="false" ht="15" hidden="false" customHeight="false" outlineLevel="0" collapsed="false">
      <c r="A274" s="17" t="n">
        <v>5273905191</v>
      </c>
      <c r="B274" s="79" t="n">
        <v>46200.0485300926</v>
      </c>
      <c r="C274" s="79" t="n">
        <v>46200.0504513889</v>
      </c>
      <c r="D274" s="39" t="n">
        <v>0.0461111111111111</v>
      </c>
      <c r="E274" s="39" t="n">
        <v>0</v>
      </c>
      <c r="F274" s="39" t="n">
        <v>0</v>
      </c>
      <c r="G274" s="17" t="s">
        <v>68</v>
      </c>
      <c r="H274" s="80" t="b">
        <f aca="false">FALSE()</f>
        <v>0</v>
      </c>
      <c r="I274" s="80" t="b">
        <f aca="false">TRUE()</f>
        <v>1</v>
      </c>
      <c r="J274" s="81"/>
      <c r="K274" s="17" t="s">
        <v>229</v>
      </c>
      <c r="L274" s="17" t="s">
        <v>226</v>
      </c>
      <c r="M274" s="17" t="s">
        <v>355</v>
      </c>
      <c r="N274" s="17"/>
      <c r="O274" s="17" t="s">
        <v>228</v>
      </c>
      <c r="P274" s="44" t="n">
        <v>0.21</v>
      </c>
      <c r="Q274" s="44" t="n">
        <v>0.18</v>
      </c>
      <c r="R274" s="54" t="n">
        <f aca="false">INT(B274)</f>
        <v>46200</v>
      </c>
      <c r="S274" s="17" t="n">
        <f aca="false">IF(AND(I274=TRUE(),COUNTIFS($R$5:R274,R274,$I$5:I274,TRUE())=1),1,0)</f>
        <v>0</v>
      </c>
      <c r="T274" s="73" t="n">
        <v>0.5</v>
      </c>
      <c r="U274" s="44" t="n">
        <v>0.2</v>
      </c>
      <c r="V274" s="44" t="n">
        <v>0</v>
      </c>
      <c r="W274" s="44" t="n">
        <f aca="false">SUM(Z274:AE274)</f>
        <v>0.03</v>
      </c>
      <c r="X274" s="17" t="s">
        <v>110</v>
      </c>
      <c r="Y274" s="54" t="n">
        <v>46195</v>
      </c>
      <c r="Z274" s="44" t="n">
        <v>0.01</v>
      </c>
      <c r="AA274" s="44" t="n">
        <v>0</v>
      </c>
      <c r="AB274" s="44" t="n">
        <v>0</v>
      </c>
      <c r="AC274" s="44" t="n">
        <v>0</v>
      </c>
      <c r="AD274" s="44" t="n">
        <v>0.02</v>
      </c>
      <c r="AE274" s="44" t="n">
        <v>0</v>
      </c>
      <c r="AF274" s="17" t="n">
        <f aca="false">IF(AND(E274&gt;0,COUNTIFS($R$5:R274,R274,$E$5:E274,"&gt;0")=1),1,0)</f>
        <v>0</v>
      </c>
      <c r="AG274" s="17" t="n">
        <f aca="false">IF(AND(E274&gt;0,COUNTIFS($R$5:R274,R274,$K$5:K274,K274,$E$5:E274,"&gt;0")=1),1,0)</f>
        <v>0</v>
      </c>
    </row>
    <row r="275" customFormat="false" ht="15" hidden="false" customHeight="false" outlineLevel="0" collapsed="false">
      <c r="A275" s="14" t="n">
        <v>5273930701</v>
      </c>
      <c r="B275" s="77" t="n">
        <v>46200.0547453704</v>
      </c>
      <c r="C275" s="77" t="n">
        <v>46200.0556712963</v>
      </c>
      <c r="D275" s="38" t="n">
        <v>0.0222222222222222</v>
      </c>
      <c r="E275" s="38" t="n">
        <v>0</v>
      </c>
      <c r="F275" s="38" t="n">
        <v>0</v>
      </c>
      <c r="G275" s="14" t="s">
        <v>68</v>
      </c>
      <c r="H275" s="78" t="b">
        <f aca="false">FALSE()</f>
        <v>0</v>
      </c>
      <c r="I275" s="78" t="b">
        <f aca="false">TRUE()</f>
        <v>1</v>
      </c>
      <c r="J275" s="55"/>
      <c r="K275" s="14" t="s">
        <v>229</v>
      </c>
      <c r="L275" s="14" t="s">
        <v>226</v>
      </c>
      <c r="M275" s="14"/>
      <c r="N275" s="14"/>
      <c r="O275" s="14"/>
      <c r="P275" s="42"/>
      <c r="Q275" s="42"/>
      <c r="R275" s="53" t="n">
        <f aca="false">INT(B275)</f>
        <v>46200</v>
      </c>
      <c r="S275" s="14" t="n">
        <f aca="false">IF(AND(I275=TRUE(),COUNTIFS($R$5:R275,R275,$I$5:I275,TRUE())=1),1,0)</f>
        <v>0</v>
      </c>
      <c r="T275" s="71"/>
      <c r="U275" s="42"/>
      <c r="V275" s="42"/>
      <c r="W275" s="42" t="n">
        <f aca="false">SUM(Z275:AE275)</f>
        <v>0</v>
      </c>
      <c r="X275" s="14" t="s">
        <v>110</v>
      </c>
      <c r="Y275" s="53" t="n">
        <v>46195</v>
      </c>
      <c r="Z275" s="42"/>
      <c r="AA275" s="42"/>
      <c r="AB275" s="42"/>
      <c r="AC275" s="42"/>
      <c r="AD275" s="42"/>
      <c r="AE275" s="42"/>
      <c r="AF275" s="14" t="n">
        <f aca="false">IF(AND(E275&gt;0,COUNTIFS($R$5:R275,R275,$E$5:E275,"&gt;0")=1),1,0)</f>
        <v>0</v>
      </c>
      <c r="AG275" s="14" t="n">
        <f aca="false">IF(AND(E275&gt;0,COUNTIFS($R$5:R275,R275,$K$5:K275,K275,$E$5:E275,"&gt;0")=1),1,0)</f>
        <v>0</v>
      </c>
    </row>
    <row r="276" customFormat="false" ht="15" hidden="false" customHeight="false" outlineLevel="0" collapsed="false">
      <c r="A276" s="17" t="n">
        <v>5273937091</v>
      </c>
      <c r="B276" s="79" t="n">
        <v>46200.0565393519</v>
      </c>
      <c r="C276" s="79" t="n">
        <v>46200.0584606482</v>
      </c>
      <c r="D276" s="39" t="n">
        <v>0.0461111111111111</v>
      </c>
      <c r="E276" s="39" t="n">
        <v>0</v>
      </c>
      <c r="F276" s="39" t="n">
        <v>0</v>
      </c>
      <c r="G276" s="17" t="s">
        <v>68</v>
      </c>
      <c r="H276" s="80" t="b">
        <f aca="false">FALSE()</f>
        <v>0</v>
      </c>
      <c r="I276" s="80" t="b">
        <f aca="false">TRUE()</f>
        <v>1</v>
      </c>
      <c r="J276" s="81"/>
      <c r="K276" s="17" t="s">
        <v>229</v>
      </c>
      <c r="L276" s="17" t="s">
        <v>226</v>
      </c>
      <c r="M276" s="17" t="s">
        <v>355</v>
      </c>
      <c r="N276" s="17"/>
      <c r="O276" s="17" t="s">
        <v>228</v>
      </c>
      <c r="P276" s="44" t="n">
        <v>0.23</v>
      </c>
      <c r="Q276" s="44" t="n">
        <v>0.2</v>
      </c>
      <c r="R276" s="54" t="n">
        <f aca="false">INT(B276)</f>
        <v>46200</v>
      </c>
      <c r="S276" s="17" t="n">
        <f aca="false">IF(AND(I276=TRUE(),COUNTIFS($R$5:R276,R276,$I$5:I276,TRUE())=1),1,0)</f>
        <v>0</v>
      </c>
      <c r="T276" s="73" t="n">
        <v>0.5</v>
      </c>
      <c r="U276" s="44" t="n">
        <v>0.22</v>
      </c>
      <c r="V276" s="44" t="n">
        <v>0</v>
      </c>
      <c r="W276" s="44" t="n">
        <f aca="false">SUM(Z276:AE276)</f>
        <v>0.03</v>
      </c>
      <c r="X276" s="17" t="s">
        <v>110</v>
      </c>
      <c r="Y276" s="54" t="n">
        <v>46195</v>
      </c>
      <c r="Z276" s="44" t="n">
        <v>0.01</v>
      </c>
      <c r="AA276" s="44" t="n">
        <v>0</v>
      </c>
      <c r="AB276" s="44" t="n">
        <v>0</v>
      </c>
      <c r="AC276" s="44" t="n">
        <v>0</v>
      </c>
      <c r="AD276" s="44" t="n">
        <v>0.02</v>
      </c>
      <c r="AE276" s="44" t="n">
        <v>0</v>
      </c>
      <c r="AF276" s="17" t="n">
        <f aca="false">IF(AND(E276&gt;0,COUNTIFS($R$5:R276,R276,$E$5:E276,"&gt;0")=1),1,0)</f>
        <v>0</v>
      </c>
      <c r="AG276" s="17" t="n">
        <f aca="false">IF(AND(E276&gt;0,COUNTIFS($R$5:R276,R276,$K$5:K276,K276,$E$5:E276,"&gt;0")=1),1,0)</f>
        <v>0</v>
      </c>
    </row>
    <row r="277" customFormat="false" ht="15" hidden="false" customHeight="false" outlineLevel="0" collapsed="false">
      <c r="A277" s="14" t="n">
        <v>5273957681</v>
      </c>
      <c r="B277" s="77" t="n">
        <v>46200.062349537</v>
      </c>
      <c r="C277" s="77" t="n">
        <v>46200.0647569444</v>
      </c>
      <c r="D277" s="38" t="n">
        <v>0.0577777777777777</v>
      </c>
      <c r="E277" s="38" t="n">
        <v>0</v>
      </c>
      <c r="F277" s="38" t="n">
        <v>0</v>
      </c>
      <c r="G277" s="14" t="s">
        <v>68</v>
      </c>
      <c r="H277" s="78" t="b">
        <f aca="false">FALSE()</f>
        <v>0</v>
      </c>
      <c r="I277" s="78" t="b">
        <f aca="false">TRUE()</f>
        <v>1</v>
      </c>
      <c r="J277" s="55" t="n">
        <v>0</v>
      </c>
      <c r="K277" s="14" t="s">
        <v>229</v>
      </c>
      <c r="L277" s="14" t="s">
        <v>226</v>
      </c>
      <c r="M277" s="14" t="s">
        <v>355</v>
      </c>
      <c r="N277" s="14"/>
      <c r="O277" s="14" t="s">
        <v>228</v>
      </c>
      <c r="P277" s="42" t="n">
        <v>0.3</v>
      </c>
      <c r="Q277" s="42" t="n">
        <v>0.25</v>
      </c>
      <c r="R277" s="53" t="n">
        <f aca="false">INT(B277)</f>
        <v>46200</v>
      </c>
      <c r="S277" s="14" t="n">
        <f aca="false">IF(AND(I277=TRUE(),COUNTIFS($R$5:R277,R277,$I$5:I277,TRUE())=1),1,0)</f>
        <v>0</v>
      </c>
      <c r="T277" s="71" t="n">
        <v>0.5</v>
      </c>
      <c r="U277" s="42" t="n">
        <v>0.28</v>
      </c>
      <c r="V277" s="42" t="n">
        <v>0</v>
      </c>
      <c r="W277" s="42" t="n">
        <f aca="false">SUM(Z277:AE277)</f>
        <v>0.05</v>
      </c>
      <c r="X277" s="14" t="s">
        <v>110</v>
      </c>
      <c r="Y277" s="53" t="n">
        <v>46195</v>
      </c>
      <c r="Z277" s="42" t="n">
        <v>0.02</v>
      </c>
      <c r="AA277" s="42" t="n">
        <v>0</v>
      </c>
      <c r="AB277" s="42" t="n">
        <v>0</v>
      </c>
      <c r="AC277" s="42" t="n">
        <v>0</v>
      </c>
      <c r="AD277" s="42" t="n">
        <v>0.03</v>
      </c>
      <c r="AE277" s="42" t="n">
        <v>0</v>
      </c>
      <c r="AF277" s="14" t="n">
        <f aca="false">IF(AND(E277&gt;0,COUNTIFS($R$5:R277,R277,$E$5:E277,"&gt;0")=1),1,0)</f>
        <v>0</v>
      </c>
      <c r="AG277" s="14" t="n">
        <f aca="false">IF(AND(E277&gt;0,COUNTIFS($R$5:R277,R277,$K$5:K277,K277,$E$5:E277,"&gt;0")=1),1,0)</f>
        <v>0</v>
      </c>
    </row>
    <row r="278" customFormat="false" ht="15" hidden="false" customHeight="false" outlineLevel="0" collapsed="false">
      <c r="A278" s="17" t="n">
        <v>5274000771</v>
      </c>
      <c r="B278" s="79" t="n">
        <v>46200.0744212963</v>
      </c>
      <c r="C278" s="79" t="n">
        <v>46200.0833912037</v>
      </c>
      <c r="D278" s="39" t="n">
        <v>0.215277777777778</v>
      </c>
      <c r="E278" s="39" t="n">
        <v>1.450754</v>
      </c>
      <c r="F278" s="39" t="n">
        <v>7.3287</v>
      </c>
      <c r="G278" s="17" t="s">
        <v>68</v>
      </c>
      <c r="H278" s="80" t="b">
        <f aca="false">FALSE()</f>
        <v>0</v>
      </c>
      <c r="I278" s="80" t="b">
        <f aca="false">TRUE()</f>
        <v>1</v>
      </c>
      <c r="J278" s="81" t="n">
        <v>0</v>
      </c>
      <c r="K278" s="17" t="s">
        <v>225</v>
      </c>
      <c r="L278" s="17" t="s">
        <v>226</v>
      </c>
      <c r="M278" s="17" t="s">
        <v>355</v>
      </c>
      <c r="N278" s="17"/>
      <c r="O278" s="17" t="s">
        <v>228</v>
      </c>
      <c r="P278" s="44" t="n">
        <v>2.16</v>
      </c>
      <c r="Q278" s="44" t="n">
        <v>1.63</v>
      </c>
      <c r="R278" s="54" t="n">
        <f aca="false">INT(B278)</f>
        <v>46200</v>
      </c>
      <c r="S278" s="17" t="n">
        <f aca="false">IF(AND(I278=TRUE(),COUNTIFS($R$5:R278,R278,$I$5:I278,TRUE())=1),1,0)</f>
        <v>0</v>
      </c>
      <c r="T278" s="73" t="n">
        <v>0.5</v>
      </c>
      <c r="U278" s="44" t="n">
        <v>1.81</v>
      </c>
      <c r="V278" s="44" t="n">
        <v>0.725377</v>
      </c>
      <c r="W278" s="44" t="n">
        <f aca="false">SUM(Z278:AE278)</f>
        <v>0.53</v>
      </c>
      <c r="X278" s="17" t="s">
        <v>110</v>
      </c>
      <c r="Y278" s="54" t="n">
        <v>46195</v>
      </c>
      <c r="Z278" s="44" t="n">
        <v>0.1</v>
      </c>
      <c r="AA278" s="44" t="n">
        <v>0</v>
      </c>
      <c r="AB278" s="44" t="n">
        <v>0</v>
      </c>
      <c r="AC278" s="44" t="n">
        <v>0</v>
      </c>
      <c r="AD278" s="44" t="n">
        <v>0.18</v>
      </c>
      <c r="AE278" s="44" t="n">
        <v>0.25</v>
      </c>
      <c r="AF278" s="17" t="n">
        <f aca="false">IF(AND(E278&gt;0,COUNTIFS($R$5:R278,R278,$E$5:E278,"&gt;0")=1),1,0)</f>
        <v>1</v>
      </c>
      <c r="AG278" s="17" t="n">
        <f aca="false">IF(AND(E278&gt;0,COUNTIFS($R$5:R278,R278,$K$5:K278,K278,$E$5:E278,"&gt;0")=1),1,0)</f>
        <v>1</v>
      </c>
    </row>
    <row r="279" customFormat="false" ht="15" hidden="false" customHeight="false" outlineLevel="0" collapsed="false">
      <c r="A279" s="14" t="n">
        <v>5275318291</v>
      </c>
      <c r="B279" s="77" t="n">
        <v>46200.7051736111</v>
      </c>
      <c r="C279" s="77" t="n">
        <v>46200.7060416667</v>
      </c>
      <c r="D279" s="38" t="n">
        <v>0.0208333333333333</v>
      </c>
      <c r="E279" s="38" t="n">
        <v>0</v>
      </c>
      <c r="F279" s="38" t="n">
        <v>0</v>
      </c>
      <c r="G279" s="14" t="s">
        <v>66</v>
      </c>
      <c r="H279" s="78" t="b">
        <f aca="false">FALSE()</f>
        <v>0</v>
      </c>
      <c r="I279" s="78" t="b">
        <f aca="false">FALSE()</f>
        <v>0</v>
      </c>
      <c r="J279" s="55"/>
      <c r="K279" s="14" t="s">
        <v>229</v>
      </c>
      <c r="L279" s="14" t="s">
        <v>226</v>
      </c>
      <c r="M279" s="14"/>
      <c r="N279" s="14"/>
      <c r="O279" s="14"/>
      <c r="P279" s="42"/>
      <c r="Q279" s="42"/>
      <c r="R279" s="53" t="n">
        <f aca="false">INT(B279)</f>
        <v>46200</v>
      </c>
      <c r="S279" s="14" t="n">
        <f aca="false">IF(AND(I279=TRUE(),COUNTIFS($R$5:R279,R279,$I$5:I279,TRUE())=1),1,0)</f>
        <v>0</v>
      </c>
      <c r="T279" s="71"/>
      <c r="U279" s="42"/>
      <c r="V279" s="42"/>
      <c r="W279" s="42" t="n">
        <f aca="false">SUM(Z279:AE279)</f>
        <v>0</v>
      </c>
      <c r="X279" s="14" t="s">
        <v>110</v>
      </c>
      <c r="Y279" s="53" t="n">
        <v>46195</v>
      </c>
      <c r="Z279" s="42"/>
      <c r="AA279" s="42"/>
      <c r="AB279" s="42"/>
      <c r="AC279" s="42"/>
      <c r="AD279" s="42"/>
      <c r="AE279" s="42"/>
      <c r="AF279" s="14" t="n">
        <f aca="false">IF(AND(E279&gt;0,COUNTIFS($R$5:R279,R279,$E$5:E279,"&gt;0")=1),1,0)</f>
        <v>0</v>
      </c>
      <c r="AG279" s="14" t="n">
        <f aca="false">IF(AND(E279&gt;0,COUNTIFS($R$5:R279,R279,$K$5:K279,K279,$E$5:E279,"&gt;0")=1),1,0)</f>
        <v>0</v>
      </c>
    </row>
    <row r="280" customFormat="false" ht="15" hidden="false" customHeight="false" outlineLevel="0" collapsed="false">
      <c r="A280" s="17" t="n">
        <v>5278273731</v>
      </c>
      <c r="B280" s="79" t="n">
        <v>46201.8817361111</v>
      </c>
      <c r="C280" s="79" t="n">
        <v>46201.8988310185</v>
      </c>
      <c r="D280" s="39" t="n">
        <v>0.410277777777778</v>
      </c>
      <c r="E280" s="39" t="n">
        <v>11.8481</v>
      </c>
      <c r="F280" s="39" t="n">
        <v>29.687</v>
      </c>
      <c r="G280" s="17" t="s">
        <v>67</v>
      </c>
      <c r="H280" s="80" t="b">
        <f aca="false">TRUE()</f>
        <v>1</v>
      </c>
      <c r="I280" s="80" t="b">
        <f aca="false">FALSE()</f>
        <v>0</v>
      </c>
      <c r="J280" s="81" t="n">
        <v>1</v>
      </c>
      <c r="K280" s="17" t="s">
        <v>229</v>
      </c>
      <c r="L280" s="17" t="s">
        <v>226</v>
      </c>
      <c r="M280" s="17" t="s">
        <v>356</v>
      </c>
      <c r="N280" s="17"/>
      <c r="O280" s="17" t="s">
        <v>357</v>
      </c>
      <c r="P280" s="44" t="n">
        <v>8.45</v>
      </c>
      <c r="Q280" s="44" t="n">
        <v>7.17</v>
      </c>
      <c r="R280" s="54" t="n">
        <f aca="false">INT(B280)</f>
        <v>46201</v>
      </c>
      <c r="S280" s="17" t="n">
        <f aca="false">IF(AND(I280=TRUE(),COUNTIFS($R$5:R280,R280,$I$5:I280,TRUE())=1),1,0)</f>
        <v>0</v>
      </c>
      <c r="T280" s="73" t="n">
        <v>0.5</v>
      </c>
      <c r="U280" s="44" t="n">
        <v>7.97</v>
      </c>
      <c r="V280" s="44" t="n">
        <v>5.92405</v>
      </c>
      <c r="W280" s="44" t="n">
        <f aca="false">SUM(Z280:AE280)</f>
        <v>1.28</v>
      </c>
      <c r="X280" s="17" t="s">
        <v>111</v>
      </c>
      <c r="Y280" s="54" t="n">
        <v>46195</v>
      </c>
      <c r="Z280" s="44" t="n">
        <v>0.48</v>
      </c>
      <c r="AA280" s="44" t="n">
        <v>0</v>
      </c>
      <c r="AB280" s="44" t="n">
        <v>0</v>
      </c>
      <c r="AC280" s="44" t="n">
        <v>0</v>
      </c>
      <c r="AD280" s="44" t="n">
        <v>0.8</v>
      </c>
      <c r="AE280" s="44" t="n">
        <v>0</v>
      </c>
      <c r="AF280" s="17" t="n">
        <f aca="false">IF(AND(E280&gt;0,COUNTIFS($R$5:R280,R280,$E$5:E280,"&gt;0")=1),1,0)</f>
        <v>1</v>
      </c>
      <c r="AG280" s="17" t="n">
        <f aca="false">IF(AND(E280&gt;0,COUNTIFS($R$5:R280,R280,$K$5:K280,K280,$E$5:E280,"&gt;0")=1),1,0)</f>
        <v>1</v>
      </c>
    </row>
    <row r="281" customFormat="false" ht="15" hidden="false" customHeight="false" outlineLevel="0" collapsed="false">
      <c r="A281" s="14" t="n">
        <v>5280836741</v>
      </c>
      <c r="B281" s="77" t="n">
        <v>46202.7554976852</v>
      </c>
      <c r="C281" s="77" t="n">
        <v>46202.7697569444</v>
      </c>
      <c r="D281" s="38" t="n">
        <v>0.342222222222222</v>
      </c>
      <c r="E281" s="38" t="n">
        <v>9.7997</v>
      </c>
      <c r="F281" s="38" t="n">
        <v>30.458</v>
      </c>
      <c r="G281" s="14" t="s">
        <v>67</v>
      </c>
      <c r="H281" s="78" t="b">
        <f aca="false">TRUE()</f>
        <v>1</v>
      </c>
      <c r="I281" s="78" t="b">
        <f aca="false">FALSE()</f>
        <v>0</v>
      </c>
      <c r="J281" s="55" t="n">
        <v>1</v>
      </c>
      <c r="K281" s="14" t="s">
        <v>229</v>
      </c>
      <c r="L281" s="14" t="s">
        <v>233</v>
      </c>
      <c r="M281" s="14"/>
      <c r="N281" s="14"/>
      <c r="O281" s="14"/>
      <c r="P281" s="42" t="n">
        <v>7.97</v>
      </c>
      <c r="Q281" s="42" t="n">
        <v>5.93</v>
      </c>
      <c r="R281" s="53" t="n">
        <f aca="false">INT(B281)</f>
        <v>46202</v>
      </c>
      <c r="S281" s="14" t="n">
        <f aca="false">IF(AND(I281=TRUE(),COUNTIFS($R$5:R281,R281,$I$5:I281,TRUE())=1),1,0)</f>
        <v>0</v>
      </c>
      <c r="T281" s="71" t="n">
        <v>0.5</v>
      </c>
      <c r="U281" s="42" t="n">
        <v>6.59</v>
      </c>
      <c r="V281" s="42" t="n">
        <v>4.89985</v>
      </c>
      <c r="W281" s="42" t="n">
        <f aca="false">SUM(Z281:AE281)</f>
        <v>2.04</v>
      </c>
      <c r="X281" s="14" t="s">
        <v>105</v>
      </c>
      <c r="Y281" s="53" t="n">
        <v>46202</v>
      </c>
      <c r="Z281" s="42" t="n">
        <v>0.39</v>
      </c>
      <c r="AA281" s="42" t="n">
        <v>0</v>
      </c>
      <c r="AB281" s="42" t="n">
        <v>0</v>
      </c>
      <c r="AC281" s="42" t="n">
        <v>0</v>
      </c>
      <c r="AD281" s="42" t="n">
        <v>0.66</v>
      </c>
      <c r="AE281" s="42" t="n">
        <v>0.99</v>
      </c>
      <c r="AF281" s="14" t="n">
        <f aca="false">IF(AND(E281&gt;0,COUNTIFS($R$5:R281,R281,$E$5:E281,"&gt;0")=1),1,0)</f>
        <v>1</v>
      </c>
      <c r="AG281" s="14" t="n">
        <f aca="false">IF(AND(E281&gt;0,COUNTIFS($R$5:R281,R281,$K$5:K281,K281,$E$5:E281,"&gt;0")=1),1,0)</f>
        <v>1</v>
      </c>
    </row>
    <row r="282" customFormat="false" ht="15" hidden="false" customHeight="false" outlineLevel="0" collapsed="false">
      <c r="A282" s="17" t="n">
        <v>5284525031</v>
      </c>
      <c r="B282" s="79" t="n">
        <v>46203.8389236111</v>
      </c>
      <c r="C282" s="79" t="n">
        <v>46203.8560069444</v>
      </c>
      <c r="D282" s="39" t="n">
        <v>0.41</v>
      </c>
      <c r="E282" s="39" t="n">
        <v>2.828075</v>
      </c>
      <c r="F282" s="39" t="n">
        <v>7.2436</v>
      </c>
      <c r="G282" s="17" t="s">
        <v>67</v>
      </c>
      <c r="H282" s="80" t="b">
        <f aca="false">FALSE()</f>
        <v>0</v>
      </c>
      <c r="I282" s="80" t="b">
        <f aca="false">FALSE()</f>
        <v>0</v>
      </c>
      <c r="J282" s="81" t="n">
        <v>0</v>
      </c>
      <c r="K282" s="17" t="s">
        <v>225</v>
      </c>
      <c r="L282" s="17" t="s">
        <v>233</v>
      </c>
      <c r="M282" s="17"/>
      <c r="N282" s="17"/>
      <c r="O282" s="17"/>
      <c r="P282" s="44" t="n">
        <v>4.15</v>
      </c>
      <c r="Q282" s="44" t="n">
        <v>3.11</v>
      </c>
      <c r="R282" s="54" t="n">
        <f aca="false">INT(B282)</f>
        <v>46203</v>
      </c>
      <c r="S282" s="17" t="n">
        <f aca="false">IF(AND(I282=TRUE(),COUNTIFS($R$5:R282,R282,$I$5:I282,TRUE())=1),1,0)</f>
        <v>0</v>
      </c>
      <c r="T282" s="73" t="n">
        <v>0.5</v>
      </c>
      <c r="U282" s="44" t="n">
        <v>3.46</v>
      </c>
      <c r="V282" s="44" t="n">
        <v>1.4140375</v>
      </c>
      <c r="W282" s="44" t="n">
        <f aca="false">SUM(Z282:AE282)</f>
        <v>1.04</v>
      </c>
      <c r="X282" s="17" t="s">
        <v>106</v>
      </c>
      <c r="Y282" s="54" t="n">
        <v>46202</v>
      </c>
      <c r="Z282" s="44" t="n">
        <v>0.2</v>
      </c>
      <c r="AA282" s="44" t="n">
        <v>0</v>
      </c>
      <c r="AB282" s="44" t="n">
        <v>0</v>
      </c>
      <c r="AC282" s="44" t="n">
        <v>0</v>
      </c>
      <c r="AD282" s="44" t="n">
        <v>0.35</v>
      </c>
      <c r="AE282" s="44" t="n">
        <v>0.49</v>
      </c>
      <c r="AF282" s="17" t="n">
        <f aca="false">IF(AND(E282&gt;0,COUNTIFS($R$5:R282,R282,$E$5:E282,"&gt;0")=1),1,0)</f>
        <v>1</v>
      </c>
      <c r="AG282" s="17" t="n">
        <f aca="false">IF(AND(E282&gt;0,COUNTIFS($R$5:R282,R282,$K$5:K282,K282,$E$5:E282,"&gt;0")=1),1,0)</f>
        <v>1</v>
      </c>
    </row>
    <row r="283" customFormat="false" ht="15" hidden="false" customHeight="false" outlineLevel="0" collapsed="false">
      <c r="A283" s="14" t="n">
        <v>5285094601</v>
      </c>
      <c r="B283" s="77" t="n">
        <v>46203.9655671296</v>
      </c>
      <c r="C283" s="77" t="n">
        <v>46203.9664351852</v>
      </c>
      <c r="D283" s="38" t="n">
        <v>0.0208333333333333</v>
      </c>
      <c r="E283" s="38" t="n">
        <v>0</v>
      </c>
      <c r="F283" s="38" t="n">
        <v>0</v>
      </c>
      <c r="G283" s="14" t="s">
        <v>68</v>
      </c>
      <c r="H283" s="78" t="b">
        <f aca="false">FALSE()</f>
        <v>0</v>
      </c>
      <c r="I283" s="78" t="b">
        <f aca="false">TRUE()</f>
        <v>1</v>
      </c>
      <c r="J283" s="55"/>
      <c r="K283" s="14" t="s">
        <v>229</v>
      </c>
      <c r="L283" s="14" t="s">
        <v>226</v>
      </c>
      <c r="M283" s="14"/>
      <c r="N283" s="14"/>
      <c r="O283" s="14"/>
      <c r="P283" s="42"/>
      <c r="Q283" s="42"/>
      <c r="R283" s="53" t="n">
        <f aca="false">INT(B283)</f>
        <v>46203</v>
      </c>
      <c r="S283" s="14" t="n">
        <f aca="false">IF(AND(I283=TRUE(),COUNTIFS($R$5:R283,R283,$I$5:I283,TRUE())=1),1,0)</f>
        <v>1</v>
      </c>
      <c r="T283" s="71"/>
      <c r="U283" s="42"/>
      <c r="V283" s="42"/>
      <c r="W283" s="42" t="n">
        <f aca="false">SUM(Z283:AE283)</f>
        <v>0</v>
      </c>
      <c r="X283" s="14" t="s">
        <v>106</v>
      </c>
      <c r="Y283" s="53" t="n">
        <v>46202</v>
      </c>
      <c r="Z283" s="42"/>
      <c r="AA283" s="42"/>
      <c r="AB283" s="42"/>
      <c r="AC283" s="42"/>
      <c r="AD283" s="42"/>
      <c r="AE283" s="42"/>
      <c r="AF283" s="14" t="n">
        <f aca="false">IF(AND(E283&gt;0,COUNTIFS($R$5:R283,R283,$E$5:E283,"&gt;0")=1),1,0)</f>
        <v>0</v>
      </c>
      <c r="AG283" s="14" t="n">
        <f aca="false">IF(AND(E283&gt;0,COUNTIFS($R$5:R283,R283,$K$5:K283,K283,$E$5:E283,"&gt;0")=1),1,0)</f>
        <v>0</v>
      </c>
    </row>
    <row r="284" customFormat="false" ht="15" hidden="false" customHeight="false" outlineLevel="0" collapsed="false">
      <c r="A284" s="17" t="n">
        <v>5285115921</v>
      </c>
      <c r="B284" s="79" t="n">
        <v>46203.9690856482</v>
      </c>
      <c r="C284" s="79" t="n">
        <v>46203.9704166667</v>
      </c>
      <c r="D284" s="39" t="n">
        <v>0.0319444444444444</v>
      </c>
      <c r="E284" s="39" t="n">
        <v>0</v>
      </c>
      <c r="F284" s="39" t="n">
        <v>0</v>
      </c>
      <c r="G284" s="17" t="s">
        <v>68</v>
      </c>
      <c r="H284" s="80" t="b">
        <f aca="false">FALSE()</f>
        <v>0</v>
      </c>
      <c r="I284" s="80" t="b">
        <f aca="false">TRUE()</f>
        <v>1</v>
      </c>
      <c r="J284" s="81"/>
      <c r="K284" s="17" t="s">
        <v>225</v>
      </c>
      <c r="L284" s="17" t="s">
        <v>226</v>
      </c>
      <c r="M284" s="17"/>
      <c r="N284" s="17"/>
      <c r="O284" s="17"/>
      <c r="P284" s="44"/>
      <c r="Q284" s="44"/>
      <c r="R284" s="54" t="n">
        <f aca="false">INT(B284)</f>
        <v>46203</v>
      </c>
      <c r="S284" s="17" t="n">
        <f aca="false">IF(AND(I284=TRUE(),COUNTIFS($R$5:R284,R284,$I$5:I284,TRUE())=1),1,0)</f>
        <v>0</v>
      </c>
      <c r="T284" s="73"/>
      <c r="U284" s="44"/>
      <c r="V284" s="44"/>
      <c r="W284" s="44" t="n">
        <f aca="false">SUM(Z284:AE284)</f>
        <v>0</v>
      </c>
      <c r="X284" s="17" t="s">
        <v>106</v>
      </c>
      <c r="Y284" s="54" t="n">
        <v>46202</v>
      </c>
      <c r="Z284" s="44"/>
      <c r="AA284" s="44"/>
      <c r="AB284" s="44"/>
      <c r="AC284" s="44"/>
      <c r="AD284" s="44"/>
      <c r="AE284" s="44"/>
      <c r="AF284" s="17" t="n">
        <f aca="false">IF(AND(E284&gt;0,COUNTIFS($R$5:R284,R284,$E$5:E284,"&gt;0")=1),1,0)</f>
        <v>0</v>
      </c>
      <c r="AG284" s="17" t="n">
        <f aca="false">IF(AND(E284&gt;0,COUNTIFS($R$5:R284,R284,$K$5:K284,K284,$E$5:E284,"&gt;0")=1),1,0)</f>
        <v>0</v>
      </c>
    </row>
    <row r="285" customFormat="false" ht="15" hidden="false" customHeight="false" outlineLevel="0" collapsed="false">
      <c r="A285" s="14" t="n">
        <v>5285117891</v>
      </c>
      <c r="B285" s="77" t="n">
        <v>46203.9708564815</v>
      </c>
      <c r="C285" s="77" t="n">
        <v>46204.0424074074</v>
      </c>
      <c r="D285" s="38" t="n">
        <v>1.71722222222222</v>
      </c>
      <c r="E285" s="38" t="n">
        <v>9.448799</v>
      </c>
      <c r="F285" s="38" t="n">
        <v>6.4264</v>
      </c>
      <c r="G285" s="14" t="s">
        <v>68</v>
      </c>
      <c r="H285" s="78" t="b">
        <f aca="false">FALSE()</f>
        <v>0</v>
      </c>
      <c r="I285" s="78" t="b">
        <f aca="false">TRUE()</f>
        <v>1</v>
      </c>
      <c r="J285" s="55" t="n">
        <v>0</v>
      </c>
      <c r="K285" s="14" t="s">
        <v>225</v>
      </c>
      <c r="L285" s="14" t="s">
        <v>226</v>
      </c>
      <c r="M285" s="14" t="s">
        <v>230</v>
      </c>
      <c r="N285" s="14"/>
      <c r="O285" s="14" t="s">
        <v>228</v>
      </c>
      <c r="P285" s="42" t="n">
        <v>14.36</v>
      </c>
      <c r="Q285" s="42" t="n">
        <v>11.98</v>
      </c>
      <c r="R285" s="53" t="n">
        <f aca="false">INT(B285)</f>
        <v>46203</v>
      </c>
      <c r="S285" s="14" t="n">
        <f aca="false">IF(AND(I285=TRUE(),COUNTIFS($R$5:R285,R285,$I$5:I285,TRUE())=1),1,0)</f>
        <v>0</v>
      </c>
      <c r="T285" s="71" t="n">
        <v>0.5</v>
      </c>
      <c r="U285" s="42" t="n">
        <v>13.31</v>
      </c>
      <c r="V285" s="42" t="n">
        <v>4.7243995</v>
      </c>
      <c r="W285" s="42" t="n">
        <f aca="false">SUM(Z285:AE285)</f>
        <v>2.38</v>
      </c>
      <c r="X285" s="14" t="s">
        <v>106</v>
      </c>
      <c r="Y285" s="53" t="n">
        <v>46202</v>
      </c>
      <c r="Z285" s="42" t="n">
        <v>0.8</v>
      </c>
      <c r="AA285" s="42" t="n">
        <v>0</v>
      </c>
      <c r="AB285" s="42" t="n">
        <v>0</v>
      </c>
      <c r="AC285" s="42" t="n">
        <v>0</v>
      </c>
      <c r="AD285" s="42" t="n">
        <v>1.33</v>
      </c>
      <c r="AE285" s="42" t="n">
        <v>0.25</v>
      </c>
      <c r="AF285" s="14" t="n">
        <f aca="false">IF(AND(E285&gt;0,COUNTIFS($R$5:R285,R285,$E$5:E285,"&gt;0")=1),1,0)</f>
        <v>0</v>
      </c>
      <c r="AG285" s="14" t="n">
        <f aca="false">IF(AND(E285&gt;0,COUNTIFS($R$5:R285,R285,$K$5:K285,K285,$E$5:E285,"&gt;0")=1),1,0)</f>
        <v>0</v>
      </c>
    </row>
    <row r="286" customFormat="false" ht="15" hidden="false" customHeight="false" outlineLevel="0" collapsed="false">
      <c r="A286" s="17" t="n">
        <v>5291586711</v>
      </c>
      <c r="B286" s="79" t="n">
        <v>46205.8866319444</v>
      </c>
      <c r="C286" s="79" t="n">
        <v>46205.9165856482</v>
      </c>
      <c r="D286" s="39" t="n">
        <v>0.718888888888889</v>
      </c>
      <c r="E286" s="39" t="n">
        <v>24.9589</v>
      </c>
      <c r="F286" s="39" t="n">
        <v>35.921</v>
      </c>
      <c r="G286" s="17" t="s">
        <v>67</v>
      </c>
      <c r="H286" s="80" t="b">
        <f aca="false">TRUE()</f>
        <v>1</v>
      </c>
      <c r="I286" s="80" t="b">
        <f aca="false">FALSE()</f>
        <v>0</v>
      </c>
      <c r="J286" s="81" t="n">
        <v>1</v>
      </c>
      <c r="K286" s="17" t="s">
        <v>229</v>
      </c>
      <c r="L286" s="17" t="s">
        <v>233</v>
      </c>
      <c r="M286" s="17"/>
      <c r="N286" s="17"/>
      <c r="O286" s="17"/>
      <c r="P286" s="44" t="n">
        <v>18.03</v>
      </c>
      <c r="Q286" s="44" t="n">
        <v>14.46</v>
      </c>
      <c r="R286" s="54" t="n">
        <f aca="false">INT(B286)</f>
        <v>46205</v>
      </c>
      <c r="S286" s="17" t="n">
        <f aca="false">IF(AND(I286=TRUE(),COUNTIFS($R$5:R286,R286,$I$5:I286,TRUE())=1),1,0)</f>
        <v>0</v>
      </c>
      <c r="T286" s="73" t="n">
        <v>0.5</v>
      </c>
      <c r="U286" s="44" t="n">
        <v>16.07</v>
      </c>
      <c r="V286" s="44" t="n">
        <v>12.47945</v>
      </c>
      <c r="W286" s="44" t="n">
        <f aca="false">SUM(Z286:AE286)</f>
        <v>3.57</v>
      </c>
      <c r="X286" s="17" t="s">
        <v>108</v>
      </c>
      <c r="Y286" s="54" t="n">
        <v>46202</v>
      </c>
      <c r="Z286" s="44" t="n">
        <v>0.97</v>
      </c>
      <c r="AA286" s="44" t="n">
        <v>0</v>
      </c>
      <c r="AB286" s="44" t="n">
        <v>0</v>
      </c>
      <c r="AC286" s="44" t="n">
        <v>0</v>
      </c>
      <c r="AD286" s="44" t="n">
        <v>1.61</v>
      </c>
      <c r="AE286" s="44" t="n">
        <v>0.99</v>
      </c>
      <c r="AF286" s="17" t="n">
        <f aca="false">IF(AND(E286&gt;0,COUNTIFS($R$5:R286,R286,$E$5:E286,"&gt;0")=1),1,0)</f>
        <v>1</v>
      </c>
      <c r="AG286" s="17" t="n">
        <f aca="false">IF(AND(E286&gt;0,COUNTIFS($R$5:R286,R286,$K$5:K286,K286,$E$5:E286,"&gt;0")=1),1,0)</f>
        <v>1</v>
      </c>
    </row>
    <row r="287" customFormat="false" ht="15" hidden="false" customHeight="false" outlineLevel="0" collapsed="false">
      <c r="A287" s="14" t="n">
        <v>5294369691</v>
      </c>
      <c r="B287" s="77" t="n">
        <v>46206.8680787037</v>
      </c>
      <c r="C287" s="77" t="n">
        <v>46206.8746296296</v>
      </c>
      <c r="D287" s="38" t="n">
        <v>0.157222222222222</v>
      </c>
      <c r="E287" s="38" t="n">
        <v>5.3948</v>
      </c>
      <c r="F287" s="38" t="n">
        <v>36.831</v>
      </c>
      <c r="G287" s="14" t="s">
        <v>67</v>
      </c>
      <c r="H287" s="78" t="b">
        <f aca="false">TRUE()</f>
        <v>1</v>
      </c>
      <c r="I287" s="78" t="b">
        <f aca="false">FALSE()</f>
        <v>0</v>
      </c>
      <c r="J287" s="55"/>
      <c r="K287" s="14" t="s">
        <v>229</v>
      </c>
      <c r="L287" s="14" t="s">
        <v>233</v>
      </c>
      <c r="M287" s="14"/>
      <c r="N287" s="14"/>
      <c r="O287" s="14"/>
      <c r="P287" s="42" t="n">
        <v>4.68</v>
      </c>
      <c r="Q287" s="42" t="n">
        <v>3.13</v>
      </c>
      <c r="R287" s="53" t="n">
        <f aca="false">INT(B287)</f>
        <v>46206</v>
      </c>
      <c r="S287" s="14" t="n">
        <f aca="false">IF(AND(I287=TRUE(),COUNTIFS($R$5:R287,R287,$I$5:I287,TRUE())=1),1,0)</f>
        <v>0</v>
      </c>
      <c r="T287" s="71" t="n">
        <v>0.5</v>
      </c>
      <c r="U287" s="42" t="n">
        <v>3.48</v>
      </c>
      <c r="V287" s="42" t="n">
        <v>2.6974</v>
      </c>
      <c r="W287" s="42" t="n">
        <f aca="false">SUM(Z287:AE287)</f>
        <v>1.55</v>
      </c>
      <c r="X287" s="14" t="s">
        <v>109</v>
      </c>
      <c r="Y287" s="53" t="n">
        <v>46202</v>
      </c>
      <c r="Z287" s="42" t="n">
        <v>0.21</v>
      </c>
      <c r="AA287" s="42" t="n">
        <v>0</v>
      </c>
      <c r="AB287" s="42" t="n">
        <v>0</v>
      </c>
      <c r="AC287" s="42" t="n">
        <v>0</v>
      </c>
      <c r="AD287" s="42" t="n">
        <v>0.35</v>
      </c>
      <c r="AE287" s="42" t="n">
        <v>0.99</v>
      </c>
      <c r="AF287" s="14" t="n">
        <f aca="false">IF(AND(E287&gt;0,COUNTIFS($R$5:R287,R287,$E$5:E287,"&gt;0")=1),1,0)</f>
        <v>1</v>
      </c>
      <c r="AG287" s="14" t="n">
        <f aca="false">IF(AND(E287&gt;0,COUNTIFS($R$5:R287,R287,$K$5:K287,K287,$E$5:E287,"&gt;0")=1),1,0)</f>
        <v>1</v>
      </c>
    </row>
    <row r="288" customFormat="false" ht="15" hidden="false" customHeight="false" outlineLevel="0" collapsed="false">
      <c r="A288" s="17" t="n">
        <v>5294457821</v>
      </c>
      <c r="B288" s="79" t="n">
        <v>46206.8921412037</v>
      </c>
      <c r="C288" s="79" t="n">
        <v>46206.9141666667</v>
      </c>
      <c r="D288" s="39" t="n">
        <v>0.528611111111111</v>
      </c>
      <c r="E288" s="39" t="n">
        <v>18.0934</v>
      </c>
      <c r="F288" s="39" t="n">
        <v>35.833</v>
      </c>
      <c r="G288" s="17" t="s">
        <v>67</v>
      </c>
      <c r="H288" s="80" t="b">
        <f aca="false">TRUE()</f>
        <v>1</v>
      </c>
      <c r="I288" s="80" t="b">
        <f aca="false">FALSE()</f>
        <v>0</v>
      </c>
      <c r="J288" s="81" t="n">
        <v>1</v>
      </c>
      <c r="K288" s="17" t="s">
        <v>229</v>
      </c>
      <c r="L288" s="17" t="s">
        <v>226</v>
      </c>
      <c r="M288" s="17" t="s">
        <v>358</v>
      </c>
      <c r="N288" s="17"/>
      <c r="O288" s="17" t="s">
        <v>232</v>
      </c>
      <c r="P288" s="44" t="n">
        <v>12.88</v>
      </c>
      <c r="Q288" s="44" t="n">
        <v>10.52</v>
      </c>
      <c r="R288" s="54" t="n">
        <f aca="false">INT(B288)</f>
        <v>46206</v>
      </c>
      <c r="S288" s="17" t="n">
        <f aca="false">IF(AND(I288=TRUE(),COUNTIFS($R$5:R288,R288,$I$5:I288,TRUE())=1),1,0)</f>
        <v>0</v>
      </c>
      <c r="T288" s="73" t="n">
        <v>0.5</v>
      </c>
      <c r="U288" s="44" t="n">
        <v>11.69</v>
      </c>
      <c r="V288" s="44" t="n">
        <v>9.0467</v>
      </c>
      <c r="W288" s="44" t="n">
        <f aca="false">SUM(Z288:AE288)</f>
        <v>2.36</v>
      </c>
      <c r="X288" s="17" t="s">
        <v>109</v>
      </c>
      <c r="Y288" s="54" t="n">
        <v>46202</v>
      </c>
      <c r="Z288" s="44" t="n">
        <v>0.7</v>
      </c>
      <c r="AA288" s="44" t="n">
        <v>0</v>
      </c>
      <c r="AB288" s="44" t="n">
        <v>0</v>
      </c>
      <c r="AC288" s="44" t="n">
        <v>0</v>
      </c>
      <c r="AD288" s="44" t="n">
        <v>1.17</v>
      </c>
      <c r="AE288" s="44" t="n">
        <v>0.49</v>
      </c>
      <c r="AF288" s="17" t="n">
        <f aca="false">IF(AND(E288&gt;0,COUNTIFS($R$5:R288,R288,$E$5:E288,"&gt;0")=1),1,0)</f>
        <v>0</v>
      </c>
      <c r="AG288" s="17" t="n">
        <f aca="false">IF(AND(E288&gt;0,COUNTIFS($R$5:R288,R288,$K$5:K288,K288,$E$5:E288,"&gt;0")=1),1,0)</f>
        <v>0</v>
      </c>
    </row>
    <row r="289" customFormat="false" ht="15" hidden="false" customHeight="false" outlineLevel="0" collapsed="false">
      <c r="A289" s="14" t="n">
        <v>5300107181</v>
      </c>
      <c r="B289" s="77" t="n">
        <v>46208.6490625</v>
      </c>
      <c r="C289" s="77" t="n">
        <v>46208.6687037037</v>
      </c>
      <c r="D289" s="38" t="n">
        <v>0.471388888888889</v>
      </c>
      <c r="E289" s="38" t="n">
        <v>16.0578</v>
      </c>
      <c r="F289" s="38" t="n">
        <v>36.544</v>
      </c>
      <c r="G289" s="14" t="s">
        <v>66</v>
      </c>
      <c r="H289" s="78" t="b">
        <f aca="false">TRUE()</f>
        <v>1</v>
      </c>
      <c r="I289" s="78" t="b">
        <f aca="false">FALSE()</f>
        <v>0</v>
      </c>
      <c r="J289" s="55" t="n">
        <v>1</v>
      </c>
      <c r="K289" s="14" t="s">
        <v>229</v>
      </c>
      <c r="L289" s="14" t="s">
        <v>226</v>
      </c>
      <c r="M289" s="14" t="s">
        <v>359</v>
      </c>
      <c r="N289" s="14" t="s">
        <v>360</v>
      </c>
      <c r="O289" s="14" t="s">
        <v>297</v>
      </c>
      <c r="P289" s="42" t="n">
        <v>11.5</v>
      </c>
      <c r="Q289" s="42" t="n">
        <v>9.35</v>
      </c>
      <c r="R289" s="53" t="n">
        <f aca="false">INT(B289)</f>
        <v>46208</v>
      </c>
      <c r="S289" s="14" t="n">
        <f aca="false">IF(AND(I289=TRUE(),COUNTIFS($R$5:R289,R289,$I$5:I289,TRUE())=1),1,0)</f>
        <v>0</v>
      </c>
      <c r="T289" s="71" t="n">
        <v>0.5</v>
      </c>
      <c r="U289" s="42" t="n">
        <v>10.39</v>
      </c>
      <c r="V289" s="42" t="n">
        <v>8.0289</v>
      </c>
      <c r="W289" s="42" t="n">
        <f aca="false">SUM(Z289:AE289)</f>
        <v>2.15</v>
      </c>
      <c r="X289" s="14" t="s">
        <v>111</v>
      </c>
      <c r="Y289" s="53" t="n">
        <v>46202</v>
      </c>
      <c r="Z289" s="42" t="n">
        <v>0.62</v>
      </c>
      <c r="AA289" s="42" t="n">
        <v>0</v>
      </c>
      <c r="AB289" s="42" t="n">
        <v>0</v>
      </c>
      <c r="AC289" s="42" t="n">
        <v>0</v>
      </c>
      <c r="AD289" s="42" t="n">
        <v>1.04</v>
      </c>
      <c r="AE289" s="42" t="n">
        <v>0.49</v>
      </c>
      <c r="AF289" s="14" t="n">
        <f aca="false">IF(AND(E289&gt;0,COUNTIFS($R$5:R289,R289,$E$5:E289,"&gt;0")=1),1,0)</f>
        <v>1</v>
      </c>
      <c r="AG289" s="14" t="n">
        <f aca="false">IF(AND(E289&gt;0,COUNTIFS($R$5:R289,R289,$K$5:K289,K289,$E$5:E289,"&gt;0")=1),1,0)</f>
        <v>1</v>
      </c>
    </row>
    <row r="290" customFormat="false" ht="15" hidden="false" customHeight="false" outlineLevel="0" collapsed="false">
      <c r="A290" s="17" t="n">
        <v>5300880821</v>
      </c>
      <c r="B290" s="79" t="n">
        <v>46208.8991782407</v>
      </c>
      <c r="C290" s="79" t="n">
        <v>46208.8996296296</v>
      </c>
      <c r="D290" s="39" t="n">
        <v>0.0108333333333333</v>
      </c>
      <c r="E290" s="39" t="n">
        <v>0</v>
      </c>
      <c r="F290" s="39" t="n">
        <v>0</v>
      </c>
      <c r="G290" s="17" t="s">
        <v>67</v>
      </c>
      <c r="H290" s="80" t="b">
        <f aca="false">FALSE()</f>
        <v>0</v>
      </c>
      <c r="I290" s="80" t="b">
        <f aca="false">FALSE()</f>
        <v>0</v>
      </c>
      <c r="J290" s="81"/>
      <c r="K290" s="17" t="s">
        <v>229</v>
      </c>
      <c r="L290" s="17" t="s">
        <v>233</v>
      </c>
      <c r="M290" s="17"/>
      <c r="N290" s="17"/>
      <c r="O290" s="17"/>
      <c r="P290" s="44"/>
      <c r="Q290" s="44"/>
      <c r="R290" s="54" t="n">
        <f aca="false">INT(B290)</f>
        <v>46208</v>
      </c>
      <c r="S290" s="17" t="n">
        <f aca="false">IF(AND(I290=TRUE(),COUNTIFS($R$5:R290,R290,$I$5:I290,TRUE())=1),1,0)</f>
        <v>0</v>
      </c>
      <c r="T290" s="73"/>
      <c r="U290" s="44"/>
      <c r="V290" s="44"/>
      <c r="W290" s="44" t="n">
        <f aca="false">SUM(Z290:AE290)</f>
        <v>0</v>
      </c>
      <c r="X290" s="17" t="s">
        <v>111</v>
      </c>
      <c r="Y290" s="54" t="n">
        <v>46202</v>
      </c>
      <c r="Z290" s="44"/>
      <c r="AA290" s="44"/>
      <c r="AB290" s="44"/>
      <c r="AC290" s="44"/>
      <c r="AD290" s="44"/>
      <c r="AE290" s="44"/>
      <c r="AF290" s="17" t="n">
        <f aca="false">IF(AND(E290&gt;0,COUNTIFS($R$5:R290,R290,$E$5:E290,"&gt;0")=1),1,0)</f>
        <v>0</v>
      </c>
      <c r="AG290" s="17" t="n">
        <f aca="false">IF(AND(E290&gt;0,COUNTIFS($R$5:R290,R290,$K$5:K290,K290,$E$5:E290,"&gt;0")=1),1,0)</f>
        <v>0</v>
      </c>
    </row>
    <row r="291" customFormat="false" ht="15" hidden="false" customHeight="false" outlineLevel="0" collapsed="false">
      <c r="A291" s="14" t="n">
        <v>5306718701</v>
      </c>
      <c r="B291" s="77" t="n">
        <v>46210.7636342593</v>
      </c>
      <c r="C291" s="77" t="n">
        <v>46210.7960185185</v>
      </c>
      <c r="D291" s="38" t="n">
        <v>0.777222222222222</v>
      </c>
      <c r="E291" s="38" t="n">
        <v>29.0876</v>
      </c>
      <c r="F291" s="38" t="n">
        <v>39.583</v>
      </c>
      <c r="G291" s="14" t="s">
        <v>67</v>
      </c>
      <c r="H291" s="78" t="b">
        <f aca="false">TRUE()</f>
        <v>1</v>
      </c>
      <c r="I291" s="78" t="b">
        <f aca="false">FALSE()</f>
        <v>0</v>
      </c>
      <c r="J291" s="55" t="n">
        <v>1</v>
      </c>
      <c r="K291" s="14" t="s">
        <v>229</v>
      </c>
      <c r="L291" s="14" t="s">
        <v>226</v>
      </c>
      <c r="M291" s="14" t="s">
        <v>230</v>
      </c>
      <c r="N291" s="14"/>
      <c r="O291" s="14" t="s">
        <v>228</v>
      </c>
      <c r="P291" s="42" t="n">
        <v>19.47</v>
      </c>
      <c r="Q291" s="42" t="n">
        <v>16.53</v>
      </c>
      <c r="R291" s="53" t="n">
        <f aca="false">INT(B291)</f>
        <v>46210</v>
      </c>
      <c r="S291" s="14" t="n">
        <f aca="false">IF(AND(I291=TRUE(),COUNTIFS($R$5:R291,R291,$I$5:I291,TRUE())=1),1,0)</f>
        <v>0</v>
      </c>
      <c r="T291" s="71" t="n">
        <v>0.5</v>
      </c>
      <c r="U291" s="42" t="n">
        <v>18.37</v>
      </c>
      <c r="V291" s="42" t="n">
        <v>14.5438</v>
      </c>
      <c r="W291" s="42" t="n">
        <f aca="false">SUM(Z291:AE291)</f>
        <v>2.94</v>
      </c>
      <c r="X291" s="14" t="s">
        <v>106</v>
      </c>
      <c r="Y291" s="53" t="n">
        <v>46209</v>
      </c>
      <c r="Z291" s="42" t="n">
        <v>1.1</v>
      </c>
      <c r="AA291" s="42" t="n">
        <v>0</v>
      </c>
      <c r="AB291" s="42" t="n">
        <v>0</v>
      </c>
      <c r="AC291" s="42" t="n">
        <v>0</v>
      </c>
      <c r="AD291" s="42" t="n">
        <v>1.84</v>
      </c>
      <c r="AE291" s="42" t="n">
        <v>0</v>
      </c>
      <c r="AF291" s="14" t="n">
        <f aca="false">IF(AND(E291&gt;0,COUNTIFS($R$5:R291,R291,$E$5:E291,"&gt;0")=1),1,0)</f>
        <v>1</v>
      </c>
      <c r="AG291" s="14" t="n">
        <f aca="false">IF(AND(E291&gt;0,COUNTIFS($R$5:R291,R291,$K$5:K291,K291,$E$5:E291,"&gt;0")=1),1,0)</f>
        <v>1</v>
      </c>
    </row>
    <row r="292" customFormat="false" ht="15" hidden="false" customHeight="false" outlineLevel="0" collapsed="false">
      <c r="A292" s="17" t="n">
        <v>5312043551</v>
      </c>
      <c r="B292" s="79" t="n">
        <v>46212.1677199074</v>
      </c>
      <c r="C292" s="79" t="n">
        <v>46212.3225347222</v>
      </c>
      <c r="D292" s="39" t="n">
        <v>3.71555555555556</v>
      </c>
      <c r="E292" s="39" t="n">
        <v>12.304789</v>
      </c>
      <c r="F292" s="39" t="n">
        <v>3.3526</v>
      </c>
      <c r="G292" s="17" t="s">
        <v>68</v>
      </c>
      <c r="H292" s="80" t="b">
        <f aca="false">FALSE()</f>
        <v>0</v>
      </c>
      <c r="I292" s="80" t="b">
        <f aca="false">TRUE()</f>
        <v>1</v>
      </c>
      <c r="J292" s="81" t="n">
        <v>0</v>
      </c>
      <c r="K292" s="17" t="s">
        <v>225</v>
      </c>
      <c r="L292" s="17" t="s">
        <v>233</v>
      </c>
      <c r="M292" s="17"/>
      <c r="N292" s="17"/>
      <c r="O292" s="17"/>
      <c r="P292" s="44" t="n">
        <v>26.7</v>
      </c>
      <c r="Q292" s="44" t="n">
        <v>22.26</v>
      </c>
      <c r="R292" s="54" t="n">
        <f aca="false">INT(B292)</f>
        <v>46212</v>
      </c>
      <c r="S292" s="17" t="n">
        <f aca="false">IF(AND(I292=TRUE(),COUNTIFS($R$5:R292,R292,$I$5:I292,TRUE())=1),1,0)</f>
        <v>1</v>
      </c>
      <c r="T292" s="73" t="n">
        <v>0.5</v>
      </c>
      <c r="U292" s="44" t="n">
        <v>24.73</v>
      </c>
      <c r="V292" s="44" t="n">
        <v>6.1523945</v>
      </c>
      <c r="W292" s="44" t="n">
        <f aca="false">SUM(Z292:AE292)</f>
        <v>4.44</v>
      </c>
      <c r="X292" s="17" t="s">
        <v>108</v>
      </c>
      <c r="Y292" s="54" t="n">
        <v>46209</v>
      </c>
      <c r="Z292" s="44" t="n">
        <v>1.48</v>
      </c>
      <c r="AA292" s="44" t="n">
        <v>0</v>
      </c>
      <c r="AB292" s="44" t="n">
        <v>0</v>
      </c>
      <c r="AC292" s="44" t="n">
        <v>0</v>
      </c>
      <c r="AD292" s="44" t="n">
        <v>2.47</v>
      </c>
      <c r="AE292" s="44" t="n">
        <v>0.49</v>
      </c>
      <c r="AF292" s="17" t="n">
        <f aca="false">IF(AND(E292&gt;0,COUNTIFS($R$5:R292,R292,$E$5:E292,"&gt;0")=1),1,0)</f>
        <v>1</v>
      </c>
      <c r="AG292" s="17" t="n">
        <f aca="false">IF(AND(E292&gt;0,COUNTIFS($R$5:R292,R292,$K$5:K292,K292,$E$5:E292,"&gt;0")=1),1,0)</f>
        <v>1</v>
      </c>
    </row>
    <row r="293" customFormat="false" ht="15" hidden="false" customHeight="false" outlineLevel="0" collapsed="false">
      <c r="B293" s="82"/>
      <c r="C293" s="8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0"/>
  </cols>
  <sheetData>
    <row r="1" customFormat="false" ht="16.15" hidden="false" customHeight="false" outlineLevel="0" collapsed="false">
      <c r="A1" s="50" t="s">
        <v>361</v>
      </c>
    </row>
    <row r="2" customFormat="false" ht="15" hidden="false" customHeight="false" outlineLevel="0" collapsed="false">
      <c r="A2" s="30" t="s">
        <v>362</v>
      </c>
    </row>
    <row r="4" customFormat="false" ht="23.85" hidden="false" customHeight="false" outlineLevel="0" collapsed="false">
      <c r="A4" s="75" t="s">
        <v>86</v>
      </c>
      <c r="B4" s="75" t="s">
        <v>363</v>
      </c>
    </row>
    <row r="5" customFormat="false" ht="15" hidden="false" customHeight="false" outlineLevel="0" collapsed="false">
      <c r="A5" s="53" t="n">
        <v>45850</v>
      </c>
      <c r="B5" s="38" t="n">
        <v>0</v>
      </c>
    </row>
    <row r="6" customFormat="false" ht="15" hidden="false" customHeight="false" outlineLevel="0" collapsed="false">
      <c r="A6" s="54" t="n">
        <v>45851</v>
      </c>
      <c r="B6" s="39" t="n">
        <v>0</v>
      </c>
    </row>
    <row r="7" customFormat="false" ht="15" hidden="false" customHeight="false" outlineLevel="0" collapsed="false">
      <c r="A7" s="53" t="n">
        <v>45852</v>
      </c>
      <c r="B7" s="38" t="n">
        <v>0</v>
      </c>
    </row>
    <row r="8" customFormat="false" ht="15" hidden="false" customHeight="false" outlineLevel="0" collapsed="false">
      <c r="A8" s="54" t="n">
        <v>45853</v>
      </c>
      <c r="B8" s="39" t="n">
        <v>0</v>
      </c>
    </row>
    <row r="9" customFormat="false" ht="15" hidden="false" customHeight="false" outlineLevel="0" collapsed="false">
      <c r="A9" s="53" t="n">
        <v>45854</v>
      </c>
      <c r="B9" s="38" t="n">
        <v>0</v>
      </c>
    </row>
    <row r="10" customFormat="false" ht="15" hidden="false" customHeight="false" outlineLevel="0" collapsed="false">
      <c r="A10" s="54" t="n">
        <v>45855</v>
      </c>
      <c r="B10" s="39" t="n">
        <v>0</v>
      </c>
    </row>
    <row r="11" customFormat="false" ht="15" hidden="false" customHeight="false" outlineLevel="0" collapsed="false">
      <c r="A11" s="53" t="n">
        <v>45856</v>
      </c>
      <c r="B11" s="38" t="n">
        <v>0</v>
      </c>
    </row>
    <row r="12" customFormat="false" ht="15" hidden="false" customHeight="false" outlineLevel="0" collapsed="false">
      <c r="A12" s="54" t="n">
        <v>45857</v>
      </c>
      <c r="B12" s="39" t="n">
        <v>0</v>
      </c>
    </row>
    <row r="13" customFormat="false" ht="15" hidden="false" customHeight="false" outlineLevel="0" collapsed="false">
      <c r="A13" s="53" t="n">
        <v>45858</v>
      </c>
      <c r="B13" s="38" t="n">
        <v>0</v>
      </c>
    </row>
    <row r="14" customFormat="false" ht="15" hidden="false" customHeight="false" outlineLevel="0" collapsed="false">
      <c r="A14" s="54" t="n">
        <v>45859</v>
      </c>
      <c r="B14" s="39" t="n">
        <v>0</v>
      </c>
    </row>
    <row r="15" customFormat="false" ht="15" hidden="false" customHeight="false" outlineLevel="0" collapsed="false">
      <c r="A15" s="53" t="n">
        <v>45860</v>
      </c>
      <c r="B15" s="38" t="n">
        <v>0</v>
      </c>
    </row>
    <row r="16" customFormat="false" ht="15" hidden="false" customHeight="false" outlineLevel="0" collapsed="false">
      <c r="A16" s="54" t="n">
        <v>45861</v>
      </c>
      <c r="B16" s="39" t="n">
        <v>0</v>
      </c>
    </row>
    <row r="17" customFormat="false" ht="15" hidden="false" customHeight="false" outlineLevel="0" collapsed="false">
      <c r="A17" s="53" t="n">
        <v>45862</v>
      </c>
      <c r="B17" s="38" t="n">
        <v>0</v>
      </c>
    </row>
    <row r="18" customFormat="false" ht="15" hidden="false" customHeight="false" outlineLevel="0" collapsed="false">
      <c r="A18" s="54" t="n">
        <v>45863</v>
      </c>
      <c r="B18" s="39" t="n">
        <v>0</v>
      </c>
    </row>
    <row r="19" customFormat="false" ht="15" hidden="false" customHeight="false" outlineLevel="0" collapsed="false">
      <c r="A19" s="53" t="n">
        <v>45864</v>
      </c>
      <c r="B19" s="38" t="n">
        <v>0</v>
      </c>
    </row>
    <row r="20" customFormat="false" ht="15" hidden="false" customHeight="false" outlineLevel="0" collapsed="false">
      <c r="A20" s="54" t="n">
        <v>45865</v>
      </c>
      <c r="B20" s="39" t="n">
        <v>0</v>
      </c>
    </row>
    <row r="21" customFormat="false" ht="15" hidden="false" customHeight="false" outlineLevel="0" collapsed="false">
      <c r="A21" s="53" t="n">
        <v>45866</v>
      </c>
      <c r="B21" s="38" t="n">
        <v>0</v>
      </c>
    </row>
    <row r="22" customFormat="false" ht="15" hidden="false" customHeight="false" outlineLevel="0" collapsed="false">
      <c r="A22" s="54" t="n">
        <v>45867</v>
      </c>
      <c r="B22" s="39" t="n">
        <v>0</v>
      </c>
    </row>
    <row r="23" customFormat="false" ht="15" hidden="false" customHeight="false" outlineLevel="0" collapsed="false">
      <c r="A23" s="53" t="n">
        <v>45868</v>
      </c>
      <c r="B23" s="38" t="n">
        <v>0</v>
      </c>
    </row>
    <row r="24" customFormat="false" ht="15" hidden="false" customHeight="false" outlineLevel="0" collapsed="false">
      <c r="A24" s="54" t="n">
        <v>45869</v>
      </c>
      <c r="B24" s="39" t="n">
        <v>0</v>
      </c>
    </row>
    <row r="25" customFormat="false" ht="15" hidden="false" customHeight="false" outlineLevel="0" collapsed="false">
      <c r="A25" s="53" t="n">
        <v>45870</v>
      </c>
      <c r="B25" s="38" t="n">
        <v>0</v>
      </c>
    </row>
    <row r="26" customFormat="false" ht="15" hidden="false" customHeight="false" outlineLevel="0" collapsed="false">
      <c r="A26" s="54" t="n">
        <v>45871</v>
      </c>
      <c r="B26" s="39" t="n">
        <v>0</v>
      </c>
    </row>
    <row r="27" customFormat="false" ht="15" hidden="false" customHeight="false" outlineLevel="0" collapsed="false">
      <c r="A27" s="53" t="n">
        <v>45872</v>
      </c>
      <c r="B27" s="38" t="n">
        <v>0</v>
      </c>
    </row>
    <row r="28" customFormat="false" ht="15" hidden="false" customHeight="false" outlineLevel="0" collapsed="false">
      <c r="A28" s="54" t="n">
        <v>45873</v>
      </c>
      <c r="B28" s="39" t="n">
        <v>0</v>
      </c>
    </row>
    <row r="29" customFormat="false" ht="15" hidden="false" customHeight="false" outlineLevel="0" collapsed="false">
      <c r="A29" s="53" t="n">
        <v>45874</v>
      </c>
      <c r="B29" s="38" t="n">
        <v>0</v>
      </c>
    </row>
    <row r="30" customFormat="false" ht="15" hidden="false" customHeight="false" outlineLevel="0" collapsed="false">
      <c r="A30" s="54" t="n">
        <v>45875</v>
      </c>
      <c r="B30" s="39" t="n">
        <v>0</v>
      </c>
    </row>
    <row r="31" customFormat="false" ht="15" hidden="false" customHeight="false" outlineLevel="0" collapsed="false">
      <c r="A31" s="53" t="n">
        <v>45876</v>
      </c>
      <c r="B31" s="38" t="n">
        <v>0</v>
      </c>
    </row>
    <row r="32" customFormat="false" ht="15" hidden="false" customHeight="false" outlineLevel="0" collapsed="false">
      <c r="A32" s="54" t="n">
        <v>45877</v>
      </c>
      <c r="B32" s="39" t="n">
        <v>0</v>
      </c>
    </row>
    <row r="33" customFormat="false" ht="15" hidden="false" customHeight="false" outlineLevel="0" collapsed="false">
      <c r="A33" s="53" t="n">
        <v>45878</v>
      </c>
      <c r="B33" s="38" t="n">
        <v>0</v>
      </c>
    </row>
    <row r="34" customFormat="false" ht="15" hidden="false" customHeight="false" outlineLevel="0" collapsed="false">
      <c r="A34" s="54" t="n">
        <v>45879</v>
      </c>
      <c r="B34" s="39" t="n">
        <v>0</v>
      </c>
    </row>
    <row r="35" customFormat="false" ht="15" hidden="false" customHeight="false" outlineLevel="0" collapsed="false">
      <c r="A35" s="53" t="n">
        <v>45880</v>
      </c>
      <c r="B35" s="38" t="n">
        <v>0</v>
      </c>
    </row>
    <row r="36" customFormat="false" ht="15" hidden="false" customHeight="false" outlineLevel="0" collapsed="false">
      <c r="A36" s="54" t="n">
        <v>45881</v>
      </c>
      <c r="B36" s="39" t="n">
        <v>0</v>
      </c>
    </row>
    <row r="37" customFormat="false" ht="15" hidden="false" customHeight="false" outlineLevel="0" collapsed="false">
      <c r="A37" s="53" t="n">
        <v>45882</v>
      </c>
      <c r="B37" s="38" t="n">
        <v>0</v>
      </c>
    </row>
    <row r="38" customFormat="false" ht="15" hidden="false" customHeight="false" outlineLevel="0" collapsed="false">
      <c r="A38" s="54" t="n">
        <v>45883</v>
      </c>
      <c r="B38" s="39" t="n">
        <v>0</v>
      </c>
    </row>
    <row r="39" customFormat="false" ht="15" hidden="false" customHeight="false" outlineLevel="0" collapsed="false">
      <c r="A39" s="53" t="n">
        <v>45884</v>
      </c>
      <c r="B39" s="38" t="n">
        <v>0</v>
      </c>
    </row>
    <row r="40" customFormat="false" ht="15" hidden="false" customHeight="false" outlineLevel="0" collapsed="false">
      <c r="A40" s="54" t="n">
        <v>45885</v>
      </c>
      <c r="B40" s="39" t="n">
        <v>0</v>
      </c>
    </row>
    <row r="41" customFormat="false" ht="15" hidden="false" customHeight="false" outlineLevel="0" collapsed="false">
      <c r="A41" s="53" t="n">
        <v>45886</v>
      </c>
      <c r="B41" s="38" t="n">
        <v>0</v>
      </c>
    </row>
    <row r="42" customFormat="false" ht="15" hidden="false" customHeight="false" outlineLevel="0" collapsed="false">
      <c r="A42" s="54" t="n">
        <v>45887</v>
      </c>
      <c r="B42" s="39" t="n">
        <v>0</v>
      </c>
    </row>
    <row r="43" customFormat="false" ht="15" hidden="false" customHeight="false" outlineLevel="0" collapsed="false">
      <c r="A43" s="53" t="n">
        <v>45888</v>
      </c>
      <c r="B43" s="38" t="n">
        <v>0</v>
      </c>
    </row>
    <row r="44" customFormat="false" ht="15" hidden="false" customHeight="false" outlineLevel="0" collapsed="false">
      <c r="A44" s="54" t="n">
        <v>45889</v>
      </c>
      <c r="B44" s="39" t="n">
        <v>0</v>
      </c>
    </row>
    <row r="45" customFormat="false" ht="15" hidden="false" customHeight="false" outlineLevel="0" collapsed="false">
      <c r="A45" s="53" t="n">
        <v>45890</v>
      </c>
      <c r="B45" s="38" t="n">
        <v>0</v>
      </c>
    </row>
    <row r="46" customFormat="false" ht="15" hidden="false" customHeight="false" outlineLevel="0" collapsed="false">
      <c r="A46" s="54" t="n">
        <v>45891</v>
      </c>
      <c r="B46" s="39" t="n">
        <v>0</v>
      </c>
    </row>
    <row r="47" customFormat="false" ht="15" hidden="false" customHeight="false" outlineLevel="0" collapsed="false">
      <c r="A47" s="53" t="n">
        <v>45892</v>
      </c>
      <c r="B47" s="38" t="n">
        <v>0</v>
      </c>
    </row>
    <row r="48" customFormat="false" ht="15" hidden="false" customHeight="false" outlineLevel="0" collapsed="false">
      <c r="A48" s="54" t="n">
        <v>45893</v>
      </c>
      <c r="B48" s="39" t="n">
        <v>0</v>
      </c>
    </row>
    <row r="49" customFormat="false" ht="15" hidden="false" customHeight="false" outlineLevel="0" collapsed="false">
      <c r="A49" s="53" t="n">
        <v>45894</v>
      </c>
      <c r="B49" s="38" t="n">
        <v>0</v>
      </c>
    </row>
    <row r="50" customFormat="false" ht="15" hidden="false" customHeight="false" outlineLevel="0" collapsed="false">
      <c r="A50" s="54" t="n">
        <v>45895</v>
      </c>
      <c r="B50" s="39" t="n">
        <v>0</v>
      </c>
    </row>
    <row r="51" customFormat="false" ht="15" hidden="false" customHeight="false" outlineLevel="0" collapsed="false">
      <c r="A51" s="53" t="n">
        <v>45896</v>
      </c>
      <c r="B51" s="38" t="n">
        <v>0</v>
      </c>
    </row>
    <row r="52" customFormat="false" ht="15" hidden="false" customHeight="false" outlineLevel="0" collapsed="false">
      <c r="A52" s="54" t="n">
        <v>45897</v>
      </c>
      <c r="B52" s="39" t="n">
        <v>0</v>
      </c>
    </row>
    <row r="53" customFormat="false" ht="15" hidden="false" customHeight="false" outlineLevel="0" collapsed="false">
      <c r="A53" s="53" t="n">
        <v>45898</v>
      </c>
      <c r="B53" s="38" t="n">
        <v>0</v>
      </c>
    </row>
    <row r="54" customFormat="false" ht="15" hidden="false" customHeight="false" outlineLevel="0" collapsed="false">
      <c r="A54" s="54" t="n">
        <v>45899</v>
      </c>
      <c r="B54" s="39" t="n">
        <v>0</v>
      </c>
    </row>
    <row r="55" customFormat="false" ht="15" hidden="false" customHeight="false" outlineLevel="0" collapsed="false">
      <c r="A55" s="53" t="n">
        <v>45900</v>
      </c>
      <c r="B55" s="38" t="n">
        <v>0</v>
      </c>
    </row>
    <row r="56" customFormat="false" ht="15" hidden="false" customHeight="false" outlineLevel="0" collapsed="false">
      <c r="A56" s="54" t="n">
        <v>45901</v>
      </c>
      <c r="B56" s="39" t="n">
        <v>0</v>
      </c>
    </row>
    <row r="57" customFormat="false" ht="15" hidden="false" customHeight="false" outlineLevel="0" collapsed="false">
      <c r="A57" s="53" t="n">
        <v>45902</v>
      </c>
      <c r="B57" s="38" t="n">
        <v>0</v>
      </c>
    </row>
    <row r="58" customFormat="false" ht="15" hidden="false" customHeight="false" outlineLevel="0" collapsed="false">
      <c r="A58" s="54" t="n">
        <v>45903</v>
      </c>
      <c r="B58" s="39" t="n">
        <v>0</v>
      </c>
    </row>
    <row r="59" customFormat="false" ht="15" hidden="false" customHeight="false" outlineLevel="0" collapsed="false">
      <c r="A59" s="53" t="n">
        <v>45904</v>
      </c>
      <c r="B59" s="38" t="n">
        <v>0</v>
      </c>
    </row>
    <row r="60" customFormat="false" ht="15" hidden="false" customHeight="false" outlineLevel="0" collapsed="false">
      <c r="A60" s="54" t="n">
        <v>45905</v>
      </c>
      <c r="B60" s="39" t="n">
        <v>0</v>
      </c>
    </row>
    <row r="61" customFormat="false" ht="15" hidden="false" customHeight="false" outlineLevel="0" collapsed="false">
      <c r="A61" s="53" t="n">
        <v>45906</v>
      </c>
      <c r="B61" s="38" t="n">
        <v>0</v>
      </c>
    </row>
    <row r="62" customFormat="false" ht="15" hidden="false" customHeight="false" outlineLevel="0" collapsed="false">
      <c r="A62" s="54" t="n">
        <v>45907</v>
      </c>
      <c r="B62" s="39" t="n">
        <v>0</v>
      </c>
    </row>
    <row r="63" customFormat="false" ht="15" hidden="false" customHeight="false" outlineLevel="0" collapsed="false">
      <c r="A63" s="53" t="n">
        <v>45908</v>
      </c>
      <c r="B63" s="38" t="n">
        <v>0</v>
      </c>
    </row>
    <row r="64" customFormat="false" ht="15" hidden="false" customHeight="false" outlineLevel="0" collapsed="false">
      <c r="A64" s="54" t="n">
        <v>45909</v>
      </c>
      <c r="B64" s="39" t="n">
        <v>0</v>
      </c>
    </row>
    <row r="65" customFormat="false" ht="15" hidden="false" customHeight="false" outlineLevel="0" collapsed="false">
      <c r="A65" s="53" t="n">
        <v>45910</v>
      </c>
      <c r="B65" s="38" t="n">
        <v>0</v>
      </c>
    </row>
    <row r="66" customFormat="false" ht="15" hidden="false" customHeight="false" outlineLevel="0" collapsed="false">
      <c r="A66" s="54" t="n">
        <v>45911</v>
      </c>
      <c r="B66" s="39" t="n">
        <v>0</v>
      </c>
    </row>
    <row r="67" customFormat="false" ht="15" hidden="false" customHeight="false" outlineLevel="0" collapsed="false">
      <c r="A67" s="53" t="n">
        <v>45912</v>
      </c>
      <c r="B67" s="38" t="n">
        <v>0</v>
      </c>
    </row>
    <row r="68" customFormat="false" ht="15" hidden="false" customHeight="false" outlineLevel="0" collapsed="false">
      <c r="A68" s="54" t="n">
        <v>45913</v>
      </c>
      <c r="B68" s="39" t="n">
        <v>0</v>
      </c>
    </row>
    <row r="69" customFormat="false" ht="15" hidden="false" customHeight="false" outlineLevel="0" collapsed="false">
      <c r="A69" s="53" t="n">
        <v>45914</v>
      </c>
      <c r="B69" s="38" t="n">
        <v>0</v>
      </c>
    </row>
    <row r="70" customFormat="false" ht="15" hidden="false" customHeight="false" outlineLevel="0" collapsed="false">
      <c r="A70" s="54" t="n">
        <v>45915</v>
      </c>
      <c r="B70" s="39" t="n">
        <v>0</v>
      </c>
    </row>
    <row r="71" customFormat="false" ht="15" hidden="false" customHeight="false" outlineLevel="0" collapsed="false">
      <c r="A71" s="53" t="n">
        <v>45916</v>
      </c>
      <c r="B71" s="38" t="n">
        <v>0</v>
      </c>
    </row>
    <row r="72" customFormat="false" ht="15" hidden="false" customHeight="false" outlineLevel="0" collapsed="false">
      <c r="A72" s="54" t="n">
        <v>45917</v>
      </c>
      <c r="B72" s="39" t="n">
        <v>0</v>
      </c>
    </row>
    <row r="73" customFormat="false" ht="15" hidden="false" customHeight="false" outlineLevel="0" collapsed="false">
      <c r="A73" s="53" t="n">
        <v>45918</v>
      </c>
      <c r="B73" s="38" t="n">
        <v>0</v>
      </c>
    </row>
    <row r="74" customFormat="false" ht="15" hidden="false" customHeight="false" outlineLevel="0" collapsed="false">
      <c r="A74" s="54" t="n">
        <v>45919</v>
      </c>
      <c r="B74" s="39" t="n">
        <v>0</v>
      </c>
    </row>
    <row r="75" customFormat="false" ht="15" hidden="false" customHeight="false" outlineLevel="0" collapsed="false">
      <c r="A75" s="53" t="n">
        <v>45920</v>
      </c>
      <c r="B75" s="38" t="n">
        <v>0</v>
      </c>
    </row>
    <row r="76" customFormat="false" ht="15" hidden="false" customHeight="false" outlineLevel="0" collapsed="false">
      <c r="A76" s="54" t="n">
        <v>45921</v>
      </c>
      <c r="B76" s="39" t="n">
        <v>0</v>
      </c>
    </row>
    <row r="77" customFormat="false" ht="15" hidden="false" customHeight="false" outlineLevel="0" collapsed="false">
      <c r="A77" s="53" t="n">
        <v>45922</v>
      </c>
      <c r="B77" s="38" t="n">
        <v>0</v>
      </c>
    </row>
    <row r="78" customFormat="false" ht="15" hidden="false" customHeight="false" outlineLevel="0" collapsed="false">
      <c r="A78" s="54" t="n">
        <v>45923</v>
      </c>
      <c r="B78" s="39" t="n">
        <v>0</v>
      </c>
    </row>
    <row r="79" customFormat="false" ht="15" hidden="false" customHeight="false" outlineLevel="0" collapsed="false">
      <c r="A79" s="53" t="n">
        <v>45924</v>
      </c>
      <c r="B79" s="38" t="n">
        <v>0</v>
      </c>
    </row>
    <row r="80" customFormat="false" ht="15" hidden="false" customHeight="false" outlineLevel="0" collapsed="false">
      <c r="A80" s="54" t="n">
        <v>45925</v>
      </c>
      <c r="B80" s="39" t="n">
        <v>0</v>
      </c>
    </row>
    <row r="81" customFormat="false" ht="15" hidden="false" customHeight="false" outlineLevel="0" collapsed="false">
      <c r="A81" s="53" t="n">
        <v>45926</v>
      </c>
      <c r="B81" s="38" t="n">
        <v>0</v>
      </c>
    </row>
    <row r="82" customFormat="false" ht="15" hidden="false" customHeight="false" outlineLevel="0" collapsed="false">
      <c r="A82" s="54" t="n">
        <v>45927</v>
      </c>
      <c r="B82" s="39" t="n">
        <v>0</v>
      </c>
    </row>
    <row r="83" customFormat="false" ht="15" hidden="false" customHeight="false" outlineLevel="0" collapsed="false">
      <c r="A83" s="53" t="n">
        <v>45928</v>
      </c>
      <c r="B83" s="38" t="n">
        <v>0</v>
      </c>
    </row>
    <row r="84" customFormat="false" ht="15" hidden="false" customHeight="false" outlineLevel="0" collapsed="false">
      <c r="A84" s="54" t="n">
        <v>45929</v>
      </c>
      <c r="B84" s="39" t="n">
        <v>0</v>
      </c>
    </row>
    <row r="85" customFormat="false" ht="15" hidden="false" customHeight="false" outlineLevel="0" collapsed="false">
      <c r="A85" s="53" t="n">
        <v>45930</v>
      </c>
      <c r="B85" s="38" t="n">
        <v>0</v>
      </c>
    </row>
    <row r="86" customFormat="false" ht="15" hidden="false" customHeight="false" outlineLevel="0" collapsed="false">
      <c r="A86" s="54" t="n">
        <v>45931</v>
      </c>
      <c r="B86" s="39" t="n">
        <v>0</v>
      </c>
    </row>
    <row r="87" customFormat="false" ht="15" hidden="false" customHeight="false" outlineLevel="0" collapsed="false">
      <c r="A87" s="53" t="n">
        <v>45932</v>
      </c>
      <c r="B87" s="38" t="n">
        <v>0</v>
      </c>
    </row>
    <row r="88" customFormat="false" ht="15" hidden="false" customHeight="false" outlineLevel="0" collapsed="false">
      <c r="A88" s="54" t="n">
        <v>45933</v>
      </c>
      <c r="B88" s="39" t="n">
        <v>0</v>
      </c>
    </row>
    <row r="89" customFormat="false" ht="15" hidden="false" customHeight="false" outlineLevel="0" collapsed="false">
      <c r="A89" s="53" t="n">
        <v>45934</v>
      </c>
      <c r="B89" s="38" t="n">
        <v>0</v>
      </c>
    </row>
    <row r="90" customFormat="false" ht="15" hidden="false" customHeight="false" outlineLevel="0" collapsed="false">
      <c r="A90" s="54" t="n">
        <v>45935</v>
      </c>
      <c r="B90" s="39" t="n">
        <v>0</v>
      </c>
    </row>
    <row r="91" customFormat="false" ht="15" hidden="false" customHeight="false" outlineLevel="0" collapsed="false">
      <c r="A91" s="53" t="n">
        <v>45936</v>
      </c>
      <c r="B91" s="38" t="n">
        <v>0</v>
      </c>
    </row>
    <row r="92" customFormat="false" ht="15" hidden="false" customHeight="false" outlineLevel="0" collapsed="false">
      <c r="A92" s="54" t="n">
        <v>45937</v>
      </c>
      <c r="B92" s="39" t="n">
        <v>0</v>
      </c>
    </row>
    <row r="93" customFormat="false" ht="15" hidden="false" customHeight="false" outlineLevel="0" collapsed="false">
      <c r="A93" s="53" t="n">
        <v>45938</v>
      </c>
      <c r="B93" s="38" t="n">
        <v>0</v>
      </c>
    </row>
    <row r="94" customFormat="false" ht="15" hidden="false" customHeight="false" outlineLevel="0" collapsed="false">
      <c r="A94" s="54" t="n">
        <v>45939</v>
      </c>
      <c r="B94" s="39" t="n">
        <v>0</v>
      </c>
    </row>
    <row r="95" customFormat="false" ht="15" hidden="false" customHeight="false" outlineLevel="0" collapsed="false">
      <c r="A95" s="53" t="n">
        <v>45940</v>
      </c>
      <c r="B95" s="38" t="n">
        <v>0</v>
      </c>
    </row>
    <row r="96" customFormat="false" ht="15" hidden="false" customHeight="false" outlineLevel="0" collapsed="false">
      <c r="A96" s="54" t="n">
        <v>45941</v>
      </c>
      <c r="B96" s="39" t="n">
        <v>0</v>
      </c>
    </row>
    <row r="97" customFormat="false" ht="15" hidden="false" customHeight="false" outlineLevel="0" collapsed="false">
      <c r="A97" s="53" t="n">
        <v>45942</v>
      </c>
      <c r="B97" s="38" t="n">
        <v>0</v>
      </c>
    </row>
    <row r="98" customFormat="false" ht="15" hidden="false" customHeight="false" outlineLevel="0" collapsed="false">
      <c r="A98" s="54" t="n">
        <v>45943</v>
      </c>
      <c r="B98" s="39" t="n">
        <v>0</v>
      </c>
    </row>
    <row r="99" customFormat="false" ht="15" hidden="false" customHeight="false" outlineLevel="0" collapsed="false">
      <c r="A99" s="53" t="n">
        <v>45944</v>
      </c>
      <c r="B99" s="38" t="n">
        <v>0</v>
      </c>
    </row>
    <row r="100" customFormat="false" ht="15" hidden="false" customHeight="false" outlineLevel="0" collapsed="false">
      <c r="A100" s="54" t="n">
        <v>45945</v>
      </c>
      <c r="B100" s="39" t="n">
        <v>8.484</v>
      </c>
    </row>
    <row r="101" customFormat="false" ht="15" hidden="false" customHeight="false" outlineLevel="0" collapsed="false">
      <c r="A101" s="53" t="n">
        <v>45946</v>
      </c>
      <c r="B101" s="38" t="n">
        <v>0</v>
      </c>
    </row>
    <row r="102" customFormat="false" ht="15" hidden="false" customHeight="false" outlineLevel="0" collapsed="false">
      <c r="A102" s="54" t="n">
        <v>45947</v>
      </c>
      <c r="B102" s="39" t="n">
        <v>0</v>
      </c>
    </row>
    <row r="103" customFormat="false" ht="15" hidden="false" customHeight="false" outlineLevel="0" collapsed="false">
      <c r="A103" s="53" t="n">
        <v>45948</v>
      </c>
      <c r="B103" s="38" t="n">
        <v>0</v>
      </c>
    </row>
    <row r="104" customFormat="false" ht="15" hidden="false" customHeight="false" outlineLevel="0" collapsed="false">
      <c r="A104" s="54" t="n">
        <v>45949</v>
      </c>
      <c r="B104" s="39" t="n">
        <v>14.088</v>
      </c>
    </row>
    <row r="105" customFormat="false" ht="15" hidden="false" customHeight="false" outlineLevel="0" collapsed="false">
      <c r="A105" s="53" t="n">
        <v>45950</v>
      </c>
      <c r="B105" s="38" t="n">
        <v>26.118</v>
      </c>
    </row>
    <row r="106" customFormat="false" ht="15" hidden="false" customHeight="false" outlineLevel="0" collapsed="false">
      <c r="A106" s="54" t="n">
        <v>45951</v>
      </c>
      <c r="B106" s="39" t="n">
        <v>55.605</v>
      </c>
    </row>
    <row r="107" customFormat="false" ht="15" hidden="false" customHeight="false" outlineLevel="0" collapsed="false">
      <c r="A107" s="53" t="n">
        <v>45952</v>
      </c>
      <c r="B107" s="38" t="n">
        <v>42.079</v>
      </c>
    </row>
    <row r="108" customFormat="false" ht="15" hidden="false" customHeight="false" outlineLevel="0" collapsed="false">
      <c r="A108" s="54" t="n">
        <v>45953</v>
      </c>
      <c r="B108" s="39" t="n">
        <v>0</v>
      </c>
    </row>
    <row r="109" customFormat="false" ht="15" hidden="false" customHeight="false" outlineLevel="0" collapsed="false">
      <c r="A109" s="53" t="n">
        <v>45954</v>
      </c>
      <c r="B109" s="38" t="n">
        <v>90.459</v>
      </c>
    </row>
    <row r="110" customFormat="false" ht="15" hidden="false" customHeight="false" outlineLevel="0" collapsed="false">
      <c r="A110" s="54" t="n">
        <v>45955</v>
      </c>
      <c r="B110" s="39" t="n">
        <v>5.303</v>
      </c>
    </row>
    <row r="111" customFormat="false" ht="15" hidden="false" customHeight="false" outlineLevel="0" collapsed="false">
      <c r="A111" s="53" t="n">
        <v>45956</v>
      </c>
      <c r="B111" s="38" t="n">
        <v>5.497</v>
      </c>
    </row>
    <row r="112" customFormat="false" ht="15" hidden="false" customHeight="false" outlineLevel="0" collapsed="false">
      <c r="A112" s="54" t="n">
        <v>45957</v>
      </c>
      <c r="B112" s="39" t="n">
        <v>50.316</v>
      </c>
    </row>
    <row r="113" customFormat="false" ht="15" hidden="false" customHeight="false" outlineLevel="0" collapsed="false">
      <c r="A113" s="53" t="n">
        <v>45958</v>
      </c>
      <c r="B113" s="38" t="n">
        <v>66.15</v>
      </c>
    </row>
    <row r="114" customFormat="false" ht="15" hidden="false" customHeight="false" outlineLevel="0" collapsed="false">
      <c r="A114" s="54" t="n">
        <v>45959</v>
      </c>
      <c r="B114" s="39" t="n">
        <v>0</v>
      </c>
    </row>
    <row r="115" customFormat="false" ht="15" hidden="false" customHeight="false" outlineLevel="0" collapsed="false">
      <c r="A115" s="53" t="n">
        <v>45960</v>
      </c>
      <c r="B115" s="38" t="n">
        <v>20.042</v>
      </c>
    </row>
    <row r="116" customFormat="false" ht="15" hidden="false" customHeight="false" outlineLevel="0" collapsed="false">
      <c r="A116" s="54" t="n">
        <v>45961</v>
      </c>
      <c r="B116" s="39" t="n">
        <v>87.582</v>
      </c>
    </row>
    <row r="117" customFormat="false" ht="15" hidden="false" customHeight="false" outlineLevel="0" collapsed="false">
      <c r="A117" s="53" t="n">
        <v>45962</v>
      </c>
      <c r="B117" s="38" t="n">
        <v>11.201</v>
      </c>
    </row>
    <row r="118" customFormat="false" ht="15" hidden="false" customHeight="false" outlineLevel="0" collapsed="false">
      <c r="A118" s="54" t="n">
        <v>45963</v>
      </c>
      <c r="B118" s="39" t="n">
        <v>0</v>
      </c>
    </row>
    <row r="119" customFormat="false" ht="15" hidden="false" customHeight="false" outlineLevel="0" collapsed="false">
      <c r="A119" s="53" t="n">
        <v>45964</v>
      </c>
      <c r="B119" s="38" t="n">
        <v>0</v>
      </c>
    </row>
    <row r="120" customFormat="false" ht="15" hidden="false" customHeight="false" outlineLevel="0" collapsed="false">
      <c r="A120" s="54" t="n">
        <v>45965</v>
      </c>
      <c r="B120" s="39" t="n">
        <v>41.458</v>
      </c>
    </row>
    <row r="121" customFormat="false" ht="15" hidden="false" customHeight="false" outlineLevel="0" collapsed="false">
      <c r="A121" s="53" t="n">
        <v>45966</v>
      </c>
      <c r="B121" s="38" t="n">
        <v>0</v>
      </c>
    </row>
    <row r="122" customFormat="false" ht="15" hidden="false" customHeight="false" outlineLevel="0" collapsed="false">
      <c r="A122" s="54" t="n">
        <v>45967</v>
      </c>
      <c r="B122" s="39" t="n">
        <v>0</v>
      </c>
    </row>
    <row r="123" customFormat="false" ht="15" hidden="false" customHeight="false" outlineLevel="0" collapsed="false">
      <c r="A123" s="53" t="n">
        <v>45968</v>
      </c>
      <c r="B123" s="38" t="n">
        <v>64.848</v>
      </c>
    </row>
    <row r="124" customFormat="false" ht="15" hidden="false" customHeight="false" outlineLevel="0" collapsed="false">
      <c r="A124" s="54" t="n">
        <v>45969</v>
      </c>
      <c r="B124" s="39" t="n">
        <v>16.564</v>
      </c>
    </row>
    <row r="125" customFormat="false" ht="15" hidden="false" customHeight="false" outlineLevel="0" collapsed="false">
      <c r="A125" s="53" t="n">
        <v>45970</v>
      </c>
      <c r="B125" s="38" t="n">
        <v>63.374</v>
      </c>
    </row>
    <row r="126" customFormat="false" ht="15" hidden="false" customHeight="false" outlineLevel="0" collapsed="false">
      <c r="A126" s="54" t="n">
        <v>45971</v>
      </c>
      <c r="B126" s="39" t="n">
        <v>36.359</v>
      </c>
    </row>
    <row r="127" customFormat="false" ht="15" hidden="false" customHeight="false" outlineLevel="0" collapsed="false">
      <c r="A127" s="53" t="n">
        <v>45972</v>
      </c>
      <c r="B127" s="38" t="n">
        <v>0</v>
      </c>
    </row>
    <row r="128" customFormat="false" ht="15" hidden="false" customHeight="false" outlineLevel="0" collapsed="false">
      <c r="A128" s="54" t="n">
        <v>45973</v>
      </c>
      <c r="B128" s="39" t="n">
        <v>0</v>
      </c>
    </row>
    <row r="129" customFormat="false" ht="15" hidden="false" customHeight="false" outlineLevel="0" collapsed="false">
      <c r="A129" s="53" t="n">
        <v>45974</v>
      </c>
      <c r="B129" s="38" t="n">
        <v>0</v>
      </c>
    </row>
    <row r="130" customFormat="false" ht="15" hidden="false" customHeight="false" outlineLevel="0" collapsed="false">
      <c r="A130" s="54" t="n">
        <v>45975</v>
      </c>
      <c r="B130" s="39" t="n">
        <v>62.974</v>
      </c>
    </row>
    <row r="131" customFormat="false" ht="15" hidden="false" customHeight="false" outlineLevel="0" collapsed="false">
      <c r="A131" s="53" t="n">
        <v>45976</v>
      </c>
      <c r="B131" s="38" t="n">
        <v>48.507</v>
      </c>
    </row>
    <row r="132" customFormat="false" ht="15" hidden="false" customHeight="false" outlineLevel="0" collapsed="false">
      <c r="A132" s="54" t="n">
        <v>45977</v>
      </c>
      <c r="B132" s="39" t="n">
        <v>34.246</v>
      </c>
    </row>
    <row r="133" customFormat="false" ht="15" hidden="false" customHeight="false" outlineLevel="0" collapsed="false">
      <c r="A133" s="53" t="n">
        <v>45978</v>
      </c>
      <c r="B133" s="38" t="n">
        <v>0</v>
      </c>
    </row>
    <row r="134" customFormat="false" ht="15" hidden="false" customHeight="false" outlineLevel="0" collapsed="false">
      <c r="A134" s="54" t="n">
        <v>45979</v>
      </c>
      <c r="B134" s="39" t="n">
        <v>72.029</v>
      </c>
    </row>
    <row r="135" customFormat="false" ht="15" hidden="false" customHeight="false" outlineLevel="0" collapsed="false">
      <c r="A135" s="53" t="n">
        <v>45980</v>
      </c>
      <c r="B135" s="38" t="n">
        <v>62.127</v>
      </c>
    </row>
    <row r="136" customFormat="false" ht="15" hidden="false" customHeight="false" outlineLevel="0" collapsed="false">
      <c r="A136" s="54" t="n">
        <v>45981</v>
      </c>
      <c r="B136" s="39" t="n">
        <v>0</v>
      </c>
    </row>
    <row r="137" customFormat="false" ht="15" hidden="false" customHeight="false" outlineLevel="0" collapsed="false">
      <c r="A137" s="53" t="n">
        <v>45982</v>
      </c>
      <c r="B137" s="38" t="n">
        <v>0</v>
      </c>
    </row>
    <row r="138" customFormat="false" ht="15" hidden="false" customHeight="false" outlineLevel="0" collapsed="false">
      <c r="A138" s="54" t="n">
        <v>45983</v>
      </c>
      <c r="B138" s="39" t="n">
        <v>0</v>
      </c>
    </row>
    <row r="139" customFormat="false" ht="15" hidden="false" customHeight="false" outlineLevel="0" collapsed="false">
      <c r="A139" s="53" t="n">
        <v>45984</v>
      </c>
      <c r="B139" s="38" t="n">
        <v>0</v>
      </c>
    </row>
    <row r="140" customFormat="false" ht="15" hidden="false" customHeight="false" outlineLevel="0" collapsed="false">
      <c r="A140" s="54" t="n">
        <v>45985</v>
      </c>
      <c r="B140" s="39" t="n">
        <v>0</v>
      </c>
    </row>
    <row r="141" customFormat="false" ht="15" hidden="false" customHeight="false" outlineLevel="0" collapsed="false">
      <c r="A141" s="53" t="n">
        <v>45986</v>
      </c>
      <c r="B141" s="38" t="n">
        <v>0</v>
      </c>
    </row>
    <row r="142" customFormat="false" ht="15" hidden="false" customHeight="false" outlineLevel="0" collapsed="false">
      <c r="A142" s="54" t="n">
        <v>45987</v>
      </c>
      <c r="B142" s="39" t="n">
        <v>0</v>
      </c>
    </row>
    <row r="143" customFormat="false" ht="15" hidden="false" customHeight="false" outlineLevel="0" collapsed="false">
      <c r="A143" s="53" t="n">
        <v>45988</v>
      </c>
      <c r="B143" s="38" t="n">
        <v>0</v>
      </c>
    </row>
    <row r="144" customFormat="false" ht="15" hidden="false" customHeight="false" outlineLevel="0" collapsed="false">
      <c r="A144" s="54" t="n">
        <v>45989</v>
      </c>
      <c r="B144" s="39" t="n">
        <v>119.159</v>
      </c>
    </row>
    <row r="145" customFormat="false" ht="15" hidden="false" customHeight="false" outlineLevel="0" collapsed="false">
      <c r="A145" s="53" t="n">
        <v>45990</v>
      </c>
      <c r="B145" s="38" t="n">
        <v>59.001</v>
      </c>
    </row>
    <row r="146" customFormat="false" ht="15" hidden="false" customHeight="false" outlineLevel="0" collapsed="false">
      <c r="A146" s="54" t="n">
        <v>45991</v>
      </c>
      <c r="B146" s="39" t="n">
        <v>26.723</v>
      </c>
    </row>
    <row r="147" customFormat="false" ht="15" hidden="false" customHeight="false" outlineLevel="0" collapsed="false">
      <c r="A147" s="53" t="n">
        <v>45992</v>
      </c>
      <c r="B147" s="38" t="n">
        <v>25.139</v>
      </c>
    </row>
    <row r="148" customFormat="false" ht="15" hidden="false" customHeight="false" outlineLevel="0" collapsed="false">
      <c r="A148" s="54" t="n">
        <v>45993</v>
      </c>
      <c r="B148" s="39" t="n">
        <v>0</v>
      </c>
    </row>
    <row r="149" customFormat="false" ht="15" hidden="false" customHeight="false" outlineLevel="0" collapsed="false">
      <c r="A149" s="53" t="n">
        <v>45994</v>
      </c>
      <c r="B149" s="38" t="n">
        <v>0</v>
      </c>
    </row>
    <row r="150" customFormat="false" ht="15" hidden="false" customHeight="false" outlineLevel="0" collapsed="false">
      <c r="A150" s="54" t="n">
        <v>45995</v>
      </c>
      <c r="B150" s="39" t="n">
        <v>20.333</v>
      </c>
    </row>
    <row r="151" customFormat="false" ht="15" hidden="false" customHeight="false" outlineLevel="0" collapsed="false">
      <c r="A151" s="53" t="n">
        <v>45996</v>
      </c>
      <c r="B151" s="38" t="n">
        <v>0</v>
      </c>
    </row>
    <row r="152" customFormat="false" ht="15" hidden="false" customHeight="false" outlineLevel="0" collapsed="false">
      <c r="A152" s="54" t="n">
        <v>45997</v>
      </c>
      <c r="B152" s="39" t="n">
        <v>0</v>
      </c>
    </row>
    <row r="153" customFormat="false" ht="15" hidden="false" customHeight="false" outlineLevel="0" collapsed="false">
      <c r="A153" s="53" t="n">
        <v>45998</v>
      </c>
      <c r="B153" s="38" t="n">
        <v>0</v>
      </c>
    </row>
    <row r="154" customFormat="false" ht="15" hidden="false" customHeight="false" outlineLevel="0" collapsed="false">
      <c r="A154" s="54" t="n">
        <v>45999</v>
      </c>
      <c r="B154" s="39" t="n">
        <v>0</v>
      </c>
    </row>
    <row r="155" customFormat="false" ht="15" hidden="false" customHeight="false" outlineLevel="0" collapsed="false">
      <c r="A155" s="53" t="n">
        <v>46000</v>
      </c>
      <c r="B155" s="38" t="n">
        <v>49.421</v>
      </c>
    </row>
    <row r="156" customFormat="false" ht="15" hidden="false" customHeight="false" outlineLevel="0" collapsed="false">
      <c r="A156" s="54" t="n">
        <v>46001</v>
      </c>
      <c r="B156" s="39" t="n">
        <v>29.438</v>
      </c>
    </row>
    <row r="157" customFormat="false" ht="15" hidden="false" customHeight="false" outlineLevel="0" collapsed="false">
      <c r="A157" s="53" t="n">
        <v>46002</v>
      </c>
      <c r="B157" s="38" t="n">
        <v>0</v>
      </c>
    </row>
    <row r="158" customFormat="false" ht="15" hidden="false" customHeight="false" outlineLevel="0" collapsed="false">
      <c r="A158" s="54" t="n">
        <v>46003</v>
      </c>
      <c r="B158" s="39" t="n">
        <v>3.499</v>
      </c>
    </row>
    <row r="159" customFormat="false" ht="15" hidden="false" customHeight="false" outlineLevel="0" collapsed="false">
      <c r="A159" s="53" t="n">
        <v>46004</v>
      </c>
      <c r="B159" s="38" t="n">
        <v>62.977</v>
      </c>
    </row>
    <row r="160" customFormat="false" ht="15" hidden="false" customHeight="false" outlineLevel="0" collapsed="false">
      <c r="A160" s="54" t="n">
        <v>46005</v>
      </c>
      <c r="B160" s="39" t="n">
        <v>22.838</v>
      </c>
    </row>
    <row r="161" customFormat="false" ht="15" hidden="false" customHeight="false" outlineLevel="0" collapsed="false">
      <c r="A161" s="53" t="n">
        <v>46006</v>
      </c>
      <c r="B161" s="38" t="n">
        <v>1.366</v>
      </c>
    </row>
    <row r="162" customFormat="false" ht="15" hidden="false" customHeight="false" outlineLevel="0" collapsed="false">
      <c r="A162" s="54" t="n">
        <v>46007</v>
      </c>
      <c r="B162" s="39" t="n">
        <v>39.279</v>
      </c>
    </row>
    <row r="163" customFormat="false" ht="15" hidden="false" customHeight="false" outlineLevel="0" collapsed="false">
      <c r="A163" s="53" t="n">
        <v>46008</v>
      </c>
      <c r="B163" s="38" t="n">
        <v>0</v>
      </c>
    </row>
    <row r="164" customFormat="false" ht="15" hidden="false" customHeight="false" outlineLevel="0" collapsed="false">
      <c r="A164" s="54" t="n">
        <v>46009</v>
      </c>
      <c r="B164" s="39" t="n">
        <v>18.467</v>
      </c>
    </row>
    <row r="165" customFormat="false" ht="15" hidden="false" customHeight="false" outlineLevel="0" collapsed="false">
      <c r="A165" s="53" t="n">
        <v>46010</v>
      </c>
      <c r="B165" s="38" t="n">
        <v>0</v>
      </c>
    </row>
    <row r="166" customFormat="false" ht="15" hidden="false" customHeight="false" outlineLevel="0" collapsed="false">
      <c r="A166" s="54" t="n">
        <v>46011</v>
      </c>
      <c r="B166" s="39" t="n">
        <v>43.573</v>
      </c>
    </row>
    <row r="167" customFormat="false" ht="15" hidden="false" customHeight="false" outlineLevel="0" collapsed="false">
      <c r="A167" s="53" t="n">
        <v>46012</v>
      </c>
      <c r="B167" s="38" t="n">
        <v>168.423</v>
      </c>
    </row>
    <row r="168" customFormat="false" ht="15" hidden="false" customHeight="false" outlineLevel="0" collapsed="false">
      <c r="A168" s="54" t="n">
        <v>46013</v>
      </c>
      <c r="B168" s="39" t="n">
        <v>79.815</v>
      </c>
    </row>
    <row r="169" customFormat="false" ht="15" hidden="false" customHeight="false" outlineLevel="0" collapsed="false">
      <c r="A169" s="53" t="n">
        <v>46014</v>
      </c>
      <c r="B169" s="38" t="n">
        <v>50.119</v>
      </c>
    </row>
    <row r="170" customFormat="false" ht="15" hidden="false" customHeight="false" outlineLevel="0" collapsed="false">
      <c r="A170" s="54" t="n">
        <v>46015</v>
      </c>
      <c r="B170" s="39" t="n">
        <v>0</v>
      </c>
    </row>
    <row r="171" customFormat="false" ht="15" hidden="false" customHeight="false" outlineLevel="0" collapsed="false">
      <c r="A171" s="53" t="n">
        <v>46016</v>
      </c>
      <c r="B171" s="38" t="n">
        <v>0</v>
      </c>
    </row>
    <row r="172" customFormat="false" ht="15" hidden="false" customHeight="false" outlineLevel="0" collapsed="false">
      <c r="A172" s="54" t="n">
        <v>46017</v>
      </c>
      <c r="B172" s="39" t="n">
        <v>19.762</v>
      </c>
    </row>
    <row r="173" customFormat="false" ht="15" hidden="false" customHeight="false" outlineLevel="0" collapsed="false">
      <c r="A173" s="53" t="n">
        <v>46018</v>
      </c>
      <c r="B173" s="38" t="n">
        <v>81.035</v>
      </c>
    </row>
    <row r="174" customFormat="false" ht="15" hidden="false" customHeight="false" outlineLevel="0" collapsed="false">
      <c r="A174" s="54" t="n">
        <v>46019</v>
      </c>
      <c r="B174" s="39" t="n">
        <v>18.436</v>
      </c>
    </row>
    <row r="175" customFormat="false" ht="15" hidden="false" customHeight="false" outlineLevel="0" collapsed="false">
      <c r="A175" s="53" t="n">
        <v>46020</v>
      </c>
      <c r="B175" s="38" t="n">
        <v>30.218</v>
      </c>
    </row>
    <row r="176" customFormat="false" ht="15" hidden="false" customHeight="false" outlineLevel="0" collapsed="false">
      <c r="A176" s="54" t="n">
        <v>46021</v>
      </c>
      <c r="B176" s="39" t="n">
        <v>0</v>
      </c>
    </row>
    <row r="177" customFormat="false" ht="15" hidden="false" customHeight="false" outlineLevel="0" collapsed="false">
      <c r="A177" s="53" t="n">
        <v>46022</v>
      </c>
      <c r="B177" s="38" t="n">
        <v>0</v>
      </c>
    </row>
    <row r="178" customFormat="false" ht="15" hidden="false" customHeight="false" outlineLevel="0" collapsed="false">
      <c r="A178" s="54" t="n">
        <v>46023</v>
      </c>
      <c r="B178" s="39" t="n">
        <v>12.372</v>
      </c>
    </row>
    <row r="179" customFormat="false" ht="15" hidden="false" customHeight="false" outlineLevel="0" collapsed="false">
      <c r="A179" s="53" t="n">
        <v>46024</v>
      </c>
      <c r="B179" s="38" t="n">
        <v>0</v>
      </c>
    </row>
    <row r="180" customFormat="false" ht="15" hidden="false" customHeight="false" outlineLevel="0" collapsed="false">
      <c r="A180" s="54" t="n">
        <v>46025</v>
      </c>
      <c r="B180" s="39" t="n">
        <v>0</v>
      </c>
    </row>
    <row r="181" customFormat="false" ht="15" hidden="false" customHeight="false" outlineLevel="0" collapsed="false">
      <c r="A181" s="53" t="n">
        <v>46026</v>
      </c>
      <c r="B181" s="38" t="n">
        <v>13.166</v>
      </c>
    </row>
    <row r="182" customFormat="false" ht="15" hidden="false" customHeight="false" outlineLevel="0" collapsed="false">
      <c r="A182" s="54" t="n">
        <v>46027</v>
      </c>
      <c r="B182" s="39" t="n">
        <v>0</v>
      </c>
    </row>
    <row r="183" customFormat="false" ht="15" hidden="false" customHeight="false" outlineLevel="0" collapsed="false">
      <c r="A183" s="53" t="n">
        <v>46028</v>
      </c>
      <c r="B183" s="38" t="n">
        <v>0</v>
      </c>
    </row>
    <row r="184" customFormat="false" ht="15" hidden="false" customHeight="false" outlineLevel="0" collapsed="false">
      <c r="A184" s="54" t="n">
        <v>46029</v>
      </c>
      <c r="B184" s="39" t="n">
        <v>0</v>
      </c>
    </row>
    <row r="185" customFormat="false" ht="15" hidden="false" customHeight="false" outlineLevel="0" collapsed="false">
      <c r="A185" s="53" t="n">
        <v>46030</v>
      </c>
      <c r="B185" s="38" t="n">
        <v>0</v>
      </c>
    </row>
    <row r="186" customFormat="false" ht="15" hidden="false" customHeight="false" outlineLevel="0" collapsed="false">
      <c r="A186" s="54" t="n">
        <v>46031</v>
      </c>
      <c r="B186" s="39" t="n">
        <v>0</v>
      </c>
    </row>
    <row r="187" customFormat="false" ht="15" hidden="false" customHeight="false" outlineLevel="0" collapsed="false">
      <c r="A187" s="53" t="n">
        <v>46032</v>
      </c>
      <c r="B187" s="38" t="n">
        <v>0</v>
      </c>
    </row>
    <row r="188" customFormat="false" ht="15" hidden="false" customHeight="false" outlineLevel="0" collapsed="false">
      <c r="A188" s="54" t="n">
        <v>46033</v>
      </c>
      <c r="B188" s="39" t="n">
        <v>40.664</v>
      </c>
    </row>
    <row r="189" customFormat="false" ht="15" hidden="false" customHeight="false" outlineLevel="0" collapsed="false">
      <c r="A189" s="53" t="n">
        <v>46034</v>
      </c>
      <c r="B189" s="38" t="n">
        <v>0</v>
      </c>
    </row>
    <row r="190" customFormat="false" ht="15" hidden="false" customHeight="false" outlineLevel="0" collapsed="false">
      <c r="A190" s="54" t="n">
        <v>46035</v>
      </c>
      <c r="B190" s="39" t="n">
        <v>0</v>
      </c>
    </row>
    <row r="191" customFormat="false" ht="15" hidden="false" customHeight="false" outlineLevel="0" collapsed="false">
      <c r="A191" s="53" t="n">
        <v>46036</v>
      </c>
      <c r="B191" s="38" t="n">
        <v>0</v>
      </c>
    </row>
    <row r="192" customFormat="false" ht="15" hidden="false" customHeight="false" outlineLevel="0" collapsed="false">
      <c r="A192" s="54" t="n">
        <v>46037</v>
      </c>
      <c r="B192" s="39" t="n">
        <v>0</v>
      </c>
    </row>
    <row r="193" customFormat="false" ht="15" hidden="false" customHeight="false" outlineLevel="0" collapsed="false">
      <c r="A193" s="53" t="n">
        <v>46038</v>
      </c>
      <c r="B193" s="38" t="n">
        <v>10.404</v>
      </c>
    </row>
    <row r="194" customFormat="false" ht="15" hidden="false" customHeight="false" outlineLevel="0" collapsed="false">
      <c r="A194" s="54" t="n">
        <v>46039</v>
      </c>
      <c r="B194" s="39" t="n">
        <v>21.724</v>
      </c>
    </row>
    <row r="195" customFormat="false" ht="15" hidden="false" customHeight="false" outlineLevel="0" collapsed="false">
      <c r="A195" s="53" t="n">
        <v>46040</v>
      </c>
      <c r="B195" s="38" t="n">
        <v>0</v>
      </c>
    </row>
    <row r="196" customFormat="false" ht="15" hidden="false" customHeight="false" outlineLevel="0" collapsed="false">
      <c r="A196" s="54" t="n">
        <v>46041</v>
      </c>
      <c r="B196" s="39" t="n">
        <v>0</v>
      </c>
    </row>
    <row r="197" customFormat="false" ht="15" hidden="false" customHeight="false" outlineLevel="0" collapsed="false">
      <c r="A197" s="53" t="n">
        <v>46042</v>
      </c>
      <c r="B197" s="38" t="n">
        <v>0</v>
      </c>
    </row>
    <row r="198" customFormat="false" ht="15" hidden="false" customHeight="false" outlineLevel="0" collapsed="false">
      <c r="A198" s="54" t="n">
        <v>46043</v>
      </c>
      <c r="B198" s="39" t="n">
        <v>0</v>
      </c>
    </row>
    <row r="199" customFormat="false" ht="15" hidden="false" customHeight="false" outlineLevel="0" collapsed="false">
      <c r="A199" s="53" t="n">
        <v>46044</v>
      </c>
      <c r="B199" s="38" t="n">
        <v>0</v>
      </c>
    </row>
    <row r="200" customFormat="false" ht="15" hidden="false" customHeight="false" outlineLevel="0" collapsed="false">
      <c r="A200" s="54" t="n">
        <v>46045</v>
      </c>
      <c r="B200" s="39" t="n">
        <v>0</v>
      </c>
    </row>
    <row r="201" customFormat="false" ht="15" hidden="false" customHeight="false" outlineLevel="0" collapsed="false">
      <c r="A201" s="53" t="n">
        <v>46046</v>
      </c>
      <c r="B201" s="38" t="n">
        <v>0</v>
      </c>
    </row>
    <row r="202" customFormat="false" ht="15" hidden="false" customHeight="false" outlineLevel="0" collapsed="false">
      <c r="A202" s="54" t="n">
        <v>46047</v>
      </c>
      <c r="B202" s="39" t="n">
        <v>0</v>
      </c>
    </row>
    <row r="203" customFormat="false" ht="15" hidden="false" customHeight="false" outlineLevel="0" collapsed="false">
      <c r="A203" s="53" t="n">
        <v>46048</v>
      </c>
      <c r="B203" s="38" t="n">
        <v>0</v>
      </c>
    </row>
    <row r="204" customFormat="false" ht="15" hidden="false" customHeight="false" outlineLevel="0" collapsed="false">
      <c r="A204" s="54" t="n">
        <v>46049</v>
      </c>
      <c r="B204" s="39" t="n">
        <v>0</v>
      </c>
    </row>
    <row r="205" customFormat="false" ht="15" hidden="false" customHeight="false" outlineLevel="0" collapsed="false">
      <c r="A205" s="53" t="n">
        <v>46050</v>
      </c>
      <c r="B205" s="38" t="n">
        <v>0</v>
      </c>
    </row>
    <row r="206" customFormat="false" ht="15" hidden="false" customHeight="false" outlineLevel="0" collapsed="false">
      <c r="A206" s="54" t="n">
        <v>46051</v>
      </c>
      <c r="B206" s="39" t="n">
        <v>0</v>
      </c>
    </row>
    <row r="207" customFormat="false" ht="15" hidden="false" customHeight="false" outlineLevel="0" collapsed="false">
      <c r="A207" s="53" t="n">
        <v>46052</v>
      </c>
      <c r="B207" s="38" t="n">
        <v>0</v>
      </c>
    </row>
    <row r="208" customFormat="false" ht="15" hidden="false" customHeight="false" outlineLevel="0" collapsed="false">
      <c r="A208" s="54" t="n">
        <v>46053</v>
      </c>
      <c r="B208" s="39" t="n">
        <v>0</v>
      </c>
    </row>
    <row r="209" customFormat="false" ht="15" hidden="false" customHeight="false" outlineLevel="0" collapsed="false">
      <c r="A209" s="53" t="n">
        <v>46054</v>
      </c>
      <c r="B209" s="38" t="n">
        <v>73.232</v>
      </c>
    </row>
    <row r="210" customFormat="false" ht="15" hidden="false" customHeight="false" outlineLevel="0" collapsed="false">
      <c r="A210" s="54" t="n">
        <v>46055</v>
      </c>
      <c r="B210" s="39" t="n">
        <v>50.065</v>
      </c>
    </row>
    <row r="211" customFormat="false" ht="15" hidden="false" customHeight="false" outlineLevel="0" collapsed="false">
      <c r="A211" s="53" t="n">
        <v>46056</v>
      </c>
      <c r="B211" s="38" t="n">
        <v>0</v>
      </c>
    </row>
    <row r="212" customFormat="false" ht="15" hidden="false" customHeight="false" outlineLevel="0" collapsed="false">
      <c r="A212" s="54" t="n">
        <v>46057</v>
      </c>
      <c r="B212" s="39" t="n">
        <v>132.774</v>
      </c>
    </row>
    <row r="213" customFormat="false" ht="15" hidden="false" customHeight="false" outlineLevel="0" collapsed="false">
      <c r="A213" s="53" t="n">
        <v>46058</v>
      </c>
      <c r="B213" s="38" t="n">
        <v>0</v>
      </c>
    </row>
    <row r="214" customFormat="false" ht="15" hidden="false" customHeight="false" outlineLevel="0" collapsed="false">
      <c r="A214" s="54" t="n">
        <v>46059</v>
      </c>
      <c r="B214" s="39" t="n">
        <v>0</v>
      </c>
    </row>
    <row r="215" customFormat="false" ht="15" hidden="false" customHeight="false" outlineLevel="0" collapsed="false">
      <c r="A215" s="53" t="n">
        <v>46060</v>
      </c>
      <c r="B215" s="38" t="n">
        <v>82.255</v>
      </c>
    </row>
    <row r="216" customFormat="false" ht="15" hidden="false" customHeight="false" outlineLevel="0" collapsed="false">
      <c r="A216" s="54" t="n">
        <v>46061</v>
      </c>
      <c r="B216" s="39" t="n">
        <v>27.821</v>
      </c>
    </row>
    <row r="217" customFormat="false" ht="15" hidden="false" customHeight="false" outlineLevel="0" collapsed="false">
      <c r="A217" s="53" t="n">
        <v>46062</v>
      </c>
      <c r="B217" s="38" t="n">
        <v>55.451</v>
      </c>
    </row>
    <row r="218" customFormat="false" ht="15" hidden="false" customHeight="false" outlineLevel="0" collapsed="false">
      <c r="A218" s="54" t="n">
        <v>46063</v>
      </c>
      <c r="B218" s="39" t="n">
        <v>22.365</v>
      </c>
    </row>
    <row r="219" customFormat="false" ht="15" hidden="false" customHeight="false" outlineLevel="0" collapsed="false">
      <c r="A219" s="53" t="n">
        <v>46064</v>
      </c>
      <c r="B219" s="38" t="n">
        <v>0</v>
      </c>
    </row>
    <row r="220" customFormat="false" ht="15" hidden="false" customHeight="false" outlineLevel="0" collapsed="false">
      <c r="A220" s="54" t="n">
        <v>46065</v>
      </c>
      <c r="B220" s="39" t="n">
        <v>0</v>
      </c>
    </row>
    <row r="221" customFormat="false" ht="15" hidden="false" customHeight="false" outlineLevel="0" collapsed="false">
      <c r="A221" s="53" t="n">
        <v>46066</v>
      </c>
      <c r="B221" s="38" t="n">
        <v>0</v>
      </c>
    </row>
    <row r="222" customFormat="false" ht="15" hidden="false" customHeight="false" outlineLevel="0" collapsed="false">
      <c r="A222" s="54" t="n">
        <v>46067</v>
      </c>
      <c r="B222" s="39" t="n">
        <v>0</v>
      </c>
    </row>
    <row r="223" customFormat="false" ht="15" hidden="false" customHeight="false" outlineLevel="0" collapsed="false">
      <c r="A223" s="53" t="n">
        <v>46068</v>
      </c>
      <c r="B223" s="38" t="n">
        <v>0</v>
      </c>
    </row>
    <row r="224" customFormat="false" ht="15" hidden="false" customHeight="false" outlineLevel="0" collapsed="false">
      <c r="A224" s="54" t="n">
        <v>46069</v>
      </c>
      <c r="B224" s="39" t="n">
        <v>89.408</v>
      </c>
    </row>
    <row r="225" customFormat="false" ht="15" hidden="false" customHeight="false" outlineLevel="0" collapsed="false">
      <c r="A225" s="53" t="n">
        <v>46070</v>
      </c>
      <c r="B225" s="38" t="n">
        <v>0</v>
      </c>
    </row>
    <row r="226" customFormat="false" ht="15" hidden="false" customHeight="false" outlineLevel="0" collapsed="false">
      <c r="A226" s="54" t="n">
        <v>46071</v>
      </c>
      <c r="B226" s="39" t="n">
        <v>14.537</v>
      </c>
    </row>
    <row r="227" customFormat="false" ht="15" hidden="false" customHeight="false" outlineLevel="0" collapsed="false">
      <c r="A227" s="53" t="n">
        <v>46072</v>
      </c>
      <c r="B227" s="38" t="n">
        <v>31.837</v>
      </c>
    </row>
    <row r="228" customFormat="false" ht="15" hidden="false" customHeight="false" outlineLevel="0" collapsed="false">
      <c r="A228" s="54" t="n">
        <v>46073</v>
      </c>
      <c r="B228" s="39" t="n">
        <v>0</v>
      </c>
    </row>
    <row r="229" customFormat="false" ht="15" hidden="false" customHeight="false" outlineLevel="0" collapsed="false">
      <c r="A229" s="53" t="n">
        <v>46074</v>
      </c>
      <c r="B229" s="38" t="n">
        <v>17.587</v>
      </c>
    </row>
    <row r="230" customFormat="false" ht="15" hidden="false" customHeight="false" outlineLevel="0" collapsed="false">
      <c r="A230" s="54" t="n">
        <v>46075</v>
      </c>
      <c r="B230" s="39" t="n">
        <v>11.639</v>
      </c>
    </row>
    <row r="231" customFormat="false" ht="15" hidden="false" customHeight="false" outlineLevel="0" collapsed="false">
      <c r="A231" s="53" t="n">
        <v>46076</v>
      </c>
      <c r="B231" s="38" t="n">
        <v>19.791</v>
      </c>
    </row>
    <row r="232" customFormat="false" ht="15" hidden="false" customHeight="false" outlineLevel="0" collapsed="false">
      <c r="A232" s="54" t="n">
        <v>46077</v>
      </c>
      <c r="B232" s="39" t="n">
        <v>62.557</v>
      </c>
    </row>
    <row r="233" customFormat="false" ht="15" hidden="false" customHeight="false" outlineLevel="0" collapsed="false">
      <c r="A233" s="53" t="n">
        <v>46078</v>
      </c>
      <c r="B233" s="38" t="n">
        <v>0</v>
      </c>
    </row>
    <row r="234" customFormat="false" ht="15" hidden="false" customHeight="false" outlineLevel="0" collapsed="false">
      <c r="A234" s="54" t="n">
        <v>46079</v>
      </c>
      <c r="B234" s="39" t="n">
        <v>0</v>
      </c>
    </row>
    <row r="235" customFormat="false" ht="15" hidden="false" customHeight="false" outlineLevel="0" collapsed="false">
      <c r="A235" s="53" t="n">
        <v>46080</v>
      </c>
      <c r="B235" s="38" t="n">
        <v>77.436</v>
      </c>
    </row>
    <row r="236" customFormat="false" ht="15" hidden="false" customHeight="false" outlineLevel="0" collapsed="false">
      <c r="A236" s="54" t="n">
        <v>46081</v>
      </c>
      <c r="B236" s="39" t="n">
        <v>38.551</v>
      </c>
    </row>
    <row r="237" customFormat="false" ht="15" hidden="false" customHeight="false" outlineLevel="0" collapsed="false">
      <c r="A237" s="53" t="n">
        <v>46082</v>
      </c>
      <c r="B237" s="38" t="n">
        <v>0</v>
      </c>
    </row>
    <row r="238" customFormat="false" ht="15" hidden="false" customHeight="false" outlineLevel="0" collapsed="false">
      <c r="A238" s="54" t="n">
        <v>46083</v>
      </c>
      <c r="B238" s="39" t="n">
        <v>67.745</v>
      </c>
    </row>
    <row r="239" customFormat="false" ht="15" hidden="false" customHeight="false" outlineLevel="0" collapsed="false">
      <c r="A239" s="53" t="n">
        <v>46084</v>
      </c>
      <c r="B239" s="38" t="n">
        <v>0</v>
      </c>
    </row>
    <row r="240" customFormat="false" ht="15" hidden="false" customHeight="false" outlineLevel="0" collapsed="false">
      <c r="A240" s="54" t="n">
        <v>46085</v>
      </c>
      <c r="B240" s="39" t="n">
        <v>0</v>
      </c>
    </row>
    <row r="241" customFormat="false" ht="15" hidden="false" customHeight="false" outlineLevel="0" collapsed="false">
      <c r="A241" s="53" t="n">
        <v>46086</v>
      </c>
      <c r="B241" s="38" t="n">
        <v>0</v>
      </c>
    </row>
    <row r="242" customFormat="false" ht="15" hidden="false" customHeight="false" outlineLevel="0" collapsed="false">
      <c r="A242" s="54" t="n">
        <v>46087</v>
      </c>
      <c r="B242" s="39" t="n">
        <v>0</v>
      </c>
    </row>
    <row r="243" customFormat="false" ht="15" hidden="false" customHeight="false" outlineLevel="0" collapsed="false">
      <c r="A243" s="53" t="n">
        <v>46088</v>
      </c>
      <c r="B243" s="38" t="n">
        <v>0</v>
      </c>
    </row>
    <row r="244" customFormat="false" ht="15" hidden="false" customHeight="false" outlineLevel="0" collapsed="false">
      <c r="A244" s="54" t="n">
        <v>46089</v>
      </c>
      <c r="B244" s="39" t="n">
        <v>52.165</v>
      </c>
    </row>
    <row r="245" customFormat="false" ht="15" hidden="false" customHeight="false" outlineLevel="0" collapsed="false">
      <c r="A245" s="53" t="n">
        <v>46090</v>
      </c>
      <c r="B245" s="38" t="n">
        <v>0</v>
      </c>
    </row>
    <row r="246" customFormat="false" ht="15" hidden="false" customHeight="false" outlineLevel="0" collapsed="false">
      <c r="A246" s="54" t="n">
        <v>46091</v>
      </c>
      <c r="B246" s="39" t="n">
        <v>0</v>
      </c>
    </row>
    <row r="247" customFormat="false" ht="15" hidden="false" customHeight="false" outlineLevel="0" collapsed="false">
      <c r="A247" s="53" t="n">
        <v>46092</v>
      </c>
      <c r="B247" s="38" t="n">
        <v>60.587</v>
      </c>
    </row>
    <row r="248" customFormat="false" ht="15" hidden="false" customHeight="false" outlineLevel="0" collapsed="false">
      <c r="A248" s="54" t="n">
        <v>46093</v>
      </c>
      <c r="B248" s="39" t="n">
        <v>0</v>
      </c>
    </row>
    <row r="249" customFormat="false" ht="15" hidden="false" customHeight="false" outlineLevel="0" collapsed="false">
      <c r="A249" s="53" t="n">
        <v>46094</v>
      </c>
      <c r="B249" s="38" t="n">
        <v>0</v>
      </c>
    </row>
    <row r="250" customFormat="false" ht="15" hidden="false" customHeight="false" outlineLevel="0" collapsed="false">
      <c r="A250" s="54" t="n">
        <v>46095</v>
      </c>
      <c r="B250" s="39" t="n">
        <v>53.834</v>
      </c>
    </row>
    <row r="251" customFormat="false" ht="15" hidden="false" customHeight="false" outlineLevel="0" collapsed="false">
      <c r="A251" s="53" t="n">
        <v>46096</v>
      </c>
      <c r="B251" s="38" t="n">
        <v>0</v>
      </c>
    </row>
    <row r="252" customFormat="false" ht="15" hidden="false" customHeight="false" outlineLevel="0" collapsed="false">
      <c r="A252" s="54" t="n">
        <v>46097</v>
      </c>
      <c r="B252" s="39" t="n">
        <v>13.172</v>
      </c>
    </row>
    <row r="253" customFormat="false" ht="15" hidden="false" customHeight="false" outlineLevel="0" collapsed="false">
      <c r="A253" s="53" t="n">
        <v>46098</v>
      </c>
      <c r="B253" s="38" t="n">
        <v>40.956</v>
      </c>
    </row>
    <row r="254" customFormat="false" ht="15" hidden="false" customHeight="false" outlineLevel="0" collapsed="false">
      <c r="A254" s="54" t="n">
        <v>46099</v>
      </c>
      <c r="B254" s="39" t="n">
        <v>66.367</v>
      </c>
    </row>
    <row r="255" customFormat="false" ht="15" hidden="false" customHeight="false" outlineLevel="0" collapsed="false">
      <c r="A255" s="53" t="n">
        <v>46100</v>
      </c>
      <c r="B255" s="38" t="n">
        <v>0</v>
      </c>
    </row>
    <row r="256" customFormat="false" ht="15" hidden="false" customHeight="false" outlineLevel="0" collapsed="false">
      <c r="A256" s="54" t="n">
        <v>46101</v>
      </c>
      <c r="B256" s="39" t="n">
        <v>0</v>
      </c>
    </row>
    <row r="257" customFormat="false" ht="15" hidden="false" customHeight="false" outlineLevel="0" collapsed="false">
      <c r="A257" s="53" t="n">
        <v>46102</v>
      </c>
      <c r="B257" s="38" t="n">
        <v>0</v>
      </c>
    </row>
    <row r="258" customFormat="false" ht="15" hidden="false" customHeight="false" outlineLevel="0" collapsed="false">
      <c r="A258" s="54" t="n">
        <v>46103</v>
      </c>
      <c r="B258" s="39" t="n">
        <v>0</v>
      </c>
    </row>
    <row r="259" customFormat="false" ht="15" hidden="false" customHeight="false" outlineLevel="0" collapsed="false">
      <c r="A259" s="53" t="n">
        <v>46104</v>
      </c>
      <c r="B259" s="38" t="n">
        <v>0</v>
      </c>
    </row>
    <row r="260" customFormat="false" ht="15" hidden="false" customHeight="false" outlineLevel="0" collapsed="false">
      <c r="A260" s="54" t="n">
        <v>46105</v>
      </c>
      <c r="B260" s="39" t="n">
        <v>0</v>
      </c>
    </row>
    <row r="261" customFormat="false" ht="15" hidden="false" customHeight="false" outlineLevel="0" collapsed="false">
      <c r="A261" s="53" t="n">
        <v>46106</v>
      </c>
      <c r="B261" s="38" t="n">
        <v>19.179</v>
      </c>
    </row>
    <row r="262" customFormat="false" ht="15" hidden="false" customHeight="false" outlineLevel="0" collapsed="false">
      <c r="A262" s="54" t="n">
        <v>46107</v>
      </c>
      <c r="B262" s="39" t="n">
        <v>0</v>
      </c>
    </row>
    <row r="263" customFormat="false" ht="15" hidden="false" customHeight="false" outlineLevel="0" collapsed="false">
      <c r="A263" s="53" t="n">
        <v>46108</v>
      </c>
      <c r="B263" s="38" t="n">
        <v>55.204</v>
      </c>
    </row>
    <row r="264" customFormat="false" ht="15" hidden="false" customHeight="false" outlineLevel="0" collapsed="false">
      <c r="A264" s="54" t="n">
        <v>46109</v>
      </c>
      <c r="B264" s="39" t="n">
        <v>148.098</v>
      </c>
    </row>
    <row r="265" customFormat="false" ht="15" hidden="false" customHeight="false" outlineLevel="0" collapsed="false">
      <c r="A265" s="53" t="n">
        <v>46110</v>
      </c>
      <c r="B265" s="38" t="n">
        <v>20.059</v>
      </c>
    </row>
    <row r="266" customFormat="false" ht="15" hidden="false" customHeight="false" outlineLevel="0" collapsed="false">
      <c r="A266" s="54" t="n">
        <v>46111</v>
      </c>
      <c r="B266" s="39" t="n">
        <v>57.817</v>
      </c>
    </row>
    <row r="267" customFormat="false" ht="15" hidden="false" customHeight="false" outlineLevel="0" collapsed="false">
      <c r="A267" s="53" t="n">
        <v>46112</v>
      </c>
      <c r="B267" s="38" t="n">
        <v>0</v>
      </c>
    </row>
    <row r="268" customFormat="false" ht="15" hidden="false" customHeight="false" outlineLevel="0" collapsed="false">
      <c r="A268" s="54" t="n">
        <v>46113</v>
      </c>
      <c r="B268" s="39" t="n">
        <v>0</v>
      </c>
    </row>
    <row r="269" customFormat="false" ht="15" hidden="false" customHeight="false" outlineLevel="0" collapsed="false">
      <c r="A269" s="53" t="n">
        <v>46114</v>
      </c>
      <c r="B269" s="38" t="n">
        <v>76.175</v>
      </c>
    </row>
    <row r="270" customFormat="false" ht="15" hidden="false" customHeight="false" outlineLevel="0" collapsed="false">
      <c r="A270" s="54" t="n">
        <v>46115</v>
      </c>
      <c r="B270" s="39" t="n">
        <v>68.137</v>
      </c>
    </row>
    <row r="271" customFormat="false" ht="15" hidden="false" customHeight="false" outlineLevel="0" collapsed="false">
      <c r="A271" s="53" t="n">
        <v>46116</v>
      </c>
      <c r="B271" s="38" t="n">
        <v>55.243</v>
      </c>
    </row>
    <row r="272" customFormat="false" ht="15" hidden="false" customHeight="false" outlineLevel="0" collapsed="false">
      <c r="A272" s="54" t="n">
        <v>46117</v>
      </c>
      <c r="B272" s="39" t="n">
        <v>41.104</v>
      </c>
    </row>
    <row r="273" customFormat="false" ht="15" hidden="false" customHeight="false" outlineLevel="0" collapsed="false">
      <c r="A273" s="53" t="n">
        <v>46118</v>
      </c>
      <c r="B273" s="38" t="n">
        <v>36.237</v>
      </c>
    </row>
    <row r="274" customFormat="false" ht="15" hidden="false" customHeight="false" outlineLevel="0" collapsed="false">
      <c r="A274" s="54" t="n">
        <v>46119</v>
      </c>
      <c r="B274" s="39" t="n">
        <v>51.734</v>
      </c>
    </row>
    <row r="275" customFormat="false" ht="15" hidden="false" customHeight="false" outlineLevel="0" collapsed="false">
      <c r="A275" s="53" t="n">
        <v>46120</v>
      </c>
      <c r="B275" s="38" t="n">
        <v>97.63</v>
      </c>
    </row>
    <row r="276" customFormat="false" ht="15" hidden="false" customHeight="false" outlineLevel="0" collapsed="false">
      <c r="A276" s="54" t="n">
        <v>46121</v>
      </c>
      <c r="B276" s="39" t="n">
        <v>0</v>
      </c>
    </row>
    <row r="277" customFormat="false" ht="15" hidden="false" customHeight="false" outlineLevel="0" collapsed="false">
      <c r="A277" s="53" t="n">
        <v>46122</v>
      </c>
      <c r="B277" s="38" t="n">
        <v>123.154</v>
      </c>
    </row>
    <row r="278" customFormat="false" ht="15" hidden="false" customHeight="false" outlineLevel="0" collapsed="false">
      <c r="A278" s="54" t="n">
        <v>46123</v>
      </c>
      <c r="B278" s="39" t="n">
        <v>56.662</v>
      </c>
    </row>
    <row r="279" customFormat="false" ht="15" hidden="false" customHeight="false" outlineLevel="0" collapsed="false">
      <c r="A279" s="53" t="n">
        <v>46124</v>
      </c>
      <c r="B279" s="38" t="n">
        <v>101.621</v>
      </c>
    </row>
    <row r="280" customFormat="false" ht="15" hidden="false" customHeight="false" outlineLevel="0" collapsed="false">
      <c r="A280" s="54" t="n">
        <v>46125</v>
      </c>
      <c r="B280" s="39" t="n">
        <v>79.641</v>
      </c>
    </row>
    <row r="281" customFormat="false" ht="15" hidden="false" customHeight="false" outlineLevel="0" collapsed="false">
      <c r="A281" s="53" t="n">
        <v>46126</v>
      </c>
      <c r="B281" s="38" t="n">
        <v>0</v>
      </c>
    </row>
    <row r="282" customFormat="false" ht="15" hidden="false" customHeight="false" outlineLevel="0" collapsed="false">
      <c r="A282" s="54" t="n">
        <v>46127</v>
      </c>
      <c r="B282" s="39" t="n">
        <v>25.682</v>
      </c>
    </row>
    <row r="283" customFormat="false" ht="15" hidden="false" customHeight="false" outlineLevel="0" collapsed="false">
      <c r="A283" s="53" t="n">
        <v>46128</v>
      </c>
      <c r="B283" s="38" t="n">
        <v>0</v>
      </c>
    </row>
    <row r="284" customFormat="false" ht="15" hidden="false" customHeight="false" outlineLevel="0" collapsed="false">
      <c r="A284" s="54" t="n">
        <v>46129</v>
      </c>
      <c r="B284" s="39" t="n">
        <v>14.606</v>
      </c>
    </row>
    <row r="285" customFormat="false" ht="15" hidden="false" customHeight="false" outlineLevel="0" collapsed="false">
      <c r="A285" s="53" t="n">
        <v>46130</v>
      </c>
      <c r="B285" s="38" t="n">
        <v>80.153</v>
      </c>
    </row>
    <row r="286" customFormat="false" ht="15" hidden="false" customHeight="false" outlineLevel="0" collapsed="false">
      <c r="A286" s="54" t="n">
        <v>46131</v>
      </c>
      <c r="B286" s="39" t="n">
        <v>15.644</v>
      </c>
    </row>
    <row r="287" customFormat="false" ht="15" hidden="false" customHeight="false" outlineLevel="0" collapsed="false">
      <c r="A287" s="53" t="n">
        <v>46132</v>
      </c>
      <c r="B287" s="38" t="n">
        <v>0</v>
      </c>
    </row>
    <row r="288" customFormat="false" ht="15" hidden="false" customHeight="false" outlineLevel="0" collapsed="false">
      <c r="A288" s="54" t="n">
        <v>46133</v>
      </c>
      <c r="B288" s="39" t="n">
        <v>0</v>
      </c>
    </row>
    <row r="289" customFormat="false" ht="15" hidden="false" customHeight="false" outlineLevel="0" collapsed="false">
      <c r="A289" s="53" t="n">
        <v>46134</v>
      </c>
      <c r="B289" s="38" t="n">
        <v>25.719</v>
      </c>
    </row>
    <row r="290" customFormat="false" ht="15" hidden="false" customHeight="false" outlineLevel="0" collapsed="false">
      <c r="A290" s="54" t="n">
        <v>46135</v>
      </c>
      <c r="B290" s="39" t="n">
        <v>57.343</v>
      </c>
    </row>
    <row r="291" customFormat="false" ht="15" hidden="false" customHeight="false" outlineLevel="0" collapsed="false">
      <c r="A291" s="53" t="n">
        <v>46136</v>
      </c>
      <c r="B291" s="38" t="n">
        <v>34.367</v>
      </c>
    </row>
    <row r="292" customFormat="false" ht="15" hidden="false" customHeight="false" outlineLevel="0" collapsed="false">
      <c r="A292" s="54" t="n">
        <v>46137</v>
      </c>
      <c r="B292" s="39" t="n">
        <v>69.315</v>
      </c>
    </row>
    <row r="293" customFormat="false" ht="15" hidden="false" customHeight="false" outlineLevel="0" collapsed="false">
      <c r="A293" s="53" t="n">
        <v>46138</v>
      </c>
      <c r="B293" s="38" t="n">
        <v>10.966</v>
      </c>
    </row>
    <row r="294" customFormat="false" ht="15" hidden="false" customHeight="false" outlineLevel="0" collapsed="false">
      <c r="A294" s="54" t="n">
        <v>46139</v>
      </c>
      <c r="B294" s="39" t="n">
        <v>0</v>
      </c>
    </row>
    <row r="295" customFormat="false" ht="15" hidden="false" customHeight="false" outlineLevel="0" collapsed="false">
      <c r="A295" s="53" t="n">
        <v>46140</v>
      </c>
      <c r="B295" s="38" t="n">
        <v>34.604</v>
      </c>
    </row>
    <row r="296" customFormat="false" ht="15" hidden="false" customHeight="false" outlineLevel="0" collapsed="false">
      <c r="A296" s="54" t="n">
        <v>46141</v>
      </c>
      <c r="B296" s="39" t="n">
        <v>39.85</v>
      </c>
    </row>
    <row r="297" customFormat="false" ht="15" hidden="false" customHeight="false" outlineLevel="0" collapsed="false">
      <c r="A297" s="53" t="n">
        <v>46142</v>
      </c>
      <c r="B297" s="38" t="n">
        <v>0</v>
      </c>
    </row>
    <row r="298" customFormat="false" ht="15" hidden="false" customHeight="false" outlineLevel="0" collapsed="false">
      <c r="A298" s="54" t="n">
        <v>46143</v>
      </c>
      <c r="B298" s="39" t="n">
        <v>78.201</v>
      </c>
    </row>
    <row r="299" customFormat="false" ht="15" hidden="false" customHeight="false" outlineLevel="0" collapsed="false">
      <c r="A299" s="53" t="n">
        <v>46144</v>
      </c>
      <c r="B299" s="38" t="n">
        <v>5.016</v>
      </c>
    </row>
    <row r="300" customFormat="false" ht="15" hidden="false" customHeight="false" outlineLevel="0" collapsed="false">
      <c r="A300" s="54" t="n">
        <v>46145</v>
      </c>
      <c r="B300" s="39" t="n">
        <v>0</v>
      </c>
    </row>
    <row r="301" customFormat="false" ht="15" hidden="false" customHeight="false" outlineLevel="0" collapsed="false">
      <c r="A301" s="53" t="n">
        <v>46146</v>
      </c>
      <c r="B301" s="38" t="n">
        <v>38.975</v>
      </c>
    </row>
    <row r="302" customFormat="false" ht="15" hidden="false" customHeight="false" outlineLevel="0" collapsed="false">
      <c r="A302" s="54" t="n">
        <v>46147</v>
      </c>
      <c r="B302" s="39" t="n">
        <v>0</v>
      </c>
    </row>
    <row r="303" customFormat="false" ht="15" hidden="false" customHeight="false" outlineLevel="0" collapsed="false">
      <c r="A303" s="53" t="n">
        <v>46148</v>
      </c>
      <c r="B303" s="38" t="n">
        <v>47.956</v>
      </c>
    </row>
    <row r="304" customFormat="false" ht="15" hidden="false" customHeight="false" outlineLevel="0" collapsed="false">
      <c r="A304" s="54" t="n">
        <v>46149</v>
      </c>
      <c r="B304" s="39" t="n">
        <v>39.155</v>
      </c>
    </row>
    <row r="305" customFormat="false" ht="15" hidden="false" customHeight="false" outlineLevel="0" collapsed="false">
      <c r="A305" s="53" t="n">
        <v>46150</v>
      </c>
      <c r="B305" s="38" t="n">
        <v>149.115</v>
      </c>
    </row>
    <row r="306" customFormat="false" ht="15" hidden="false" customHeight="false" outlineLevel="0" collapsed="false">
      <c r="A306" s="54" t="n">
        <v>46151</v>
      </c>
      <c r="B306" s="39" t="n">
        <v>7.369</v>
      </c>
    </row>
    <row r="307" customFormat="false" ht="15" hidden="false" customHeight="false" outlineLevel="0" collapsed="false">
      <c r="A307" s="53" t="n">
        <v>46152</v>
      </c>
      <c r="B307" s="38" t="n">
        <v>13.938</v>
      </c>
    </row>
    <row r="308" customFormat="false" ht="15" hidden="false" customHeight="false" outlineLevel="0" collapsed="false">
      <c r="A308" s="54" t="n">
        <v>46153</v>
      </c>
      <c r="B308" s="39" t="n">
        <v>0</v>
      </c>
    </row>
    <row r="309" customFormat="false" ht="15" hidden="false" customHeight="false" outlineLevel="0" collapsed="false">
      <c r="A309" s="53" t="n">
        <v>46154</v>
      </c>
      <c r="B309" s="38" t="n">
        <v>0</v>
      </c>
    </row>
    <row r="310" customFormat="false" ht="15" hidden="false" customHeight="false" outlineLevel="0" collapsed="false">
      <c r="A310" s="54" t="n">
        <v>46155</v>
      </c>
      <c r="B310" s="39" t="n">
        <v>0</v>
      </c>
    </row>
    <row r="311" customFormat="false" ht="15" hidden="false" customHeight="false" outlineLevel="0" collapsed="false">
      <c r="A311" s="53" t="n">
        <v>46156</v>
      </c>
      <c r="B311" s="38" t="n">
        <v>81.417</v>
      </c>
    </row>
    <row r="312" customFormat="false" ht="15" hidden="false" customHeight="false" outlineLevel="0" collapsed="false">
      <c r="A312" s="54" t="n">
        <v>46157</v>
      </c>
      <c r="B312" s="39" t="n">
        <v>0</v>
      </c>
    </row>
    <row r="313" customFormat="false" ht="15" hidden="false" customHeight="false" outlineLevel="0" collapsed="false">
      <c r="A313" s="53" t="n">
        <v>46158</v>
      </c>
      <c r="B313" s="38" t="n">
        <v>0</v>
      </c>
    </row>
    <row r="314" customFormat="false" ht="15" hidden="false" customHeight="false" outlineLevel="0" collapsed="false">
      <c r="A314" s="54" t="n">
        <v>46159</v>
      </c>
      <c r="B314" s="39" t="n">
        <v>0</v>
      </c>
    </row>
    <row r="315" customFormat="false" ht="15" hidden="false" customHeight="false" outlineLevel="0" collapsed="false">
      <c r="A315" s="53" t="n">
        <v>46160</v>
      </c>
      <c r="B315" s="38" t="n">
        <v>33.755</v>
      </c>
    </row>
    <row r="316" customFormat="false" ht="15" hidden="false" customHeight="false" outlineLevel="0" collapsed="false">
      <c r="A316" s="54" t="n">
        <v>46161</v>
      </c>
      <c r="B316" s="39" t="n">
        <v>4.872</v>
      </c>
    </row>
    <row r="317" customFormat="false" ht="15" hidden="false" customHeight="false" outlineLevel="0" collapsed="false">
      <c r="A317" s="53" t="n">
        <v>46162</v>
      </c>
      <c r="B317" s="38" t="n">
        <v>0</v>
      </c>
    </row>
    <row r="318" customFormat="false" ht="15" hidden="false" customHeight="false" outlineLevel="0" collapsed="false">
      <c r="A318" s="54" t="n">
        <v>46163</v>
      </c>
      <c r="B318" s="39" t="n">
        <v>0</v>
      </c>
    </row>
    <row r="319" customFormat="false" ht="15" hidden="false" customHeight="false" outlineLevel="0" collapsed="false">
      <c r="A319" s="53" t="n">
        <v>46164</v>
      </c>
      <c r="B319" s="38" t="n">
        <v>96.882</v>
      </c>
    </row>
    <row r="320" customFormat="false" ht="15" hidden="false" customHeight="false" outlineLevel="0" collapsed="false">
      <c r="A320" s="54" t="n">
        <v>46165</v>
      </c>
      <c r="B320" s="39" t="n">
        <v>14.405</v>
      </c>
    </row>
    <row r="321" customFormat="false" ht="15" hidden="false" customHeight="false" outlineLevel="0" collapsed="false">
      <c r="A321" s="53" t="n">
        <v>46166</v>
      </c>
      <c r="B321" s="38" t="n">
        <v>16.187</v>
      </c>
    </row>
    <row r="322" customFormat="false" ht="15" hidden="false" customHeight="false" outlineLevel="0" collapsed="false">
      <c r="A322" s="54" t="n">
        <v>46167</v>
      </c>
      <c r="B322" s="39" t="n">
        <v>37.514</v>
      </c>
    </row>
    <row r="323" customFormat="false" ht="15" hidden="false" customHeight="false" outlineLevel="0" collapsed="false">
      <c r="A323" s="53" t="n">
        <v>46168</v>
      </c>
      <c r="B323" s="38" t="n">
        <v>50.899</v>
      </c>
    </row>
    <row r="324" customFormat="false" ht="15" hidden="false" customHeight="false" outlineLevel="0" collapsed="false">
      <c r="A324" s="54" t="n">
        <v>46169</v>
      </c>
      <c r="B324" s="39" t="n">
        <v>38.017</v>
      </c>
    </row>
    <row r="325" customFormat="false" ht="15" hidden="false" customHeight="false" outlineLevel="0" collapsed="false">
      <c r="A325" s="53" t="n">
        <v>46170</v>
      </c>
      <c r="B325" s="38" t="n">
        <v>44.415</v>
      </c>
    </row>
    <row r="326" customFormat="false" ht="15" hidden="false" customHeight="false" outlineLevel="0" collapsed="false">
      <c r="A326" s="54" t="n">
        <v>46171</v>
      </c>
      <c r="B326" s="39" t="n">
        <v>20.088</v>
      </c>
    </row>
    <row r="327" customFormat="false" ht="15" hidden="false" customHeight="false" outlineLevel="0" collapsed="false">
      <c r="A327" s="53" t="n">
        <v>46172</v>
      </c>
      <c r="B327" s="38" t="n">
        <v>0</v>
      </c>
    </row>
    <row r="328" customFormat="false" ht="15" hidden="false" customHeight="false" outlineLevel="0" collapsed="false">
      <c r="A328" s="54" t="n">
        <v>46173</v>
      </c>
      <c r="B328" s="39" t="n">
        <v>0</v>
      </c>
    </row>
    <row r="329" customFormat="false" ht="15" hidden="false" customHeight="false" outlineLevel="0" collapsed="false">
      <c r="A329" s="53" t="n">
        <v>46174</v>
      </c>
      <c r="B329" s="38" t="n">
        <v>0</v>
      </c>
    </row>
    <row r="330" customFormat="false" ht="15" hidden="false" customHeight="false" outlineLevel="0" collapsed="false">
      <c r="A330" s="54" t="n">
        <v>46175</v>
      </c>
      <c r="B330" s="39" t="n">
        <v>0</v>
      </c>
    </row>
    <row r="331" customFormat="false" ht="15" hidden="false" customHeight="false" outlineLevel="0" collapsed="false">
      <c r="A331" s="53" t="n">
        <v>46176</v>
      </c>
      <c r="B331" s="38" t="n">
        <v>57.645</v>
      </c>
    </row>
    <row r="332" customFormat="false" ht="15" hidden="false" customHeight="false" outlineLevel="0" collapsed="false">
      <c r="A332" s="54" t="n">
        <v>46177</v>
      </c>
      <c r="B332" s="39" t="n">
        <v>0</v>
      </c>
    </row>
    <row r="333" customFormat="false" ht="15" hidden="false" customHeight="false" outlineLevel="0" collapsed="false">
      <c r="A333" s="53" t="n">
        <v>46178</v>
      </c>
      <c r="B333" s="38" t="n">
        <v>28.49</v>
      </c>
    </row>
    <row r="334" customFormat="false" ht="15" hidden="false" customHeight="false" outlineLevel="0" collapsed="false">
      <c r="A334" s="54" t="n">
        <v>46179</v>
      </c>
      <c r="B334" s="39" t="n">
        <v>0</v>
      </c>
    </row>
    <row r="335" customFormat="false" ht="15" hidden="false" customHeight="false" outlineLevel="0" collapsed="false">
      <c r="A335" s="53" t="n">
        <v>46180</v>
      </c>
      <c r="B335" s="38" t="n">
        <v>55.398</v>
      </c>
    </row>
    <row r="336" customFormat="false" ht="15" hidden="false" customHeight="false" outlineLevel="0" collapsed="false">
      <c r="A336" s="54" t="n">
        <v>46181</v>
      </c>
      <c r="B336" s="39" t="n">
        <v>0</v>
      </c>
    </row>
    <row r="337" customFormat="false" ht="15" hidden="false" customHeight="false" outlineLevel="0" collapsed="false">
      <c r="A337" s="53" t="n">
        <v>46182</v>
      </c>
      <c r="B337" s="38" t="n">
        <v>40.213</v>
      </c>
    </row>
    <row r="338" customFormat="false" ht="15" hidden="false" customHeight="false" outlineLevel="0" collapsed="false">
      <c r="A338" s="54" t="n">
        <v>46183</v>
      </c>
      <c r="B338" s="39" t="n">
        <v>0</v>
      </c>
    </row>
    <row r="339" customFormat="false" ht="15" hidden="false" customHeight="false" outlineLevel="0" collapsed="false">
      <c r="A339" s="53" t="n">
        <v>46184</v>
      </c>
      <c r="B339" s="38" t="n">
        <v>50.39</v>
      </c>
    </row>
    <row r="340" customFormat="false" ht="15" hidden="false" customHeight="false" outlineLevel="0" collapsed="false">
      <c r="A340" s="54" t="n">
        <v>46185</v>
      </c>
      <c r="B340" s="39" t="n">
        <v>58.411</v>
      </c>
    </row>
    <row r="341" customFormat="false" ht="15" hidden="false" customHeight="false" outlineLevel="0" collapsed="false">
      <c r="A341" s="53" t="n">
        <v>46186</v>
      </c>
      <c r="B341" s="38" t="n">
        <v>27.547</v>
      </c>
    </row>
    <row r="342" customFormat="false" ht="15" hidden="false" customHeight="false" outlineLevel="0" collapsed="false">
      <c r="A342" s="54" t="n">
        <v>46187</v>
      </c>
      <c r="B342" s="39" t="n">
        <v>16.164</v>
      </c>
    </row>
    <row r="343" customFormat="false" ht="15" hidden="false" customHeight="false" outlineLevel="0" collapsed="false">
      <c r="A343" s="53" t="n">
        <v>46188</v>
      </c>
      <c r="B343" s="38" t="n">
        <v>46.262</v>
      </c>
    </row>
    <row r="344" customFormat="false" ht="15" hidden="false" customHeight="false" outlineLevel="0" collapsed="false">
      <c r="A344" s="54" t="n">
        <v>46189</v>
      </c>
      <c r="B344" s="39" t="n">
        <v>0</v>
      </c>
    </row>
    <row r="345" customFormat="false" ht="15" hidden="false" customHeight="false" outlineLevel="0" collapsed="false">
      <c r="A345" s="53" t="n">
        <v>46190</v>
      </c>
      <c r="B345" s="38" t="n">
        <v>0</v>
      </c>
    </row>
    <row r="346" customFormat="false" ht="15" hidden="false" customHeight="false" outlineLevel="0" collapsed="false">
      <c r="A346" s="54" t="n">
        <v>46191</v>
      </c>
      <c r="B346" s="39" t="n">
        <v>60.669</v>
      </c>
    </row>
    <row r="347" customFormat="false" ht="15" hidden="false" customHeight="false" outlineLevel="0" collapsed="false">
      <c r="A347" s="53" t="n">
        <v>46192</v>
      </c>
      <c r="B347" s="38" t="n">
        <v>0</v>
      </c>
    </row>
    <row r="348" customFormat="false" ht="15" hidden="false" customHeight="false" outlineLevel="0" collapsed="false">
      <c r="A348" s="54" t="n">
        <v>46193</v>
      </c>
      <c r="B348" s="39" t="n">
        <v>0</v>
      </c>
    </row>
    <row r="349" customFormat="false" ht="15" hidden="false" customHeight="false" outlineLevel="0" collapsed="false">
      <c r="A349" s="53" t="n">
        <v>46194</v>
      </c>
      <c r="B349" s="38" t="n">
        <v>0</v>
      </c>
    </row>
    <row r="350" customFormat="false" ht="15" hidden="false" customHeight="false" outlineLevel="0" collapsed="false">
      <c r="A350" s="54" t="n">
        <v>46195</v>
      </c>
      <c r="B350" s="39" t="n">
        <v>47.89</v>
      </c>
    </row>
    <row r="351" customFormat="false" ht="15" hidden="false" customHeight="false" outlineLevel="0" collapsed="false">
      <c r="A351" s="53" t="n">
        <v>46196</v>
      </c>
      <c r="B351" s="38" t="n">
        <v>27.824</v>
      </c>
    </row>
    <row r="352" customFormat="false" ht="15" hidden="false" customHeight="false" outlineLevel="0" collapsed="false">
      <c r="A352" s="54" t="n">
        <v>46197</v>
      </c>
      <c r="B352" s="39" t="n">
        <v>0</v>
      </c>
    </row>
    <row r="353" customFormat="false" ht="15" hidden="false" customHeight="false" outlineLevel="0" collapsed="false">
      <c r="A353" s="53" t="n">
        <v>46198</v>
      </c>
      <c r="B353" s="38" t="n">
        <v>29.519</v>
      </c>
    </row>
    <row r="354" customFormat="false" ht="15" hidden="false" customHeight="false" outlineLevel="0" collapsed="false">
      <c r="A354" s="54" t="n">
        <v>46199</v>
      </c>
      <c r="B354" s="39" t="n">
        <v>1.451</v>
      </c>
    </row>
    <row r="355" customFormat="false" ht="15" hidden="false" customHeight="false" outlineLevel="0" collapsed="false">
      <c r="A355" s="53" t="n">
        <v>46200</v>
      </c>
      <c r="B355" s="38" t="n">
        <v>0</v>
      </c>
    </row>
    <row r="356" customFormat="false" ht="15" hidden="false" customHeight="false" outlineLevel="0" collapsed="false">
      <c r="A356" s="54" t="n">
        <v>46201</v>
      </c>
      <c r="B356" s="39" t="n">
        <v>11.848</v>
      </c>
    </row>
    <row r="357" customFormat="false" ht="15" hidden="false" customHeight="false" outlineLevel="0" collapsed="false">
      <c r="A357" s="53" t="n">
        <v>46202</v>
      </c>
      <c r="B357" s="38" t="n">
        <v>9.8</v>
      </c>
    </row>
    <row r="358" customFormat="false" ht="15" hidden="false" customHeight="false" outlineLevel="0" collapsed="false">
      <c r="A358" s="54" t="n">
        <v>46203</v>
      </c>
      <c r="B358" s="39" t="n">
        <v>12.277</v>
      </c>
    </row>
    <row r="359" customFormat="false" ht="15" hidden="false" customHeight="false" outlineLevel="0" collapsed="false">
      <c r="A359" s="53" t="n">
        <v>46204</v>
      </c>
      <c r="B359" s="38" t="n">
        <v>0</v>
      </c>
    </row>
    <row r="360" customFormat="false" ht="15" hidden="false" customHeight="false" outlineLevel="0" collapsed="false">
      <c r="A360" s="54" t="n">
        <v>46205</v>
      </c>
      <c r="B360" s="39" t="n">
        <v>24.959</v>
      </c>
    </row>
    <row r="361" customFormat="false" ht="15" hidden="false" customHeight="false" outlineLevel="0" collapsed="false">
      <c r="A361" s="53" t="n">
        <v>46206</v>
      </c>
      <c r="B361" s="38" t="n">
        <v>23.488</v>
      </c>
    </row>
    <row r="362" customFormat="false" ht="15" hidden="false" customHeight="false" outlineLevel="0" collapsed="false">
      <c r="A362" s="54" t="n">
        <v>46207</v>
      </c>
      <c r="B362" s="39" t="n">
        <v>0</v>
      </c>
    </row>
    <row r="363" customFormat="false" ht="15" hidden="false" customHeight="false" outlineLevel="0" collapsed="false">
      <c r="A363" s="53" t="n">
        <v>46208</v>
      </c>
      <c r="B363" s="38" t="n">
        <v>16.058</v>
      </c>
    </row>
    <row r="364" customFormat="false" ht="15" hidden="false" customHeight="false" outlineLevel="0" collapsed="false">
      <c r="A364" s="54" t="n">
        <v>46209</v>
      </c>
      <c r="B364" s="39" t="n">
        <v>0</v>
      </c>
    </row>
    <row r="365" customFormat="false" ht="15" hidden="false" customHeight="false" outlineLevel="0" collapsed="false">
      <c r="A365" s="53" t="n">
        <v>46210</v>
      </c>
      <c r="B365" s="38" t="n">
        <v>29.088</v>
      </c>
    </row>
    <row r="366" customFormat="false" ht="15" hidden="false" customHeight="false" outlineLevel="0" collapsed="false">
      <c r="A366" s="54" t="n">
        <v>46211</v>
      </c>
      <c r="B366" s="39" t="n">
        <v>12.305</v>
      </c>
    </row>
    <row r="367" customFormat="false" ht="15" hidden="false" customHeight="false" outlineLevel="0" collapsed="false">
      <c r="A367" s="53" t="n">
        <v>46212</v>
      </c>
      <c r="B367" s="38" t="n">
        <v>0</v>
      </c>
    </row>
    <row r="368" customFormat="false" ht="15" hidden="false" customHeight="false" outlineLevel="0" collapsed="false">
      <c r="A368" s="54" t="n">
        <v>46213</v>
      </c>
      <c r="B368" s="39" t="n">
        <v>6.159</v>
      </c>
    </row>
    <row r="369" customFormat="false" ht="15" hidden="false" customHeight="false" outlineLevel="0" collapsed="false">
      <c r="A369" s="53" t="n">
        <v>46214</v>
      </c>
      <c r="B369" s="38" t="n">
        <v>0</v>
      </c>
    </row>
    <row r="370" customFormat="false" ht="15" hidden="false" customHeight="false" outlineLevel="0" collapsed="false">
      <c r="A370" s="8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14"/>
    <col collapsed="false" customWidth="true" hidden="false" outlineLevel="0" max="6" min="6" style="0" width="20"/>
    <col collapsed="false" customWidth="true" hidden="false" outlineLevel="0" max="7" min="7" style="0" width="10"/>
    <col collapsed="false" customWidth="true" hidden="false" outlineLevel="0" max="8" min="8" style="0" width="14"/>
    <col collapsed="false" customWidth="true" hidden="false" outlineLevel="0" max="11" min="11" style="0" width="12"/>
    <col collapsed="false" customWidth="true" hidden="false" outlineLevel="0" max="12" min="12" style="0" width="10"/>
    <col collapsed="false" customWidth="true" hidden="false" outlineLevel="0" max="14" min="13" style="0" width="14"/>
  </cols>
  <sheetData>
    <row r="1" customFormat="false" ht="16.15" hidden="false" customHeight="false" outlineLevel="0" collapsed="false">
      <c r="A1" s="50" t="s">
        <v>364</v>
      </c>
    </row>
    <row r="2" customFormat="false" ht="27.75" hidden="false" customHeight="true" outlineLevel="0" collapsed="false">
      <c r="A2" s="31" t="s">
        <v>365</v>
      </c>
      <c r="B2" s="31"/>
      <c r="C2" s="31"/>
      <c r="D2" s="31"/>
      <c r="E2" s="31"/>
      <c r="F2" s="31"/>
      <c r="G2" s="31"/>
      <c r="H2" s="31"/>
      <c r="I2" s="31"/>
      <c r="J2" s="31"/>
      <c r="K2" s="31"/>
      <c r="L2" s="31"/>
      <c r="M2" s="31"/>
      <c r="N2" s="31"/>
    </row>
    <row r="4" customFormat="false" ht="15" hidden="false" customHeight="false" outlineLevel="0" collapsed="false">
      <c r="A4" s="37" t="s">
        <v>208</v>
      </c>
      <c r="B4" s="37" t="s">
        <v>51</v>
      </c>
      <c r="C4" s="37" t="s">
        <v>54</v>
      </c>
      <c r="F4" s="37" t="s">
        <v>209</v>
      </c>
      <c r="G4" s="37" t="s">
        <v>51</v>
      </c>
      <c r="H4" s="37" t="s">
        <v>54</v>
      </c>
      <c r="K4" s="37" t="s">
        <v>73</v>
      </c>
      <c r="L4" s="37" t="s">
        <v>51</v>
      </c>
      <c r="M4" s="37" t="s">
        <v>54</v>
      </c>
      <c r="N4" s="37" t="s">
        <v>52</v>
      </c>
    </row>
    <row r="5" customFormat="false" ht="15" hidden="false" customHeight="false" outlineLevel="0" collapsed="false">
      <c r="A5" s="14" t="s">
        <v>230</v>
      </c>
      <c r="B5" s="14" t="n">
        <f aca="false">COUNTIF('Raw - Sessions'!$M$5:$M$292,A5)</f>
        <v>37</v>
      </c>
      <c r="C5" s="42" t="n">
        <f aca="false">SUMIF('Raw - Sessions'!$M$5:$M$292,A5,'Raw - Sessions'!$P$5:$P$292)</f>
        <v>905.25</v>
      </c>
      <c r="F5" s="14" t="s">
        <v>294</v>
      </c>
      <c r="G5" s="14" t="n">
        <f aca="false">COUNTIF('Raw - Sessions'!$N$5:$N$292,F5)</f>
        <v>6</v>
      </c>
      <c r="H5" s="42" t="n">
        <f aca="false">SUMIF('Raw - Sessions'!$N$5:$N$292,F5,'Raw - Sessions'!$P$5:$P$292)</f>
        <v>150.06</v>
      </c>
      <c r="K5" s="14" t="s">
        <v>228</v>
      </c>
      <c r="L5" s="14" t="n">
        <f aca="false">COUNTIF('Raw - Sessions'!$O$5:$O$292,K5)</f>
        <v>96</v>
      </c>
      <c r="M5" s="42" t="n">
        <f aca="false">SUMIF('Raw - Sessions'!$O$5:$O$292,K5,'Raw - Sessions'!$P$5:$P$292)</f>
        <v>1775.37</v>
      </c>
      <c r="N5" s="22" t="n">
        <f aca="false">SUMIF('Raw - Sessions'!$O$5:$O$292,K5,'Raw - Sessions'!$E$5:$E$292)</f>
        <v>2806.316188</v>
      </c>
    </row>
    <row r="6" customFormat="false" ht="15" hidden="false" customHeight="false" outlineLevel="0" collapsed="false">
      <c r="A6" s="17" t="s">
        <v>293</v>
      </c>
      <c r="B6" s="17" t="n">
        <f aca="false">COUNTIF('Raw - Sessions'!$M$5:$M$292,A6)</f>
        <v>6</v>
      </c>
      <c r="C6" s="44" t="n">
        <f aca="false">SUMIF('Raw - Sessions'!$M$5:$M$292,A6,'Raw - Sessions'!$P$5:$P$292)</f>
        <v>150.06</v>
      </c>
      <c r="F6" s="17" t="s">
        <v>235</v>
      </c>
      <c r="G6" s="17" t="n">
        <f aca="false">COUNTIF('Raw - Sessions'!$N$5:$N$292,F6)</f>
        <v>5</v>
      </c>
      <c r="H6" s="44" t="n">
        <f aca="false">SUMIF('Raw - Sessions'!$N$5:$N$292,F6,'Raw - Sessions'!$P$5:$P$292)</f>
        <v>77.86</v>
      </c>
      <c r="K6" s="17" t="s">
        <v>232</v>
      </c>
      <c r="L6" s="17" t="n">
        <f aca="false">COUNTIF('Raw - Sessions'!$O$5:$O$292,K6)</f>
        <v>18</v>
      </c>
      <c r="M6" s="44" t="n">
        <f aca="false">SUMIF('Raw - Sessions'!$O$5:$O$292,K6,'Raw - Sessions'!$P$5:$P$292)</f>
        <v>212.02</v>
      </c>
      <c r="N6" s="20" t="n">
        <f aca="false">SUMIF('Raw - Sessions'!$O$5:$O$292,K6,'Raw - Sessions'!$E$5:$E$292)</f>
        <v>378.493608</v>
      </c>
    </row>
    <row r="7" customFormat="false" ht="15" hidden="false" customHeight="false" outlineLevel="0" collapsed="false">
      <c r="A7" s="14" t="s">
        <v>273</v>
      </c>
      <c r="B7" s="14" t="n">
        <f aca="false">COUNTIF('Raw - Sessions'!$M$5:$M$292,A7)</f>
        <v>5</v>
      </c>
      <c r="C7" s="42" t="n">
        <f aca="false">SUMIF('Raw - Sessions'!$M$5:$M$292,A7,'Raw - Sessions'!$P$5:$P$292)</f>
        <v>54.61</v>
      </c>
      <c r="F7" s="14" t="s">
        <v>237</v>
      </c>
      <c r="G7" s="14" t="n">
        <f aca="false">COUNTIF('Raw - Sessions'!$N$5:$N$292,F7)</f>
        <v>4</v>
      </c>
      <c r="H7" s="42" t="n">
        <f aca="false">SUMIF('Raw - Sessions'!$N$5:$N$292,F7,'Raw - Sessions'!$P$5:$P$292)</f>
        <v>53.98</v>
      </c>
      <c r="K7" s="14" t="s">
        <v>251</v>
      </c>
      <c r="L7" s="14" t="n">
        <f aca="false">COUNTIF('Raw - Sessions'!$O$5:$O$292,K7)</f>
        <v>10</v>
      </c>
      <c r="M7" s="42" t="n">
        <f aca="false">SUMIF('Raw - Sessions'!$O$5:$O$292,K7,'Raw - Sessions'!$P$5:$P$292)</f>
        <v>159.73</v>
      </c>
      <c r="N7" s="22" t="n">
        <f aca="false">SUMIF('Raw - Sessions'!$O$5:$O$292,K7,'Raw - Sessions'!$E$5:$E$292)</f>
        <v>264.547784</v>
      </c>
    </row>
    <row r="8" customFormat="false" ht="15" hidden="false" customHeight="false" outlineLevel="0" collapsed="false">
      <c r="A8" s="17" t="s">
        <v>355</v>
      </c>
      <c r="B8" s="17" t="n">
        <f aca="false">COUNTIF('Raw - Sessions'!$M$5:$M$292,A8)</f>
        <v>5</v>
      </c>
      <c r="C8" s="44" t="n">
        <f aca="false">SUMIF('Raw - Sessions'!$M$5:$M$292,A8,'Raw - Sessions'!$P$5:$P$292)</f>
        <v>3.19</v>
      </c>
      <c r="F8" s="17" t="s">
        <v>287</v>
      </c>
      <c r="G8" s="17" t="n">
        <f aca="false">COUNTIF('Raw - Sessions'!$N$5:$N$292,F8)</f>
        <v>4</v>
      </c>
      <c r="H8" s="44" t="n">
        <f aca="false">SUMIF('Raw - Sessions'!$N$5:$N$292,F8,'Raw - Sessions'!$P$5:$P$292)</f>
        <v>89.74</v>
      </c>
      <c r="K8" s="17" t="s">
        <v>259</v>
      </c>
      <c r="L8" s="17" t="n">
        <f aca="false">COUNTIF('Raw - Sessions'!$O$5:$O$292,K8)</f>
        <v>9</v>
      </c>
      <c r="M8" s="44" t="n">
        <f aca="false">SUMIF('Raw - Sessions'!$O$5:$O$292,K8,'Raw - Sessions'!$P$5:$P$292)</f>
        <v>176.72</v>
      </c>
      <c r="N8" s="20" t="n">
        <f aca="false">SUMIF('Raw - Sessions'!$O$5:$O$292,K8,'Raw - Sessions'!$E$5:$E$292)</f>
        <v>276.5583</v>
      </c>
    </row>
    <row r="9" customFormat="false" ht="15" hidden="false" customHeight="false" outlineLevel="0" collapsed="false">
      <c r="A9" s="14" t="s">
        <v>227</v>
      </c>
      <c r="B9" s="14" t="n">
        <f aca="false">COUNTIF('Raw - Sessions'!$M$5:$M$292,A9)</f>
        <v>5</v>
      </c>
      <c r="C9" s="42" t="n">
        <f aca="false">SUMIF('Raw - Sessions'!$M$5:$M$292,A9,'Raw - Sessions'!$P$5:$P$292)</f>
        <v>25.39</v>
      </c>
      <c r="F9" s="14" t="s">
        <v>320</v>
      </c>
      <c r="G9" s="14" t="n">
        <f aca="false">COUNTIF('Raw - Sessions'!$N$5:$N$292,F9)</f>
        <v>4</v>
      </c>
      <c r="H9" s="42" t="n">
        <f aca="false">SUMIF('Raw - Sessions'!$N$5:$N$292,F9,'Raw - Sessions'!$P$5:$P$292)</f>
        <v>25.84</v>
      </c>
      <c r="K9" s="14" t="s">
        <v>269</v>
      </c>
      <c r="L9" s="14" t="n">
        <f aca="false">COUNTIF('Raw - Sessions'!$O$5:$O$292,K9)</f>
        <v>5</v>
      </c>
      <c r="M9" s="42" t="n">
        <f aca="false">SUMIF('Raw - Sessions'!$O$5:$O$292,K9,'Raw - Sessions'!$P$5:$P$292)</f>
        <v>37.59</v>
      </c>
      <c r="N9" s="22" t="n">
        <f aca="false">SUMIF('Raw - Sessions'!$O$5:$O$292,K9,'Raw - Sessions'!$E$5:$E$292)</f>
        <v>43.146601</v>
      </c>
    </row>
    <row r="10" customFormat="false" ht="15" hidden="false" customHeight="false" outlineLevel="0" collapsed="false">
      <c r="A10" s="17" t="s">
        <v>303</v>
      </c>
      <c r="B10" s="17" t="n">
        <f aca="false">COUNTIF('Raw - Sessions'!$M$5:$M$292,A10)</f>
        <v>5</v>
      </c>
      <c r="C10" s="44" t="n">
        <f aca="false">SUMIF('Raw - Sessions'!$M$5:$M$292,A10,'Raw - Sessions'!$P$5:$P$292)</f>
        <v>117.31</v>
      </c>
      <c r="F10" s="17" t="s">
        <v>256</v>
      </c>
      <c r="G10" s="17" t="n">
        <f aca="false">COUNTIF('Raw - Sessions'!$N$5:$N$292,F10)</f>
        <v>3</v>
      </c>
      <c r="H10" s="44" t="n">
        <f aca="false">SUMIF('Raw - Sessions'!$N$5:$N$292,F10,'Raw - Sessions'!$P$5:$P$292)</f>
        <v>30.12</v>
      </c>
      <c r="K10" s="17" t="s">
        <v>247</v>
      </c>
      <c r="L10" s="17" t="n">
        <f aca="false">COUNTIF('Raw - Sessions'!$O$5:$O$292,K10)</f>
        <v>3</v>
      </c>
      <c r="M10" s="44" t="n">
        <f aca="false">SUMIF('Raw - Sessions'!$O$5:$O$292,K10,'Raw - Sessions'!$P$5:$P$292)</f>
        <v>76.03</v>
      </c>
      <c r="N10" s="20" t="n">
        <f aca="false">SUMIF('Raw - Sessions'!$O$5:$O$292,K10,'Raw - Sessions'!$E$5:$E$292)</f>
        <v>150.954601</v>
      </c>
    </row>
    <row r="11" customFormat="false" ht="15" hidden="false" customHeight="false" outlineLevel="0" collapsed="false">
      <c r="A11" s="14" t="s">
        <v>319</v>
      </c>
      <c r="B11" s="14" t="n">
        <f aca="false">COUNTIF('Raw - Sessions'!$M$5:$M$292,A11)</f>
        <v>4</v>
      </c>
      <c r="C11" s="42" t="n">
        <f aca="false">SUMIF('Raw - Sessions'!$M$5:$M$292,A11,'Raw - Sessions'!$P$5:$P$292)</f>
        <v>25.84</v>
      </c>
      <c r="F11" s="14" t="s">
        <v>314</v>
      </c>
      <c r="G11" s="14" t="n">
        <f aca="false">COUNTIF('Raw - Sessions'!$N$5:$N$292,F11)</f>
        <v>3</v>
      </c>
      <c r="H11" s="42" t="n">
        <f aca="false">SUMIF('Raw - Sessions'!$N$5:$N$292,F11,'Raw - Sessions'!$P$5:$P$292)</f>
        <v>57.25</v>
      </c>
      <c r="K11" s="14" t="s">
        <v>257</v>
      </c>
      <c r="L11" s="14" t="n">
        <f aca="false">COUNTIF('Raw - Sessions'!$O$5:$O$292,K11)</f>
        <v>3</v>
      </c>
      <c r="M11" s="42" t="n">
        <f aca="false">SUMIF('Raw - Sessions'!$O$5:$O$292,K11,'Raw - Sessions'!$P$5:$P$292)</f>
        <v>30.12</v>
      </c>
      <c r="N11" s="22" t="n">
        <f aca="false">SUMIF('Raw - Sessions'!$O$5:$O$292,K11,'Raw - Sessions'!$E$5:$E$292)</f>
        <v>48.6106</v>
      </c>
    </row>
    <row r="12" customFormat="false" ht="15" hidden="false" customHeight="false" outlineLevel="0" collapsed="false">
      <c r="A12" s="17" t="s">
        <v>280</v>
      </c>
      <c r="B12" s="17" t="n">
        <f aca="false">COUNTIF('Raw - Sessions'!$M$5:$M$292,A12)</f>
        <v>4</v>
      </c>
      <c r="C12" s="44" t="n">
        <f aca="false">SUMIF('Raw - Sessions'!$M$5:$M$292,A12,'Raw - Sessions'!$P$5:$P$292)</f>
        <v>24.32</v>
      </c>
      <c r="F12" s="17" t="s">
        <v>299</v>
      </c>
      <c r="G12" s="17" t="n">
        <f aca="false">COUNTIF('Raw - Sessions'!$N$5:$N$292,F12)</f>
        <v>2</v>
      </c>
      <c r="H12" s="44" t="n">
        <f aca="false">SUMIF('Raw - Sessions'!$N$5:$N$292,F12,'Raw - Sessions'!$P$5:$P$292)</f>
        <v>28.02</v>
      </c>
      <c r="K12" s="17" t="s">
        <v>284</v>
      </c>
      <c r="L12" s="17" t="n">
        <f aca="false">COUNTIF('Raw - Sessions'!$O$5:$O$292,K12)</f>
        <v>3</v>
      </c>
      <c r="M12" s="44" t="n">
        <f aca="false">SUMIF('Raw - Sessions'!$O$5:$O$292,K12,'Raw - Sessions'!$P$5:$P$292)</f>
        <v>65.07</v>
      </c>
      <c r="N12" s="20" t="n">
        <f aca="false">SUMIF('Raw - Sessions'!$O$5:$O$292,K12,'Raw - Sessions'!$E$5:$E$292)</f>
        <v>109.073198</v>
      </c>
    </row>
    <row r="13" customFormat="false" ht="15" hidden="false" customHeight="false" outlineLevel="0" collapsed="false">
      <c r="A13" s="14" t="s">
        <v>255</v>
      </c>
      <c r="B13" s="14" t="n">
        <f aca="false">COUNTIF('Raw - Sessions'!$M$5:$M$292,A13)</f>
        <v>3</v>
      </c>
      <c r="C13" s="42" t="n">
        <f aca="false">SUMIF('Raw - Sessions'!$M$5:$M$292,A13,'Raw - Sessions'!$P$5:$P$292)</f>
        <v>30.12</v>
      </c>
      <c r="F13" s="14" t="s">
        <v>240</v>
      </c>
      <c r="G13" s="14" t="n">
        <f aca="false">COUNTIF('Raw - Sessions'!$N$5:$N$292,F13)</f>
        <v>2</v>
      </c>
      <c r="H13" s="42" t="n">
        <f aca="false">SUMIF('Raw - Sessions'!$N$5:$N$292,F13,'Raw - Sessions'!$P$5:$P$292)</f>
        <v>31.82</v>
      </c>
      <c r="K13" s="14" t="s">
        <v>262</v>
      </c>
      <c r="L13" s="14" t="n">
        <f aca="false">COUNTIF('Raw - Sessions'!$O$5:$O$292,K13)</f>
        <v>3</v>
      </c>
      <c r="M13" s="42" t="n">
        <f aca="false">SUMIF('Raw - Sessions'!$O$5:$O$292,K13,'Raw - Sessions'!$P$5:$P$292)</f>
        <v>50.77</v>
      </c>
      <c r="N13" s="22" t="n">
        <f aca="false">SUMIF('Raw - Sessions'!$O$5:$O$292,K13,'Raw - Sessions'!$E$5:$E$292)</f>
        <v>100.065804</v>
      </c>
    </row>
    <row r="14" customFormat="false" ht="15" hidden="false" customHeight="false" outlineLevel="0" collapsed="false">
      <c r="A14" s="17" t="s">
        <v>241</v>
      </c>
      <c r="B14" s="17" t="n">
        <f aca="false">COUNTIF('Raw - Sessions'!$M$5:$M$292,A14)</f>
        <v>3</v>
      </c>
      <c r="C14" s="44" t="n">
        <f aca="false">SUMIF('Raw - Sessions'!$M$5:$M$292,A14,'Raw - Sessions'!$P$5:$P$292)</f>
        <v>40.43</v>
      </c>
      <c r="F14" s="17" t="s">
        <v>309</v>
      </c>
      <c r="G14" s="17" t="n">
        <f aca="false">COUNTIF('Raw - Sessions'!$N$5:$N$292,F14)</f>
        <v>2</v>
      </c>
      <c r="H14" s="44" t="n">
        <f aca="false">SUMIF('Raw - Sessions'!$N$5:$N$292,F14,'Raw - Sessions'!$P$5:$P$292)</f>
        <v>45.25</v>
      </c>
      <c r="K14" s="17" t="s">
        <v>297</v>
      </c>
      <c r="L14" s="17" t="n">
        <f aca="false">COUNTIF('Raw - Sessions'!$O$5:$O$292,K14)</f>
        <v>2</v>
      </c>
      <c r="M14" s="44" t="n">
        <f aca="false">SUMIF('Raw - Sessions'!$O$5:$O$292,K14,'Raw - Sessions'!$P$5:$P$292)</f>
        <v>55.22</v>
      </c>
      <c r="N14" s="20" t="n">
        <f aca="false">SUMIF('Raw - Sessions'!$O$5:$O$292,K14,'Raw - Sessions'!$E$5:$E$292)</f>
        <v>83.8031</v>
      </c>
    </row>
    <row r="15" customFormat="false" ht="15" hidden="false" customHeight="false" outlineLevel="0" collapsed="false">
      <c r="A15" s="14" t="s">
        <v>254</v>
      </c>
      <c r="B15" s="14" t="n">
        <f aca="false">COUNTIF('Raw - Sessions'!$M$5:$M$292,A15)</f>
        <v>3</v>
      </c>
      <c r="C15" s="42" t="n">
        <f aca="false">SUMIF('Raw - Sessions'!$M$5:$M$292,A15,'Raw - Sessions'!$P$5:$P$292)</f>
        <v>63.88</v>
      </c>
      <c r="F15" s="14" t="s">
        <v>306</v>
      </c>
      <c r="G15" s="14" t="n">
        <f aca="false">COUNTIF('Raw - Sessions'!$N$5:$N$292,F15)</f>
        <v>2</v>
      </c>
      <c r="H15" s="42" t="n">
        <f aca="false">SUMIF('Raw - Sessions'!$N$5:$N$292,F15,'Raw - Sessions'!$P$5:$P$292)</f>
        <v>23.3</v>
      </c>
      <c r="K15" s="14" t="s">
        <v>310</v>
      </c>
      <c r="L15" s="14" t="n">
        <f aca="false">COUNTIF('Raw - Sessions'!$O$5:$O$292,K15)</f>
        <v>2</v>
      </c>
      <c r="M15" s="42" t="n">
        <f aca="false">SUMIF('Raw - Sessions'!$O$5:$O$292,K15,'Raw - Sessions'!$P$5:$P$292)</f>
        <v>45.25</v>
      </c>
      <c r="N15" s="22" t="n">
        <f aca="false">SUMIF('Raw - Sessions'!$O$5:$O$292,K15,'Raw - Sessions'!$E$5:$E$292)</f>
        <v>66.288899</v>
      </c>
    </row>
    <row r="16" customFormat="false" ht="15" hidden="false" customHeight="false" outlineLevel="0" collapsed="false">
      <c r="A16" s="17" t="s">
        <v>302</v>
      </c>
      <c r="B16" s="17" t="n">
        <f aca="false">COUNTIF('Raw - Sessions'!$M$5:$M$292,A16)</f>
        <v>3</v>
      </c>
      <c r="C16" s="44" t="n">
        <f aca="false">SUMIF('Raw - Sessions'!$M$5:$M$292,A16,'Raw - Sessions'!$P$5:$P$292)</f>
        <v>75.13</v>
      </c>
      <c r="F16" s="17" t="s">
        <v>328</v>
      </c>
      <c r="G16" s="17" t="n">
        <f aca="false">COUNTIF('Raw - Sessions'!$N$5:$N$292,F16)</f>
        <v>2</v>
      </c>
      <c r="H16" s="44" t="n">
        <f aca="false">SUMIF('Raw - Sessions'!$N$5:$N$292,F16,'Raw - Sessions'!$P$5:$P$292)</f>
        <v>12.83</v>
      </c>
      <c r="K16" s="17" t="s">
        <v>243</v>
      </c>
      <c r="L16" s="17" t="n">
        <f aca="false">COUNTIF('Raw - Sessions'!$O$5:$O$292,K16)</f>
        <v>2</v>
      </c>
      <c r="M16" s="44" t="n">
        <f aca="false">SUMIF('Raw - Sessions'!$O$5:$O$292,K16,'Raw - Sessions'!$P$5:$P$292)</f>
        <v>39.78</v>
      </c>
      <c r="N16" s="20" t="n">
        <f aca="false">SUMIF('Raw - Sessions'!$O$5:$O$292,K16,'Raw - Sessions'!$E$5:$E$292)</f>
        <v>68.5376</v>
      </c>
    </row>
    <row r="17" customFormat="false" ht="15" hidden="false" customHeight="false" outlineLevel="0" collapsed="false">
      <c r="A17" s="14" t="s">
        <v>337</v>
      </c>
      <c r="B17" s="14" t="n">
        <f aca="false">COUNTIF('Raw - Sessions'!$M$5:$M$292,A17)</f>
        <v>2</v>
      </c>
      <c r="C17" s="42" t="n">
        <f aca="false">SUMIF('Raw - Sessions'!$M$5:$M$292,A17,'Raw - Sessions'!$P$5:$P$292)</f>
        <v>47.44</v>
      </c>
      <c r="F17" s="14" t="s">
        <v>312</v>
      </c>
      <c r="G17" s="14" t="n">
        <f aca="false">COUNTIF('Raw - Sessions'!$N$5:$N$292,F17)</f>
        <v>2</v>
      </c>
      <c r="H17" s="42" t="n">
        <f aca="false">SUMIF('Raw - Sessions'!$N$5:$N$292,F17,'Raw - Sessions'!$P$5:$P$292)</f>
        <v>35.77</v>
      </c>
      <c r="K17" s="14" t="s">
        <v>307</v>
      </c>
      <c r="L17" s="14" t="n">
        <f aca="false">COUNTIF('Raw - Sessions'!$O$5:$O$292,K17)</f>
        <v>2</v>
      </c>
      <c r="M17" s="42" t="n">
        <f aca="false">SUMIF('Raw - Sessions'!$O$5:$O$292,K17,'Raw - Sessions'!$P$5:$P$292)</f>
        <v>23.3</v>
      </c>
      <c r="N17" s="22" t="n">
        <f aca="false">SUMIF('Raw - Sessions'!$O$5:$O$292,K17,'Raw - Sessions'!$E$5:$E$292)</f>
        <v>18.398255</v>
      </c>
    </row>
    <row r="18" customFormat="false" ht="15" hidden="false" customHeight="false" outlineLevel="0" collapsed="false">
      <c r="A18" s="17" t="s">
        <v>234</v>
      </c>
      <c r="B18" s="17" t="n">
        <f aca="false">COUNTIF('Raw - Sessions'!$M$5:$M$292,A18)</f>
        <v>2</v>
      </c>
      <c r="C18" s="44" t="n">
        <f aca="false">SUMIF('Raw - Sessions'!$M$5:$M$292,A18,'Raw - Sessions'!$P$5:$P$292)</f>
        <v>13.98</v>
      </c>
      <c r="F18" s="17" t="s">
        <v>353</v>
      </c>
      <c r="G18" s="17" t="n">
        <f aca="false">COUNTIF('Raw - Sessions'!$N$5:$N$292,F18)</f>
        <v>1</v>
      </c>
      <c r="H18" s="44" t="n">
        <f aca="false">SUMIF('Raw - Sessions'!$N$5:$N$292,F18,'Raw - Sessions'!$P$5:$P$292)</f>
        <v>20.28</v>
      </c>
      <c r="K18" s="17" t="s">
        <v>341</v>
      </c>
      <c r="L18" s="17" t="n">
        <f aca="false">COUNTIF('Raw - Sessions'!$O$5:$O$292,K18)</f>
        <v>1</v>
      </c>
      <c r="M18" s="44" t="n">
        <f aca="false">SUMIF('Raw - Sessions'!$O$5:$O$292,K18,'Raw - Sessions'!$P$5:$P$292)</f>
        <v>11.01</v>
      </c>
      <c r="N18" s="20" t="n">
        <f aca="false">SUMIF('Raw - Sessions'!$O$5:$O$292,K18,'Raw - Sessions'!$E$5:$E$292)</f>
        <v>15.5354</v>
      </c>
    </row>
    <row r="19" customFormat="false" ht="15" hidden="false" customHeight="false" outlineLevel="0" collapsed="false">
      <c r="A19" s="14" t="s">
        <v>244</v>
      </c>
      <c r="B19" s="14" t="n">
        <f aca="false">COUNTIF('Raw - Sessions'!$M$5:$M$292,A19)</f>
        <v>2</v>
      </c>
      <c r="C19" s="42" t="n">
        <f aca="false">SUMIF('Raw - Sessions'!$M$5:$M$292,A19,'Raw - Sessions'!$P$5:$P$292)</f>
        <v>16.27</v>
      </c>
      <c r="F19" s="14" t="s">
        <v>340</v>
      </c>
      <c r="G19" s="14" t="n">
        <f aca="false">COUNTIF('Raw - Sessions'!$N$5:$N$292,F19)</f>
        <v>1</v>
      </c>
      <c r="H19" s="42" t="n">
        <f aca="false">SUMIF('Raw - Sessions'!$N$5:$N$292,F19,'Raw - Sessions'!$P$5:$P$292)</f>
        <v>11.01</v>
      </c>
      <c r="K19" s="14" t="s">
        <v>351</v>
      </c>
      <c r="L19" s="14" t="n">
        <f aca="false">COUNTIF('Raw - Sessions'!$O$5:$O$292,K19)</f>
        <v>1</v>
      </c>
      <c r="M19" s="42" t="n">
        <f aca="false">SUMIF('Raw - Sessions'!$O$5:$O$292,K19,'Raw - Sessions'!$P$5:$P$292)</f>
        <v>19.14</v>
      </c>
      <c r="N19" s="22" t="n">
        <f aca="false">SUMIF('Raw - Sessions'!$O$5:$O$292,K19,'Raw - Sessions'!$E$5:$E$292)</f>
        <v>27.8244</v>
      </c>
    </row>
    <row r="20" customFormat="false" ht="15" hidden="false" customHeight="false" outlineLevel="0" collapsed="false">
      <c r="A20" s="17" t="s">
        <v>318</v>
      </c>
      <c r="B20" s="17" t="n">
        <f aca="false">COUNTIF('Raw - Sessions'!$M$5:$M$292,A20)</f>
        <v>2</v>
      </c>
      <c r="C20" s="44" t="n">
        <f aca="false">SUMIF('Raw - Sessions'!$M$5:$M$292,A20,'Raw - Sessions'!$P$5:$P$292)</f>
        <v>30.8</v>
      </c>
      <c r="F20" s="17" t="s">
        <v>330</v>
      </c>
      <c r="G20" s="17" t="n">
        <f aca="false">COUNTIF('Raw - Sessions'!$N$5:$N$292,F20)</f>
        <v>1</v>
      </c>
      <c r="H20" s="44" t="n">
        <f aca="false">SUMIF('Raw - Sessions'!$N$5:$N$292,F20,'Raw - Sessions'!$P$5:$P$292)</f>
        <v>11.44</v>
      </c>
      <c r="K20" s="17" t="s">
        <v>279</v>
      </c>
      <c r="L20" s="17" t="n">
        <f aca="false">COUNTIF('Raw - Sessions'!$O$5:$O$292,K20)</f>
        <v>1</v>
      </c>
      <c r="M20" s="44" t="n">
        <f aca="false">SUMIF('Raw - Sessions'!$O$5:$O$292,K20,'Raw - Sessions'!$P$5:$P$292)</f>
        <v>6.36</v>
      </c>
      <c r="N20" s="20" t="n">
        <f aca="false">SUMIF('Raw - Sessions'!$O$5:$O$292,K20,'Raw - Sessions'!$E$5:$E$292)</f>
        <v>12.3724</v>
      </c>
    </row>
    <row r="21" customFormat="false" ht="15" hidden="false" customHeight="false" outlineLevel="0" collapsed="false">
      <c r="A21" s="14" t="s">
        <v>231</v>
      </c>
      <c r="B21" s="14" t="n">
        <f aca="false">COUNTIF('Raw - Sessions'!$M$5:$M$292,A21)</f>
        <v>2</v>
      </c>
      <c r="C21" s="42" t="n">
        <f aca="false">SUMIF('Raw - Sessions'!$M$5:$M$292,A21,'Raw - Sessions'!$P$5:$P$292)</f>
        <v>22.01</v>
      </c>
      <c r="F21" s="14" t="s">
        <v>250</v>
      </c>
      <c r="G21" s="14" t="n">
        <f aca="false">COUNTIF('Raw - Sessions'!$N$5:$N$292,F21)</f>
        <v>1</v>
      </c>
      <c r="H21" s="42" t="n">
        <f aca="false">SUMIF('Raw - Sessions'!$N$5:$N$292,F21,'Raw - Sessions'!$P$5:$P$292)</f>
        <v>11.8</v>
      </c>
      <c r="K21" s="14" t="s">
        <v>348</v>
      </c>
      <c r="L21" s="14" t="n">
        <f aca="false">COUNTIF('Raw - Sessions'!$O$5:$O$292,K21)</f>
        <v>1</v>
      </c>
      <c r="M21" s="42" t="n">
        <f aca="false">SUMIF('Raw - Sessions'!$O$5:$O$292,K21,'Raw - Sessions'!$P$5:$P$292)</f>
        <v>26.7</v>
      </c>
      <c r="N21" s="22" t="n">
        <f aca="false">SUMIF('Raw - Sessions'!$O$5:$O$292,K21,'Raw - Sessions'!$E$5:$E$292)</f>
        <v>39.3949</v>
      </c>
    </row>
    <row r="22" customFormat="false" ht="15" hidden="false" customHeight="false" outlineLevel="0" collapsed="false">
      <c r="A22" s="17" t="s">
        <v>304</v>
      </c>
      <c r="B22" s="17" t="n">
        <f aca="false">COUNTIF('Raw - Sessions'!$M$5:$M$292,A22)</f>
        <v>2</v>
      </c>
      <c r="C22" s="44" t="n">
        <f aca="false">SUMIF('Raw - Sessions'!$M$5:$M$292,A22,'Raw - Sessions'!$P$5:$P$292)</f>
        <v>40.04</v>
      </c>
      <c r="F22" s="17" t="s">
        <v>268</v>
      </c>
      <c r="G22" s="17" t="n">
        <f aca="false">COUNTIF('Raw - Sessions'!$N$5:$N$292,F22)</f>
        <v>1</v>
      </c>
      <c r="H22" s="44" t="n">
        <f aca="false">SUMIF('Raw - Sessions'!$N$5:$N$292,F22,'Raw - Sessions'!$P$5:$P$292)</f>
        <v>11.75</v>
      </c>
      <c r="K22" s="17" t="s">
        <v>354</v>
      </c>
      <c r="L22" s="17" t="n">
        <f aca="false">COUNTIF('Raw - Sessions'!$O$5:$O$292,K22)</f>
        <v>1</v>
      </c>
      <c r="M22" s="44" t="n">
        <f aca="false">SUMIF('Raw - Sessions'!$O$5:$O$292,K22,'Raw - Sessions'!$P$5:$P$292)</f>
        <v>20.28</v>
      </c>
      <c r="N22" s="20" t="n">
        <f aca="false">SUMIF('Raw - Sessions'!$O$5:$O$292,K22,'Raw - Sessions'!$E$5:$E$292)</f>
        <v>29.5188</v>
      </c>
    </row>
    <row r="23" customFormat="false" ht="15" hidden="false" customHeight="false" outlineLevel="0" collapsed="false">
      <c r="A23" s="14" t="s">
        <v>327</v>
      </c>
      <c r="B23" s="14" t="n">
        <f aca="false">COUNTIF('Raw - Sessions'!$M$5:$M$292,A23)</f>
        <v>2</v>
      </c>
      <c r="C23" s="42" t="n">
        <f aca="false">SUMIF('Raw - Sessions'!$M$5:$M$292,A23,'Raw - Sessions'!$P$5:$P$292)</f>
        <v>12.83</v>
      </c>
      <c r="F23" s="14" t="s">
        <v>301</v>
      </c>
      <c r="G23" s="14" t="n">
        <f aca="false">COUNTIF('Raw - Sessions'!$N$5:$N$292,F23)</f>
        <v>1</v>
      </c>
      <c r="H23" s="42" t="n">
        <f aca="false">SUMIF('Raw - Sessions'!$N$5:$N$292,F23,'Raw - Sessions'!$P$5:$P$292)</f>
        <v>8.59</v>
      </c>
      <c r="K23" s="14" t="s">
        <v>357</v>
      </c>
      <c r="L23" s="14" t="n">
        <f aca="false">COUNTIF('Raw - Sessions'!$O$5:$O$292,K23)</f>
        <v>1</v>
      </c>
      <c r="M23" s="42" t="n">
        <f aca="false">SUMIF('Raw - Sessions'!$O$5:$O$292,K23,'Raw - Sessions'!$P$5:$P$292)</f>
        <v>8.45</v>
      </c>
      <c r="N23" s="22" t="n">
        <f aca="false">SUMIF('Raw - Sessions'!$O$5:$O$292,K23,'Raw - Sessions'!$E$5:$E$292)</f>
        <v>11.8481</v>
      </c>
    </row>
    <row r="24" customFormat="false" ht="15" hidden="false" customHeight="false" outlineLevel="0" collapsed="false">
      <c r="A24" s="17" t="s">
        <v>263</v>
      </c>
      <c r="B24" s="17" t="n">
        <f aca="false">COUNTIF('Raw - Sessions'!$M$5:$M$292,A24)</f>
        <v>2</v>
      </c>
      <c r="C24" s="44" t="n">
        <f aca="false">SUMIF('Raw - Sessions'!$M$5:$M$292,A24,'Raw - Sessions'!$P$5:$P$292)</f>
        <v>37.81</v>
      </c>
      <c r="F24" s="17" t="s">
        <v>246</v>
      </c>
      <c r="G24" s="17" t="n">
        <f aca="false">COUNTIF('Raw - Sessions'!$N$5:$N$292,F24)</f>
        <v>1</v>
      </c>
      <c r="H24" s="44" t="n">
        <f aca="false">SUMIF('Raw - Sessions'!$N$5:$N$292,F24,'Raw - Sessions'!$P$5:$P$292)</f>
        <v>17.6</v>
      </c>
    </row>
    <row r="25" customFormat="false" ht="15" hidden="false" customHeight="false" outlineLevel="0" collapsed="false">
      <c r="A25" s="14" t="s">
        <v>313</v>
      </c>
      <c r="B25" s="14" t="n">
        <f aca="false">COUNTIF('Raw - Sessions'!$M$5:$M$292,A25)</f>
        <v>2</v>
      </c>
      <c r="C25" s="42" t="n">
        <f aca="false">SUMIF('Raw - Sessions'!$M$5:$M$292,A25,'Raw - Sessions'!$P$5:$P$292)</f>
        <v>43.31</v>
      </c>
      <c r="F25" s="14" t="s">
        <v>265</v>
      </c>
      <c r="G25" s="14" t="n">
        <f aca="false">COUNTIF('Raw - Sessions'!$N$5:$N$292,F25)</f>
        <v>1</v>
      </c>
      <c r="H25" s="42" t="n">
        <f aca="false">SUMIF('Raw - Sessions'!$N$5:$N$292,F25,'Raw - Sessions'!$P$5:$P$292)</f>
        <v>24.26</v>
      </c>
    </row>
    <row r="26" customFormat="false" ht="15" hidden="false" customHeight="false" outlineLevel="0" collapsed="false">
      <c r="A26" s="17" t="s">
        <v>274</v>
      </c>
      <c r="B26" s="17" t="n">
        <f aca="false">COUNTIF('Raw - Sessions'!$M$5:$M$292,A26)</f>
        <v>2</v>
      </c>
      <c r="C26" s="44" t="n">
        <f aca="false">SUMIF('Raw - Sessions'!$M$5:$M$292,A26,'Raw - Sessions'!$P$5:$P$292)</f>
        <v>33.92</v>
      </c>
      <c r="F26" s="17" t="s">
        <v>326</v>
      </c>
      <c r="G26" s="17" t="n">
        <f aca="false">COUNTIF('Raw - Sessions'!$N$5:$N$292,F26)</f>
        <v>1</v>
      </c>
      <c r="H26" s="44" t="n">
        <f aca="false">SUMIF('Raw - Sessions'!$N$5:$N$292,F26,'Raw - Sessions'!$P$5:$P$292)</f>
        <v>28.49</v>
      </c>
    </row>
    <row r="27" customFormat="false" ht="15" hidden="false" customHeight="false" outlineLevel="0" collapsed="false">
      <c r="A27" s="14" t="s">
        <v>305</v>
      </c>
      <c r="B27" s="14" t="n">
        <f aca="false">COUNTIF('Raw - Sessions'!$M$5:$M$292,A27)</f>
        <v>2</v>
      </c>
      <c r="C27" s="42" t="n">
        <f aca="false">SUMIF('Raw - Sessions'!$M$5:$M$292,A27,'Raw - Sessions'!$P$5:$P$292)</f>
        <v>23.3</v>
      </c>
      <c r="F27" s="14" t="s">
        <v>323</v>
      </c>
      <c r="G27" s="14" t="n">
        <f aca="false">COUNTIF('Raw - Sessions'!$N$5:$N$292,F27)</f>
        <v>1</v>
      </c>
      <c r="H27" s="42" t="n">
        <f aca="false">SUMIF('Raw - Sessions'!$N$5:$N$292,F27,'Raw - Sessions'!$P$5:$P$292)</f>
        <v>15.89</v>
      </c>
    </row>
    <row r="28" customFormat="false" ht="15" hidden="false" customHeight="false" outlineLevel="0" collapsed="false">
      <c r="A28" s="17" t="s">
        <v>308</v>
      </c>
      <c r="B28" s="17" t="n">
        <f aca="false">COUNTIF('Raw - Sessions'!$M$5:$M$292,A28)</f>
        <v>2</v>
      </c>
      <c r="C28" s="44" t="n">
        <f aca="false">SUMIF('Raw - Sessions'!$M$5:$M$292,A28,'Raw - Sessions'!$P$5:$P$292)</f>
        <v>45.25</v>
      </c>
      <c r="F28" s="17" t="s">
        <v>261</v>
      </c>
      <c r="G28" s="17" t="n">
        <f aca="false">COUNTIF('Raw - Sessions'!$N$5:$N$292,F28)</f>
        <v>1</v>
      </c>
      <c r="H28" s="44" t="n">
        <f aca="false">SUMIF('Raw - Sessions'!$N$5:$N$292,F28,'Raw - Sessions'!$P$5:$P$292)</f>
        <v>3.11</v>
      </c>
    </row>
    <row r="29" customFormat="false" ht="15" hidden="false" customHeight="false" outlineLevel="0" collapsed="false">
      <c r="A29" s="14" t="s">
        <v>286</v>
      </c>
      <c r="B29" s="14" t="n">
        <f aca="false">COUNTIF('Raw - Sessions'!$M$5:$M$292,A29)</f>
        <v>2</v>
      </c>
      <c r="C29" s="42" t="n">
        <f aca="false">SUMIF('Raw - Sessions'!$M$5:$M$292,A29,'Raw - Sessions'!$P$5:$P$292)</f>
        <v>67.38</v>
      </c>
      <c r="F29" s="14" t="s">
        <v>272</v>
      </c>
      <c r="G29" s="14" t="n">
        <f aca="false">COUNTIF('Raw - Sessions'!$N$5:$N$292,F29)</f>
        <v>1</v>
      </c>
      <c r="H29" s="42" t="n">
        <f aca="false">SUMIF('Raw - Sessions'!$N$5:$N$292,F29,'Raw - Sessions'!$P$5:$P$292)</f>
        <v>21.48</v>
      </c>
    </row>
    <row r="30" customFormat="false" ht="15" hidden="false" customHeight="false" outlineLevel="0" collapsed="false">
      <c r="A30" s="17" t="s">
        <v>236</v>
      </c>
      <c r="B30" s="17" t="n">
        <f aca="false">COUNTIF('Raw - Sessions'!$M$5:$M$292,A30)</f>
        <v>2</v>
      </c>
      <c r="C30" s="44" t="n">
        <f aca="false">SUMIF('Raw - Sessions'!$M$5:$M$292,A30,'Raw - Sessions'!$P$5:$P$292)</f>
        <v>23.18</v>
      </c>
      <c r="F30" s="17" t="s">
        <v>336</v>
      </c>
      <c r="G30" s="17" t="n">
        <f aca="false">COUNTIF('Raw - Sessions'!$N$5:$N$292,F30)</f>
        <v>1</v>
      </c>
      <c r="H30" s="44" t="n">
        <f aca="false">SUMIF('Raw - Sessions'!$N$5:$N$292,F30,'Raw - Sessions'!$P$5:$P$292)</f>
        <v>20.15</v>
      </c>
    </row>
    <row r="31" customFormat="false" ht="15" hidden="false" customHeight="false" outlineLevel="0" collapsed="false">
      <c r="A31" s="14" t="s">
        <v>311</v>
      </c>
      <c r="B31" s="14" t="n">
        <f aca="false">COUNTIF('Raw - Sessions'!$M$5:$M$292,A31)</f>
        <v>2</v>
      </c>
      <c r="C31" s="42" t="n">
        <f aca="false">SUMIF('Raw - Sessions'!$M$5:$M$292,A31,'Raw - Sessions'!$P$5:$P$292)</f>
        <v>35.77</v>
      </c>
      <c r="F31" s="14" t="s">
        <v>282</v>
      </c>
      <c r="G31" s="14" t="n">
        <f aca="false">COUNTIF('Raw - Sessions'!$N$5:$N$292,F31)</f>
        <v>1</v>
      </c>
      <c r="H31" s="42" t="n">
        <f aca="false">SUMIF('Raw - Sessions'!$N$5:$N$292,F31,'Raw - Sessions'!$P$5:$P$292)</f>
        <v>36.95</v>
      </c>
    </row>
    <row r="32" customFormat="false" ht="15" hidden="false" customHeight="false" outlineLevel="0" collapsed="false">
      <c r="A32" s="17" t="s">
        <v>298</v>
      </c>
      <c r="B32" s="17" t="n">
        <f aca="false">COUNTIF('Raw - Sessions'!$M$5:$M$292,A32)</f>
        <v>2</v>
      </c>
      <c r="C32" s="44" t="n">
        <f aca="false">SUMIF('Raw - Sessions'!$M$5:$M$292,A32,'Raw - Sessions'!$P$5:$P$292)</f>
        <v>28.02</v>
      </c>
      <c r="F32" s="17" t="s">
        <v>289</v>
      </c>
      <c r="G32" s="17" t="n">
        <f aca="false">COUNTIF('Raw - Sessions'!$N$5:$N$292,F32)</f>
        <v>1</v>
      </c>
      <c r="H32" s="44" t="n">
        <f aca="false">SUMIF('Raw - Sessions'!$N$5:$N$292,F32,'Raw - Sessions'!$P$5:$P$292)</f>
        <v>14.13</v>
      </c>
    </row>
    <row r="33" customFormat="false" ht="15" hidden="false" customHeight="false" outlineLevel="0" collapsed="false">
      <c r="A33" s="14" t="s">
        <v>339</v>
      </c>
      <c r="B33" s="14" t="n">
        <f aca="false">COUNTIF('Raw - Sessions'!$M$5:$M$292,A33)</f>
        <v>1</v>
      </c>
      <c r="C33" s="42" t="n">
        <f aca="false">SUMIF('Raw - Sessions'!$M$5:$M$292,A33,'Raw - Sessions'!$P$5:$P$292)</f>
        <v>11.01</v>
      </c>
      <c r="F33" s="14" t="s">
        <v>345</v>
      </c>
      <c r="G33" s="14" t="n">
        <f aca="false">COUNTIF('Raw - Sessions'!$N$5:$N$292,F33)</f>
        <v>1</v>
      </c>
      <c r="H33" s="42" t="n">
        <f aca="false">SUMIF('Raw - Sessions'!$N$5:$N$292,F33,'Raw - Sessions'!$P$5:$P$292)</f>
        <v>18.42</v>
      </c>
    </row>
    <row r="34" customFormat="false" ht="15" hidden="false" customHeight="false" outlineLevel="0" collapsed="false">
      <c r="A34" s="17" t="s">
        <v>333</v>
      </c>
      <c r="B34" s="17" t="n">
        <f aca="false">COUNTIF('Raw - Sessions'!$M$5:$M$292,A34)</f>
        <v>1</v>
      </c>
      <c r="C34" s="44" t="n">
        <f aca="false">SUMIF('Raw - Sessions'!$M$5:$M$292,A34,'Raw - Sessions'!$P$5:$P$292)</f>
        <v>32.36</v>
      </c>
      <c r="F34" s="17" t="s">
        <v>350</v>
      </c>
      <c r="G34" s="17" t="n">
        <f aca="false">COUNTIF('Raw - Sessions'!$N$5:$N$292,F34)</f>
        <v>1</v>
      </c>
      <c r="H34" s="44" t="n">
        <f aca="false">SUMIF('Raw - Sessions'!$N$5:$N$292,F34,'Raw - Sessions'!$P$5:$P$292)</f>
        <v>19.14</v>
      </c>
    </row>
    <row r="35" customFormat="false" ht="15" hidden="false" customHeight="false" outlineLevel="0" collapsed="false">
      <c r="A35" s="14" t="s">
        <v>329</v>
      </c>
      <c r="B35" s="14" t="n">
        <f aca="false">COUNTIF('Raw - Sessions'!$M$5:$M$292,A35)</f>
        <v>1</v>
      </c>
      <c r="C35" s="42" t="n">
        <f aca="false">SUMIF('Raw - Sessions'!$M$5:$M$292,A35,'Raw - Sessions'!$P$5:$P$292)</f>
        <v>11.44</v>
      </c>
      <c r="F35" s="14" t="s">
        <v>278</v>
      </c>
      <c r="G35" s="14" t="n">
        <f aca="false">COUNTIF('Raw - Sessions'!$N$5:$N$292,F35)</f>
        <v>1</v>
      </c>
      <c r="H35" s="42" t="n">
        <f aca="false">SUMIF('Raw - Sessions'!$N$5:$N$292,F35,'Raw - Sessions'!$P$5:$P$292)</f>
        <v>6.36</v>
      </c>
    </row>
    <row r="36" customFormat="false" ht="15" hidden="false" customHeight="false" outlineLevel="0" collapsed="false">
      <c r="A36" s="17" t="s">
        <v>322</v>
      </c>
      <c r="B36" s="17" t="n">
        <f aca="false">COUNTIF('Raw - Sessions'!$M$5:$M$292,A36)</f>
        <v>1</v>
      </c>
      <c r="C36" s="44" t="n">
        <f aca="false">SUMIF('Raw - Sessions'!$M$5:$M$292,A36,'Raw - Sessions'!$P$5:$P$292)</f>
        <v>15.89</v>
      </c>
      <c r="F36" s="17" t="s">
        <v>360</v>
      </c>
      <c r="G36" s="17" t="n">
        <f aca="false">COUNTIF('Raw - Sessions'!$N$5:$N$292,F36)</f>
        <v>1</v>
      </c>
      <c r="H36" s="44" t="n">
        <f aca="false">SUMIF('Raw - Sessions'!$N$5:$N$292,F36,'Raw - Sessions'!$P$5:$P$292)</f>
        <v>11.5</v>
      </c>
    </row>
    <row r="37" customFormat="false" ht="15" hidden="false" customHeight="false" outlineLevel="0" collapsed="false">
      <c r="A37" s="14" t="s">
        <v>335</v>
      </c>
      <c r="B37" s="14" t="n">
        <f aca="false">COUNTIF('Raw - Sessions'!$M$5:$M$292,A37)</f>
        <v>1</v>
      </c>
      <c r="C37" s="42" t="n">
        <f aca="false">SUMIF('Raw - Sessions'!$M$5:$M$292,A37,'Raw - Sessions'!$P$5:$P$292)</f>
        <v>20.15</v>
      </c>
      <c r="F37" s="14" t="s">
        <v>332</v>
      </c>
      <c r="G37" s="14" t="n">
        <f aca="false">COUNTIF('Raw - Sessions'!$N$5:$N$292,F37)</f>
        <v>1</v>
      </c>
      <c r="H37" s="42" t="n">
        <f aca="false">SUMIF('Raw - Sessions'!$N$5:$N$292,F37,'Raw - Sessions'!$P$5:$P$292)</f>
        <v>17.54</v>
      </c>
    </row>
    <row r="38" customFormat="false" ht="15" hidden="false" customHeight="false" outlineLevel="0" collapsed="false">
      <c r="A38" s="17" t="s">
        <v>331</v>
      </c>
      <c r="B38" s="17" t="n">
        <f aca="false">COUNTIF('Raw - Sessions'!$M$5:$M$292,A38)</f>
        <v>1</v>
      </c>
      <c r="C38" s="44" t="n">
        <f aca="false">SUMIF('Raw - Sessions'!$M$5:$M$292,A38,'Raw - Sessions'!$P$5:$P$292)</f>
        <v>17.54</v>
      </c>
      <c r="F38" s="17" t="s">
        <v>347</v>
      </c>
      <c r="G38" s="17" t="n">
        <f aca="false">COUNTIF('Raw - Sessions'!$N$5:$N$292,F38)</f>
        <v>1</v>
      </c>
      <c r="H38" s="44" t="n">
        <f aca="false">SUMIF('Raw - Sessions'!$N$5:$N$292,F38,'Raw - Sessions'!$P$5:$P$292)</f>
        <v>26.7</v>
      </c>
    </row>
    <row r="39" customFormat="false" ht="15" hidden="false" customHeight="false" outlineLevel="0" collapsed="false">
      <c r="A39" s="14" t="s">
        <v>352</v>
      </c>
      <c r="B39" s="14" t="n">
        <f aca="false">COUNTIF('Raw - Sessions'!$M$5:$M$292,A39)</f>
        <v>1</v>
      </c>
      <c r="C39" s="42" t="n">
        <f aca="false">SUMIF('Raw - Sessions'!$M$5:$M$292,A39,'Raw - Sessions'!$P$5:$P$292)</f>
        <v>20.28</v>
      </c>
    </row>
    <row r="40" customFormat="false" ht="15" hidden="false" customHeight="false" outlineLevel="0" collapsed="false">
      <c r="A40" s="17" t="s">
        <v>276</v>
      </c>
      <c r="B40" s="17" t="n">
        <f aca="false">COUNTIF('Raw - Sessions'!$M$5:$M$292,A40)</f>
        <v>1</v>
      </c>
      <c r="C40" s="44" t="n">
        <f aca="false">SUMIF('Raw - Sessions'!$M$5:$M$292,A40,'Raw - Sessions'!$P$5:$P$292)</f>
        <v>11.89</v>
      </c>
    </row>
    <row r="41" customFormat="false" ht="15" hidden="false" customHeight="false" outlineLevel="0" collapsed="false">
      <c r="A41" s="14" t="s">
        <v>258</v>
      </c>
      <c r="B41" s="14" t="n">
        <f aca="false">COUNTIF('Raw - Sessions'!$M$5:$M$292,A41)</f>
        <v>1</v>
      </c>
      <c r="C41" s="42" t="n">
        <f aca="false">SUMIF('Raw - Sessions'!$M$5:$M$292,A41,'Raw - Sessions'!$P$5:$P$292)</f>
        <v>20.01</v>
      </c>
    </row>
    <row r="42" customFormat="false" ht="15" hidden="false" customHeight="false" outlineLevel="0" collapsed="false">
      <c r="A42" s="17" t="s">
        <v>239</v>
      </c>
      <c r="B42" s="17" t="n">
        <f aca="false">COUNTIF('Raw - Sessions'!$M$5:$M$292,A42)</f>
        <v>1</v>
      </c>
      <c r="C42" s="44" t="n">
        <f aca="false">SUMIF('Raw - Sessions'!$M$5:$M$292,A42,'Raw - Sessions'!$P$5:$P$292)</f>
        <v>14.9</v>
      </c>
    </row>
    <row r="43" customFormat="false" ht="15" hidden="false" customHeight="false" outlineLevel="0" collapsed="false">
      <c r="A43" s="14" t="s">
        <v>238</v>
      </c>
      <c r="B43" s="14" t="n">
        <f aca="false">COUNTIF('Raw - Sessions'!$M$5:$M$292,A43)</f>
        <v>1</v>
      </c>
      <c r="C43" s="42" t="n">
        <f aca="false">SUMIF('Raw - Sessions'!$M$5:$M$292,A43,'Raw - Sessions'!$P$5:$P$292)</f>
        <v>2.76</v>
      </c>
    </row>
    <row r="44" customFormat="false" ht="15" hidden="false" customHeight="false" outlineLevel="0" collapsed="false">
      <c r="A44" s="17" t="s">
        <v>291</v>
      </c>
      <c r="B44" s="17" t="n">
        <f aca="false">COUNTIF('Raw - Sessions'!$M$5:$M$292,A44)</f>
        <v>1</v>
      </c>
      <c r="C44" s="44" t="n">
        <f aca="false">SUMIF('Raw - Sessions'!$M$5:$M$292,A44,'Raw - Sessions'!$P$5:$P$292)</f>
        <v>10.48</v>
      </c>
    </row>
    <row r="45" customFormat="false" ht="15" hidden="false" customHeight="false" outlineLevel="0" collapsed="false">
      <c r="A45" s="14" t="s">
        <v>342</v>
      </c>
      <c r="B45" s="14" t="n">
        <f aca="false">COUNTIF('Raw - Sessions'!$M$5:$M$292,A45)</f>
        <v>1</v>
      </c>
      <c r="C45" s="42" t="n">
        <f aca="false">SUMIF('Raw - Sessions'!$M$5:$M$292,A45,'Raw - Sessions'!$P$5:$P$292)</f>
        <v>25.78</v>
      </c>
    </row>
    <row r="46" customFormat="false" ht="15" hidden="false" customHeight="false" outlineLevel="0" collapsed="false">
      <c r="A46" s="17" t="s">
        <v>253</v>
      </c>
      <c r="B46" s="17" t="n">
        <f aca="false">COUNTIF('Raw - Sessions'!$M$5:$M$292,A46)</f>
        <v>1</v>
      </c>
      <c r="C46" s="44" t="n">
        <f aca="false">SUMIF('Raw - Sessions'!$M$5:$M$292,A46,'Raw - Sessions'!$P$5:$P$292)</f>
        <v>17.92</v>
      </c>
    </row>
    <row r="47" customFormat="false" ht="15" hidden="false" customHeight="false" outlineLevel="0" collapsed="false">
      <c r="A47" s="14" t="s">
        <v>271</v>
      </c>
      <c r="B47" s="14" t="n">
        <f aca="false">COUNTIF('Raw - Sessions'!$M$5:$M$292,A47)</f>
        <v>1</v>
      </c>
      <c r="C47" s="42" t="n">
        <f aca="false">SUMIF('Raw - Sessions'!$M$5:$M$292,A47,'Raw - Sessions'!$P$5:$P$292)</f>
        <v>21.48</v>
      </c>
    </row>
    <row r="48" customFormat="false" ht="15" hidden="false" customHeight="false" outlineLevel="0" collapsed="false">
      <c r="A48" s="17" t="s">
        <v>245</v>
      </c>
      <c r="B48" s="17" t="n">
        <f aca="false">COUNTIF('Raw - Sessions'!$M$5:$M$292,A48)</f>
        <v>1</v>
      </c>
      <c r="C48" s="44" t="n">
        <f aca="false">SUMIF('Raw - Sessions'!$M$5:$M$292,A48,'Raw - Sessions'!$P$5:$P$292)</f>
        <v>17.6</v>
      </c>
    </row>
    <row r="49" customFormat="false" ht="15" hidden="false" customHeight="false" outlineLevel="0" collapsed="false">
      <c r="A49" s="14" t="s">
        <v>281</v>
      </c>
      <c r="B49" s="14" t="n">
        <f aca="false">COUNTIF('Raw - Sessions'!$M$5:$M$292,A49)</f>
        <v>1</v>
      </c>
      <c r="C49" s="42" t="n">
        <f aca="false">SUMIF('Raw - Sessions'!$M$5:$M$292,A49,'Raw - Sessions'!$P$5:$P$292)</f>
        <v>36.95</v>
      </c>
    </row>
    <row r="50" customFormat="false" ht="15" hidden="false" customHeight="false" outlineLevel="0" collapsed="false">
      <c r="A50" s="17" t="s">
        <v>334</v>
      </c>
      <c r="B50" s="17" t="n">
        <f aca="false">COUNTIF('Raw - Sessions'!$M$5:$M$292,A50)</f>
        <v>1</v>
      </c>
      <c r="C50" s="44" t="n">
        <f aca="false">SUMIF('Raw - Sessions'!$M$5:$M$292,A50,'Raw - Sessions'!$P$5:$P$292)</f>
        <v>6.23</v>
      </c>
    </row>
    <row r="51" customFormat="false" ht="15" hidden="false" customHeight="false" outlineLevel="0" collapsed="false">
      <c r="A51" s="14" t="s">
        <v>295</v>
      </c>
      <c r="B51" s="14" t="n">
        <f aca="false">COUNTIF('Raw - Sessions'!$M$5:$M$292,A51)</f>
        <v>1</v>
      </c>
      <c r="C51" s="42" t="n">
        <f aca="false">SUMIF('Raw - Sessions'!$M$5:$M$292,A51,'Raw - Sessions'!$P$5:$P$292)</f>
        <v>0.41</v>
      </c>
    </row>
    <row r="52" customFormat="false" ht="15" hidden="false" customHeight="false" outlineLevel="0" collapsed="false">
      <c r="A52" s="17" t="s">
        <v>292</v>
      </c>
      <c r="B52" s="17" t="n">
        <f aca="false">COUNTIF('Raw - Sessions'!$M$5:$M$292,A52)</f>
        <v>1</v>
      </c>
      <c r="C52" s="44" t="n">
        <f aca="false">SUMIF('Raw - Sessions'!$M$5:$M$292,A52,'Raw - Sessions'!$P$5:$P$292)</f>
        <v>7.44</v>
      </c>
    </row>
    <row r="53" customFormat="false" ht="15" hidden="false" customHeight="false" outlineLevel="0" collapsed="false">
      <c r="A53" s="14" t="s">
        <v>324</v>
      </c>
      <c r="B53" s="14" t="n">
        <f aca="false">COUNTIF('Raw - Sessions'!$M$5:$M$292,A53)</f>
        <v>1</v>
      </c>
      <c r="C53" s="42" t="n">
        <f aca="false">SUMIF('Raw - Sessions'!$M$5:$M$292,A53,'Raw - Sessions'!$P$5:$P$292)</f>
        <v>14.92</v>
      </c>
    </row>
    <row r="54" customFormat="false" ht="15" hidden="false" customHeight="false" outlineLevel="0" collapsed="false">
      <c r="A54" s="17" t="s">
        <v>248</v>
      </c>
      <c r="B54" s="17" t="n">
        <f aca="false">COUNTIF('Raw - Sessions'!$M$5:$M$292,A54)</f>
        <v>1</v>
      </c>
      <c r="C54" s="44" t="n">
        <f aca="false">SUMIF('Raw - Sessions'!$M$5:$M$292,A54,'Raw - Sessions'!$P$5:$P$292)</f>
        <v>20.54</v>
      </c>
    </row>
    <row r="55" customFormat="false" ht="15" hidden="false" customHeight="false" outlineLevel="0" collapsed="false">
      <c r="A55" s="14" t="s">
        <v>264</v>
      </c>
      <c r="B55" s="14" t="n">
        <f aca="false">COUNTIF('Raw - Sessions'!$M$5:$M$292,A55)</f>
        <v>1</v>
      </c>
      <c r="C55" s="42" t="n">
        <f aca="false">SUMIF('Raw - Sessions'!$M$5:$M$292,A55,'Raw - Sessions'!$P$5:$P$292)</f>
        <v>24.26</v>
      </c>
    </row>
    <row r="56" customFormat="false" ht="15" hidden="false" customHeight="false" outlineLevel="0" collapsed="false">
      <c r="A56" s="17" t="s">
        <v>317</v>
      </c>
      <c r="B56" s="17" t="n">
        <f aca="false">COUNTIF('Raw - Sessions'!$M$5:$M$292,A56)</f>
        <v>1</v>
      </c>
      <c r="C56" s="44" t="n">
        <f aca="false">SUMIF('Raw - Sessions'!$M$5:$M$292,A56,'Raw - Sessions'!$P$5:$P$292)</f>
        <v>14.13</v>
      </c>
    </row>
    <row r="57" customFormat="false" ht="15" hidden="false" customHeight="false" outlineLevel="0" collapsed="false">
      <c r="A57" s="14" t="s">
        <v>315</v>
      </c>
      <c r="B57" s="14" t="n">
        <f aca="false">COUNTIF('Raw - Sessions'!$M$5:$M$292,A57)</f>
        <v>1</v>
      </c>
      <c r="C57" s="42" t="n">
        <f aca="false">SUMIF('Raw - Sessions'!$M$5:$M$292,A57,'Raw - Sessions'!$P$5:$P$292)</f>
        <v>4.75</v>
      </c>
    </row>
    <row r="58" customFormat="false" ht="15" hidden="false" customHeight="false" outlineLevel="0" collapsed="false">
      <c r="A58" s="17" t="s">
        <v>321</v>
      </c>
      <c r="B58" s="17" t="n">
        <f aca="false">COUNTIF('Raw - Sessions'!$M$5:$M$292,A58)</f>
        <v>1</v>
      </c>
      <c r="C58" s="44" t="n">
        <f aca="false">SUMIF('Raw - Sessions'!$M$5:$M$292,A58,'Raw - Sessions'!$P$5:$P$292)</f>
        <v>16.92</v>
      </c>
    </row>
    <row r="59" customFormat="false" ht="15" hidden="false" customHeight="false" outlineLevel="0" collapsed="false">
      <c r="A59" s="14" t="s">
        <v>288</v>
      </c>
      <c r="B59" s="14" t="n">
        <f aca="false">COUNTIF('Raw - Sessions'!$M$5:$M$292,A59)</f>
        <v>1</v>
      </c>
      <c r="C59" s="42" t="n">
        <f aca="false">SUMIF('Raw - Sessions'!$M$5:$M$292,A59,'Raw - Sessions'!$P$5:$P$292)</f>
        <v>14.13</v>
      </c>
    </row>
    <row r="60" customFormat="false" ht="15" hidden="false" customHeight="false" outlineLevel="0" collapsed="false">
      <c r="A60" s="17" t="s">
        <v>358</v>
      </c>
      <c r="B60" s="17" t="n">
        <f aca="false">COUNTIF('Raw - Sessions'!$M$5:$M$292,A60)</f>
        <v>1</v>
      </c>
      <c r="C60" s="44" t="n">
        <f aca="false">SUMIF('Raw - Sessions'!$M$5:$M$292,A60,'Raw - Sessions'!$P$5:$P$292)</f>
        <v>12.88</v>
      </c>
    </row>
    <row r="61" customFormat="false" ht="15" hidden="false" customHeight="false" outlineLevel="0" collapsed="false">
      <c r="A61" s="14" t="s">
        <v>343</v>
      </c>
      <c r="B61" s="14" t="n">
        <f aca="false">COUNTIF('Raw - Sessions'!$M$5:$M$292,A61)</f>
        <v>1</v>
      </c>
      <c r="C61" s="42" t="n">
        <f aca="false">SUMIF('Raw - Sessions'!$M$5:$M$292,A61,'Raw - Sessions'!$P$5:$P$292)</f>
        <v>0.25</v>
      </c>
    </row>
    <row r="62" customFormat="false" ht="15" hidden="false" customHeight="false" outlineLevel="0" collapsed="false">
      <c r="A62" s="17" t="s">
        <v>270</v>
      </c>
      <c r="B62" s="17" t="n">
        <f aca="false">COUNTIF('Raw - Sessions'!$M$5:$M$292,A62)</f>
        <v>1</v>
      </c>
      <c r="C62" s="44" t="n">
        <f aca="false">SUMIF('Raw - Sessions'!$M$5:$M$292,A62,'Raw - Sessions'!$P$5:$P$292)</f>
        <v>9.43</v>
      </c>
    </row>
    <row r="63" customFormat="false" ht="15" hidden="false" customHeight="false" outlineLevel="0" collapsed="false">
      <c r="A63" s="14" t="s">
        <v>290</v>
      </c>
      <c r="B63" s="14" t="n">
        <f aca="false">COUNTIF('Raw - Sessions'!$M$5:$M$292,A63)</f>
        <v>1</v>
      </c>
      <c r="C63" s="42" t="n">
        <f aca="false">SUMIF('Raw - Sessions'!$M$5:$M$292,A63,'Raw - Sessions'!$P$5:$P$292)</f>
        <v>19.94</v>
      </c>
    </row>
    <row r="64" customFormat="false" ht="15" hidden="false" customHeight="false" outlineLevel="0" collapsed="false">
      <c r="A64" s="17" t="s">
        <v>338</v>
      </c>
      <c r="B64" s="17" t="n">
        <f aca="false">COUNTIF('Raw - Sessions'!$M$5:$M$292,A64)</f>
        <v>1</v>
      </c>
      <c r="C64" s="44" t="n">
        <f aca="false">SUMIF('Raw - Sessions'!$M$5:$M$292,A64,'Raw - Sessions'!$P$5:$P$292)</f>
        <v>13.94</v>
      </c>
    </row>
    <row r="65" customFormat="false" ht="15" hidden="false" customHeight="false" outlineLevel="0" collapsed="false">
      <c r="A65" s="14" t="s">
        <v>344</v>
      </c>
      <c r="B65" s="14" t="n">
        <f aca="false">COUNTIF('Raw - Sessions'!$M$5:$M$292,A65)</f>
        <v>1</v>
      </c>
      <c r="C65" s="42" t="n">
        <f aca="false">SUMIF('Raw - Sessions'!$M$5:$M$292,A65,'Raw - Sessions'!$P$5:$P$292)</f>
        <v>18.42</v>
      </c>
    </row>
    <row r="66" customFormat="false" ht="15" hidden="false" customHeight="false" outlineLevel="0" collapsed="false">
      <c r="A66" s="17" t="s">
        <v>249</v>
      </c>
      <c r="B66" s="17" t="n">
        <f aca="false">COUNTIF('Raw - Sessions'!$M$5:$M$292,A66)</f>
        <v>1</v>
      </c>
      <c r="C66" s="44" t="n">
        <f aca="false">SUMIF('Raw - Sessions'!$M$5:$M$292,A66,'Raw - Sessions'!$P$5:$P$292)</f>
        <v>11.8</v>
      </c>
    </row>
    <row r="67" customFormat="false" ht="15" hidden="false" customHeight="false" outlineLevel="0" collapsed="false">
      <c r="A67" s="14" t="s">
        <v>359</v>
      </c>
      <c r="B67" s="14" t="n">
        <f aca="false">COUNTIF('Raw - Sessions'!$M$5:$M$292,A67)</f>
        <v>1</v>
      </c>
      <c r="C67" s="42" t="n">
        <f aca="false">SUMIF('Raw - Sessions'!$M$5:$M$292,A67,'Raw - Sessions'!$P$5:$P$292)</f>
        <v>11.5</v>
      </c>
    </row>
    <row r="68" customFormat="false" ht="15" hidden="false" customHeight="false" outlineLevel="0" collapsed="false">
      <c r="A68" s="17" t="s">
        <v>283</v>
      </c>
      <c r="B68" s="17" t="n">
        <f aca="false">COUNTIF('Raw - Sessions'!$M$5:$M$292,A68)</f>
        <v>1</v>
      </c>
      <c r="C68" s="44" t="n">
        <f aca="false">SUMIF('Raw - Sessions'!$M$5:$M$292,A68,'Raw - Sessions'!$P$5:$P$292)</f>
        <v>26.18</v>
      </c>
    </row>
    <row r="69" customFormat="false" ht="15" hidden="false" customHeight="false" outlineLevel="0" collapsed="false">
      <c r="A69" s="14" t="s">
        <v>296</v>
      </c>
      <c r="B69" s="14" t="n">
        <f aca="false">COUNTIF('Raw - Sessions'!$M$5:$M$292,A69)</f>
        <v>1</v>
      </c>
      <c r="C69" s="42" t="n">
        <f aca="false">SUMIF('Raw - Sessions'!$M$5:$M$292,A69,'Raw - Sessions'!$P$5:$P$292)</f>
        <v>43.72</v>
      </c>
    </row>
    <row r="70" customFormat="false" ht="15" hidden="false" customHeight="false" outlineLevel="0" collapsed="false">
      <c r="A70" s="17" t="s">
        <v>316</v>
      </c>
      <c r="B70" s="17" t="n">
        <f aca="false">COUNTIF('Raw - Sessions'!$M$5:$M$292,A70)</f>
        <v>1</v>
      </c>
      <c r="C70" s="44" t="n">
        <f aca="false">SUMIF('Raw - Sessions'!$M$5:$M$292,A70,'Raw - Sessions'!$P$5:$P$292)</f>
        <v>30.3</v>
      </c>
    </row>
    <row r="71" customFormat="false" ht="15" hidden="false" customHeight="false" outlineLevel="0" collapsed="false">
      <c r="A71" s="14" t="s">
        <v>260</v>
      </c>
      <c r="B71" s="14" t="n">
        <f aca="false">COUNTIF('Raw - Sessions'!$M$5:$M$292,A71)</f>
        <v>1</v>
      </c>
      <c r="C71" s="42" t="n">
        <f aca="false">SUMIF('Raw - Sessions'!$M$5:$M$292,A71,'Raw - Sessions'!$P$5:$P$292)</f>
        <v>3.11</v>
      </c>
    </row>
    <row r="72" customFormat="false" ht="15" hidden="false" customHeight="false" outlineLevel="0" collapsed="false">
      <c r="A72" s="17" t="s">
        <v>275</v>
      </c>
      <c r="B72" s="17" t="n">
        <f aca="false">COUNTIF('Raw - Sessions'!$M$5:$M$292,A72)</f>
        <v>1</v>
      </c>
      <c r="C72" s="44" t="n">
        <f aca="false">SUMIF('Raw - Sessions'!$M$5:$M$292,A72,'Raw - Sessions'!$P$5:$P$292)</f>
        <v>19.71</v>
      </c>
    </row>
    <row r="73" customFormat="false" ht="15" hidden="false" customHeight="false" outlineLevel="0" collapsed="false">
      <c r="A73" s="14" t="s">
        <v>300</v>
      </c>
      <c r="B73" s="14" t="n">
        <f aca="false">COUNTIF('Raw - Sessions'!$M$5:$M$292,A73)</f>
        <v>1</v>
      </c>
      <c r="C73" s="42" t="n">
        <f aca="false">SUMIF('Raw - Sessions'!$M$5:$M$292,A73,'Raw - Sessions'!$P$5:$P$292)</f>
        <v>8.59</v>
      </c>
    </row>
    <row r="74" customFormat="false" ht="15" hidden="false" customHeight="false" outlineLevel="0" collapsed="false">
      <c r="A74" s="17" t="s">
        <v>285</v>
      </c>
      <c r="B74" s="17" t="n">
        <f aca="false">COUNTIF('Raw - Sessions'!$M$5:$M$292,A74)</f>
        <v>1</v>
      </c>
      <c r="C74" s="44" t="n">
        <f aca="false">SUMIF('Raw - Sessions'!$M$5:$M$292,A74,'Raw - Sessions'!$P$5:$P$292)</f>
        <v>27.95</v>
      </c>
    </row>
    <row r="75" customFormat="false" ht="15" hidden="false" customHeight="false" outlineLevel="0" collapsed="false">
      <c r="A75" s="14" t="s">
        <v>346</v>
      </c>
      <c r="B75" s="14" t="n">
        <f aca="false">COUNTIF('Raw - Sessions'!$M$5:$M$292,A75)</f>
        <v>1</v>
      </c>
      <c r="C75" s="42" t="n">
        <f aca="false">SUMIF('Raw - Sessions'!$M$5:$M$292,A75,'Raw - Sessions'!$P$5:$P$292)</f>
        <v>26.7</v>
      </c>
    </row>
    <row r="76" customFormat="false" ht="15" hidden="false" customHeight="false" outlineLevel="0" collapsed="false">
      <c r="A76" s="17" t="s">
        <v>267</v>
      </c>
      <c r="B76" s="17" t="n">
        <f aca="false">COUNTIF('Raw - Sessions'!$M$5:$M$292,A76)</f>
        <v>1</v>
      </c>
      <c r="C76" s="44" t="n">
        <f aca="false">SUMIF('Raw - Sessions'!$M$5:$M$292,A76,'Raw - Sessions'!$P$5:$P$292)</f>
        <v>11.75</v>
      </c>
    </row>
    <row r="77" customFormat="false" ht="15" hidden="false" customHeight="false" outlineLevel="0" collapsed="false">
      <c r="A77" s="14" t="s">
        <v>277</v>
      </c>
      <c r="B77" s="14" t="n">
        <f aca="false">COUNTIF('Raw - Sessions'!$M$5:$M$292,A77)</f>
        <v>1</v>
      </c>
      <c r="C77" s="42" t="n">
        <f aca="false">SUMIF('Raw - Sessions'!$M$5:$M$292,A77,'Raw - Sessions'!$P$5:$P$292)</f>
        <v>6.36</v>
      </c>
    </row>
    <row r="78" customFormat="false" ht="15" hidden="false" customHeight="false" outlineLevel="0" collapsed="false">
      <c r="A78" s="17" t="s">
        <v>349</v>
      </c>
      <c r="B78" s="17" t="n">
        <f aca="false">COUNTIF('Raw - Sessions'!$M$5:$M$292,A78)</f>
        <v>1</v>
      </c>
      <c r="C78" s="44" t="n">
        <f aca="false">SUMIF('Raw - Sessions'!$M$5:$M$292,A78,'Raw - Sessions'!$P$5:$P$292)</f>
        <v>19.14</v>
      </c>
    </row>
    <row r="79" customFormat="false" ht="15" hidden="false" customHeight="false" outlineLevel="0" collapsed="false">
      <c r="A79" s="14" t="s">
        <v>356</v>
      </c>
      <c r="B79" s="14" t="n">
        <f aca="false">COUNTIF('Raw - Sessions'!$M$5:$M$292,A79)</f>
        <v>1</v>
      </c>
      <c r="C79" s="42" t="n">
        <f aca="false">SUMIF('Raw - Sessions'!$M$5:$M$292,A79,'Raw - Sessions'!$P$5:$P$292)</f>
        <v>8.45</v>
      </c>
    </row>
    <row r="80" customFormat="false" ht="15" hidden="false" customHeight="false" outlineLevel="0" collapsed="false">
      <c r="A80" s="17" t="s">
        <v>325</v>
      </c>
      <c r="B80" s="17" t="n">
        <f aca="false">COUNTIF('Raw - Sessions'!$M$5:$M$292,A80)</f>
        <v>1</v>
      </c>
      <c r="C80" s="44" t="n">
        <f aca="false">SUMIF('Raw - Sessions'!$M$5:$M$292,A80,'Raw - Sessions'!$P$5:$P$292)</f>
        <v>28.49</v>
      </c>
    </row>
    <row r="81" customFormat="false" ht="15" hidden="false" customHeight="false" outlineLevel="0" collapsed="false">
      <c r="A81" s="14" t="s">
        <v>242</v>
      </c>
      <c r="B81" s="14" t="n">
        <f aca="false">COUNTIF('Raw - Sessions'!$M$5:$M$292,A81)</f>
        <v>1</v>
      </c>
      <c r="C81" s="42" t="n">
        <f aca="false">SUMIF('Raw - Sessions'!$M$5:$M$292,A81,'Raw - Sessions'!$P$5:$P$292)</f>
        <v>11.29</v>
      </c>
    </row>
  </sheetData>
  <mergeCells count="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2026-07-16T13:56:58Z</dcterms:created>
  <dc:creator>openpyxl</dc:creator>
  <dc:description/>
  <dc:language>en-US</dc:language>
  <cp:lastModifiedBy/>
  <dcterms:modified xsi:type="dcterms:W3CDTF">2026-07-16T13:57:05Z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